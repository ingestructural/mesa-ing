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Correspondencia" sheetId="2" state="visible" r:id="rId4"/>
    <sheet name="Desplazamientos" sheetId="3" state="visible" r:id="rId5"/>
    <sheet name="Estaciones" sheetId="4" state="visible" r:id="rId6"/>
    <sheet name="Tensiones" sheetId="5" state="visible" r:id="rId7"/>
    <sheet name="Por grupo" sheetId="6" state="visible" r:id="rId8"/>
  </sheets>
  <definedNames>
    <definedName function="false" hidden="true" localSheetId="4" name="_xlnm._FilterDatabase" vbProcedure="false">Tensiones!$A$4:$T$216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<sst xmlns="http://schemas.openxmlformats.org/spreadsheetml/2006/main" count="1653" uniqueCount="579">
  <si>
    <t xml:space="preserve">Comparación estructura existente vs modificada</t>
  </si>
  <si>
    <t xml:space="preserve">Mesa Plana (Inchalam) · modelo RAM Elements "Mesas PLana_1.etz" · condición de carga id0=P · ING Estructural</t>
  </si>
  <si>
    <t xml:space="preserve">PARÁMETROS (editables)</t>
  </si>
  <si>
    <t xml:space="preserve">Fy acero A-36 [Ton/cm²]</t>
  </si>
  <si>
    <t xml:space="preserve">Tensión de fluencia ASTM A36 = 2530 kgf/cm²</t>
  </si>
  <si>
    <t xml:space="preserve">Factor tensión admisible normal (ASD)</t>
  </si>
  <si>
    <t xml:space="preserve">Fb = 0,6·Fy (AISC ASD), aplicado a σ axial + flexión combinadas</t>
  </si>
  <si>
    <t xml:space="preserve">Factor tensión admisible de corte (ASD)</t>
  </si>
  <si>
    <t xml:space="preserve">Fv = 0,4·Fy (AISC ASD)</t>
  </si>
  <si>
    <t xml:space="preserve">Umbral de variación relevante [Ton/cm²]</t>
  </si>
  <si>
    <t xml:space="preserve">RAM reporta tensiones redondeadas a 0,01 Ton/cm²; variaciones menores no son significativas</t>
  </si>
  <si>
    <t xml:space="preserve">Tensión admisible normal Fb [Ton/cm²]</t>
  </si>
  <si>
    <t xml:space="preserve">Tensión admisible de corte Fv [Ton/cm²]</t>
  </si>
  <si>
    <t xml:space="preserve">CORRESPONDENCIA DE MODELOS</t>
  </si>
  <si>
    <t xml:space="preserve">Nudos existente / modificado</t>
  </si>
  <si>
    <t xml:space="preserve">Elementos existente / modificado</t>
  </si>
  <si>
    <t xml:space="preserve">Nudos emparejados por coordenadas</t>
  </si>
  <si>
    <t xml:space="preserve">Elementos emparejados por nudos extremos</t>
  </si>
  <si>
    <t xml:space="preserve">Elementos con distinta sección o material</t>
  </si>
  <si>
    <t xml:space="preserve">Hallazgo: ambos modelos tienen la misma geometría (130 nudos, 212 elementos), las mismas secciones, material y apoyos. El modelo modificado está trasladado −15,00 m en Z y renumerado (nudos 135–264 → 2–134; elementos con otra numeración). Por lo tanto las diferencias de desplazamientos y tensiones provienen de las CARGAS aplicadas en la condición id0=P (no incluidas en los archivos entregados).</t>
  </si>
  <si>
    <t xml:space="preserve">RESUMEN DE RESULTADOS</t>
  </si>
  <si>
    <t xml:space="preserve">Indicador</t>
  </si>
  <si>
    <t xml:space="preserve">Existente</t>
  </si>
  <si>
    <t xml:space="preserve">Modificada</t>
  </si>
  <si>
    <t xml:space="preserve">Variación</t>
  </si>
  <si>
    <t xml:space="preserve">Var. %</t>
  </si>
  <si>
    <t xml:space="preserve">Desplazamiento total máximo |δ| [cm]</t>
  </si>
  <si>
    <t xml:space="preserve">Desplazamiento máx. TX [cm]</t>
  </si>
  <si>
    <t xml:space="preserve">Desplazamiento máx. TY [cm]</t>
  </si>
  <si>
    <t xml:space="preserve">Desplazamiento máx. TZ [cm]</t>
  </si>
  <si>
    <t xml:space="preserve">Tensión normal combinada máxima σ [Ton/cm²]</t>
  </si>
  <si>
    <t xml:space="preserve">Tensión de corte máxima τ [Ton/cm²]</t>
  </si>
  <si>
    <t xml:space="preserve">Razón de uso normal máxima σ/Fb</t>
  </si>
  <si>
    <t xml:space="preserve">Razón de uso corte máxima τ/Fv</t>
  </si>
  <si>
    <t xml:space="preserve">Promedio |δ| de todos los nudos [cm]</t>
  </si>
  <si>
    <t xml:space="preserve">Promedio σ de elementos con σ ≥ 0,05 [Ton/cm²]</t>
  </si>
  <si>
    <t xml:space="preserve">Elementos cuyo σ aumenta más que el umbral</t>
  </si>
  <si>
    <t xml:space="preserve">Elementos cuyo σ disminuye más que el umbral</t>
  </si>
  <si>
    <t xml:space="preserve">Elementos sin variación significativa</t>
  </si>
  <si>
    <t xml:space="preserve">Elementos que NO CUMPLEN en la situación modificada</t>
  </si>
  <si>
    <t xml:space="preserve">Estado: verificación por tensiones de la estructura modificada</t>
  </si>
  <si>
    <t xml:space="preserve">Criterios y limitaciones</t>
  </si>
  <si>
    <t xml:space="preserve">• σ combinada = máx. sobre las 5 estaciones de |axial| + máx(|2-Pos|,|2-Neg|) + máx(|3-Pos|,|3-Neg|) (suma conservadora de las fibras extremas).</t>
  </si>
  <si>
    <t xml:space="preserve">• La razón de uso es por tensiones (σ/Fb, τ/Fv, ASD). No incluye pandeo global ni lateral-torsional, que requieren longitudes no arriostradas y propiedades de sección (RAM Design).</t>
  </si>
  <si>
    <t xml:space="preserve">• Solo existe una condición de carga (id0=P); no se dispone de combinaciones de diseño. Las razones de uso son las de esa condición.</t>
  </si>
  <si>
    <t xml:space="preserve">• Tensiones de RAM redondeadas a 0,01 Ton/cm²: las variaciones porcentuales en elementos poco solicitados no son representativas; usar el umbral del parámetro B8.</t>
  </si>
  <si>
    <t xml:space="preserve">• Desplazamientos de RAM en cm; |δ| = √(TX²+TY²+TZ²).</t>
  </si>
  <si>
    <t xml:space="preserve">Correspondencia de nudos y elementos entre modelos</t>
  </si>
  <si>
    <t xml:space="preserve">Emparejados por coordenadas (modificado = existente con Z − 15,00 m)</t>
  </si>
  <si>
    <t xml:space="preserve">Nudo exist.</t>
  </si>
  <si>
    <t xml:space="preserve">Nudo modif.</t>
  </si>
  <si>
    <t xml:space="preserve">X [m]</t>
  </si>
  <si>
    <t xml:space="preserve">Y [m]</t>
  </si>
  <si>
    <t xml:space="preserve">Z exist. [m]</t>
  </si>
  <si>
    <t xml:space="preserve">Z modif. [m]</t>
  </si>
  <si>
    <t xml:space="preserve">Elem. exist.</t>
  </si>
  <si>
    <t xml:space="preserve">Elem. modif.</t>
  </si>
  <si>
    <t xml:space="preserve">Descripción</t>
  </si>
  <si>
    <t xml:space="preserve">Sección exist.</t>
  </si>
  <si>
    <t xml:space="preserve">Sección modif.</t>
  </si>
  <si>
    <t xml:space="preserve">¿Igual?</t>
  </si>
  <si>
    <t xml:space="preserve">Nudos exist. (J-K)</t>
  </si>
  <si>
    <t xml:space="preserve">Nudos modif. (J-K)</t>
  </si>
  <si>
    <t xml:space="preserve">COL1</t>
  </si>
  <si>
    <t xml:space="preserve">UPN 200 A-36</t>
  </si>
  <si>
    <t xml:space="preserve">135-150</t>
  </si>
  <si>
    <t xml:space="preserve">2-17</t>
  </si>
  <si>
    <t xml:space="preserve">137-155</t>
  </si>
  <si>
    <t xml:space="preserve">4-22</t>
  </si>
  <si>
    <t xml:space="preserve">139-157</t>
  </si>
  <si>
    <t xml:space="preserve">6-24</t>
  </si>
  <si>
    <t xml:space="preserve">141-159</t>
  </si>
  <si>
    <t xml:space="preserve">8-26</t>
  </si>
  <si>
    <t xml:space="preserve">143-161</t>
  </si>
  <si>
    <t xml:space="preserve">10-28</t>
  </si>
  <si>
    <t xml:space="preserve">145-163</t>
  </si>
  <si>
    <t xml:space="preserve">12-30</t>
  </si>
  <si>
    <t xml:space="preserve">147-165</t>
  </si>
  <si>
    <t xml:space="preserve">14-32</t>
  </si>
  <si>
    <t xml:space="preserve">149-151</t>
  </si>
  <si>
    <t xml:space="preserve">16-18</t>
  </si>
  <si>
    <t xml:space="preserve">BEAM2_P</t>
  </si>
  <si>
    <t xml:space="preserve">2 UPN200 A-36</t>
  </si>
  <si>
    <t xml:space="preserve">150-253</t>
  </si>
  <si>
    <t xml:space="preserve">17-123</t>
  </si>
  <si>
    <t xml:space="preserve">BEAM2</t>
  </si>
  <si>
    <t xml:space="preserve">152-156</t>
  </si>
  <si>
    <t xml:space="preserve">19-23</t>
  </si>
  <si>
    <t xml:space="preserve">154-136</t>
  </si>
  <si>
    <t xml:space="preserve">21-3</t>
  </si>
  <si>
    <t xml:space="preserve">150-152</t>
  </si>
  <si>
    <t xml:space="preserve">17-19</t>
  </si>
  <si>
    <t xml:space="preserve">152-154</t>
  </si>
  <si>
    <t xml:space="preserve">19-21</t>
  </si>
  <si>
    <t xml:space="preserve">155-156</t>
  </si>
  <si>
    <t xml:space="preserve">22-23</t>
  </si>
  <si>
    <t xml:space="preserve">156-136</t>
  </si>
  <si>
    <t xml:space="preserve">23-3</t>
  </si>
  <si>
    <t xml:space="preserve">157-158</t>
  </si>
  <si>
    <t xml:space="preserve">24-25</t>
  </si>
  <si>
    <t xml:space="preserve">158-138</t>
  </si>
  <si>
    <t xml:space="preserve">25-5</t>
  </si>
  <si>
    <t xml:space="preserve">159-160</t>
  </si>
  <si>
    <t xml:space="preserve">26-27</t>
  </si>
  <si>
    <t xml:space="preserve">160-140</t>
  </si>
  <si>
    <t xml:space="preserve">27-7</t>
  </si>
  <si>
    <t xml:space="preserve">161-162</t>
  </si>
  <si>
    <t xml:space="preserve">28-29</t>
  </si>
  <si>
    <t xml:space="preserve">162-142</t>
  </si>
  <si>
    <t xml:space="preserve">29-9</t>
  </si>
  <si>
    <t xml:space="preserve">163-164</t>
  </si>
  <si>
    <t xml:space="preserve">30-31</t>
  </si>
  <si>
    <t xml:space="preserve">164-144</t>
  </si>
  <si>
    <t xml:space="preserve">31-11</t>
  </si>
  <si>
    <t xml:space="preserve">165-166</t>
  </si>
  <si>
    <t xml:space="preserve">32-33</t>
  </si>
  <si>
    <t xml:space="preserve">166-146</t>
  </si>
  <si>
    <t xml:space="preserve">33-13</t>
  </si>
  <si>
    <t xml:space="preserve">151-153</t>
  </si>
  <si>
    <t xml:space="preserve">18-20</t>
  </si>
  <si>
    <t xml:space="preserve">153-148</t>
  </si>
  <si>
    <t xml:space="preserve">20-15</t>
  </si>
  <si>
    <t xml:space="preserve">155-157</t>
  </si>
  <si>
    <t xml:space="preserve">22-24</t>
  </si>
  <si>
    <t xml:space="preserve">157-254</t>
  </si>
  <si>
    <t xml:space="preserve">24-124</t>
  </si>
  <si>
    <t xml:space="preserve">159-161</t>
  </si>
  <si>
    <t xml:space="preserve">26-28</t>
  </si>
  <si>
    <t xml:space="preserve">161-255</t>
  </si>
  <si>
    <t xml:space="preserve">28-125</t>
  </si>
  <si>
    <t xml:space="preserve">163-165</t>
  </si>
  <si>
    <t xml:space="preserve">30-32</t>
  </si>
  <si>
    <t xml:space="preserve">165-256</t>
  </si>
  <si>
    <t xml:space="preserve">32-126</t>
  </si>
  <si>
    <t xml:space="preserve">156-158</t>
  </si>
  <si>
    <t xml:space="preserve">23-25</t>
  </si>
  <si>
    <t xml:space="preserve">158-160</t>
  </si>
  <si>
    <t xml:space="preserve">25-27</t>
  </si>
  <si>
    <t xml:space="preserve">160-162</t>
  </si>
  <si>
    <t xml:space="preserve">27-29</t>
  </si>
  <si>
    <t xml:space="preserve">162-164</t>
  </si>
  <si>
    <t xml:space="preserve">29-31</t>
  </si>
  <si>
    <t xml:space="preserve">164-166</t>
  </si>
  <si>
    <t xml:space="preserve">31-33</t>
  </si>
  <si>
    <t xml:space="preserve">166-153</t>
  </si>
  <si>
    <t xml:space="preserve">33-20</t>
  </si>
  <si>
    <t xml:space="preserve">136-138</t>
  </si>
  <si>
    <t xml:space="preserve">3-5</t>
  </si>
  <si>
    <t xml:space="preserve">138-140</t>
  </si>
  <si>
    <t xml:space="preserve">5-7</t>
  </si>
  <si>
    <t xml:space="preserve">140-142</t>
  </si>
  <si>
    <t xml:space="preserve">7-9</t>
  </si>
  <si>
    <t xml:space="preserve">142-144</t>
  </si>
  <si>
    <t xml:space="preserve">9-11</t>
  </si>
  <si>
    <t xml:space="preserve">144-146</t>
  </si>
  <si>
    <t xml:space="preserve">11-13</t>
  </si>
  <si>
    <t xml:space="preserve">146-148</t>
  </si>
  <si>
    <t xml:space="preserve">13-15</t>
  </si>
  <si>
    <t xml:space="preserve">167-182</t>
  </si>
  <si>
    <t xml:space="preserve">34-49</t>
  </si>
  <si>
    <t xml:space="preserve">169-187</t>
  </si>
  <si>
    <t xml:space="preserve">36-54</t>
  </si>
  <si>
    <t xml:space="preserve">171-189</t>
  </si>
  <si>
    <t xml:space="preserve">38-56</t>
  </si>
  <si>
    <t xml:space="preserve">173-191</t>
  </si>
  <si>
    <t xml:space="preserve">40-58</t>
  </si>
  <si>
    <t xml:space="preserve">175-193</t>
  </si>
  <si>
    <t xml:space="preserve">42-60</t>
  </si>
  <si>
    <t xml:space="preserve">177-195</t>
  </si>
  <si>
    <t xml:space="preserve">44-62</t>
  </si>
  <si>
    <t xml:space="preserve">179-197</t>
  </si>
  <si>
    <t xml:space="preserve">46-64</t>
  </si>
  <si>
    <t xml:space="preserve">181-183</t>
  </si>
  <si>
    <t xml:space="preserve">48-50</t>
  </si>
  <si>
    <t xml:space="preserve">182-244</t>
  </si>
  <si>
    <t xml:space="preserve">49-112</t>
  </si>
  <si>
    <t xml:space="preserve">184-188</t>
  </si>
  <si>
    <t xml:space="preserve">51-55</t>
  </si>
  <si>
    <t xml:space="preserve">186-168</t>
  </si>
  <si>
    <t xml:space="preserve">53-35</t>
  </si>
  <si>
    <t xml:space="preserve">182-184</t>
  </si>
  <si>
    <t xml:space="preserve">49-51</t>
  </si>
  <si>
    <t xml:space="preserve">184-186</t>
  </si>
  <si>
    <t xml:space="preserve">51-53</t>
  </si>
  <si>
    <t xml:space="preserve">187-188</t>
  </si>
  <si>
    <t xml:space="preserve">54-55</t>
  </si>
  <si>
    <t xml:space="preserve">188-168</t>
  </si>
  <si>
    <t xml:space="preserve">55-35</t>
  </si>
  <si>
    <t xml:space="preserve">189-190</t>
  </si>
  <si>
    <t xml:space="preserve">56-57</t>
  </si>
  <si>
    <t xml:space="preserve">190-170</t>
  </si>
  <si>
    <t xml:space="preserve">57-37</t>
  </si>
  <si>
    <t xml:space="preserve">191-192</t>
  </si>
  <si>
    <t xml:space="preserve">58-59</t>
  </si>
  <si>
    <t xml:space="preserve">192-172</t>
  </si>
  <si>
    <t xml:space="preserve">59-39</t>
  </si>
  <si>
    <t xml:space="preserve">193-194</t>
  </si>
  <si>
    <t xml:space="preserve">60-61</t>
  </si>
  <si>
    <t xml:space="preserve">194-174</t>
  </si>
  <si>
    <t xml:space="preserve">61-41</t>
  </si>
  <si>
    <t xml:space="preserve">195-196</t>
  </si>
  <si>
    <t xml:space="preserve">62-63</t>
  </si>
  <si>
    <t xml:space="preserve">196-176</t>
  </si>
  <si>
    <t xml:space="preserve">63-43</t>
  </si>
  <si>
    <t xml:space="preserve">197-198</t>
  </si>
  <si>
    <t xml:space="preserve">64-65</t>
  </si>
  <si>
    <t xml:space="preserve">198-178</t>
  </si>
  <si>
    <t xml:space="preserve">65-45</t>
  </si>
  <si>
    <t xml:space="preserve">183-185</t>
  </si>
  <si>
    <t xml:space="preserve">50-52</t>
  </si>
  <si>
    <t xml:space="preserve">185-180</t>
  </si>
  <si>
    <t xml:space="preserve">52-47</t>
  </si>
  <si>
    <t xml:space="preserve">187-189</t>
  </si>
  <si>
    <t xml:space="preserve">54-56</t>
  </si>
  <si>
    <t xml:space="preserve">189-242</t>
  </si>
  <si>
    <t xml:space="preserve">56-110</t>
  </si>
  <si>
    <t xml:space="preserve">191-193</t>
  </si>
  <si>
    <t xml:space="preserve">58-60</t>
  </si>
  <si>
    <t xml:space="preserve">193-240</t>
  </si>
  <si>
    <t xml:space="preserve">60-108</t>
  </si>
  <si>
    <t xml:space="preserve">195-197</t>
  </si>
  <si>
    <t xml:space="preserve">62-64</t>
  </si>
  <si>
    <t xml:space="preserve">197-238</t>
  </si>
  <si>
    <t xml:space="preserve">64-106</t>
  </si>
  <si>
    <t xml:space="preserve">188-190</t>
  </si>
  <si>
    <t xml:space="preserve">55-57</t>
  </si>
  <si>
    <t xml:space="preserve">190-192</t>
  </si>
  <si>
    <t xml:space="preserve">57-59</t>
  </si>
  <si>
    <t xml:space="preserve">192-194</t>
  </si>
  <si>
    <t xml:space="preserve">59-61</t>
  </si>
  <si>
    <t xml:space="preserve">194-196</t>
  </si>
  <si>
    <t xml:space="preserve">61-63</t>
  </si>
  <si>
    <t xml:space="preserve">196-198</t>
  </si>
  <si>
    <t xml:space="preserve">63-65</t>
  </si>
  <si>
    <t xml:space="preserve">198-185</t>
  </si>
  <si>
    <t xml:space="preserve">65-52</t>
  </si>
  <si>
    <t xml:space="preserve">168-170</t>
  </si>
  <si>
    <t xml:space="preserve">35-37</t>
  </si>
  <si>
    <t xml:space="preserve">170-172</t>
  </si>
  <si>
    <t xml:space="preserve">37-39</t>
  </si>
  <si>
    <t xml:space="preserve">172-174</t>
  </si>
  <si>
    <t xml:space="preserve">39-41</t>
  </si>
  <si>
    <t xml:space="preserve">174-176</t>
  </si>
  <si>
    <t xml:space="preserve">41-43</t>
  </si>
  <si>
    <t xml:space="preserve">176-178</t>
  </si>
  <si>
    <t xml:space="preserve">43-45</t>
  </si>
  <si>
    <t xml:space="preserve">178-180</t>
  </si>
  <si>
    <t xml:space="preserve">45-47</t>
  </si>
  <si>
    <t xml:space="preserve">199-214</t>
  </si>
  <si>
    <t xml:space="preserve">66-81</t>
  </si>
  <si>
    <t xml:space="preserve">201-219</t>
  </si>
  <si>
    <t xml:space="preserve">68-86</t>
  </si>
  <si>
    <t xml:space="preserve">203-221</t>
  </si>
  <si>
    <t xml:space="preserve">70-88</t>
  </si>
  <si>
    <t xml:space="preserve">205-223</t>
  </si>
  <si>
    <t xml:space="preserve">72-90</t>
  </si>
  <si>
    <t xml:space="preserve">207-225</t>
  </si>
  <si>
    <t xml:space="preserve">74-92</t>
  </si>
  <si>
    <t xml:space="preserve">209-227</t>
  </si>
  <si>
    <t xml:space="preserve">76-94</t>
  </si>
  <si>
    <t xml:space="preserve">211-229</t>
  </si>
  <si>
    <t xml:space="preserve">78-96</t>
  </si>
  <si>
    <t xml:space="preserve">213-215</t>
  </si>
  <si>
    <t xml:space="preserve">80-82</t>
  </si>
  <si>
    <t xml:space="preserve">214-243</t>
  </si>
  <si>
    <t xml:space="preserve">81-111</t>
  </si>
  <si>
    <t xml:space="preserve">216-220</t>
  </si>
  <si>
    <t xml:space="preserve">83-87</t>
  </si>
  <si>
    <t xml:space="preserve">218-200</t>
  </si>
  <si>
    <t xml:space="preserve">85-67</t>
  </si>
  <si>
    <t xml:space="preserve">214-216</t>
  </si>
  <si>
    <t xml:space="preserve">81-83</t>
  </si>
  <si>
    <t xml:space="preserve">216-218</t>
  </si>
  <si>
    <t xml:space="preserve">83-85</t>
  </si>
  <si>
    <t xml:space="preserve">219-220</t>
  </si>
  <si>
    <t xml:space="preserve">86-87</t>
  </si>
  <si>
    <t xml:space="preserve">220-200</t>
  </si>
  <si>
    <t xml:space="preserve">87-67</t>
  </si>
  <si>
    <t xml:space="preserve">221-222</t>
  </si>
  <si>
    <t xml:space="preserve">88-89</t>
  </si>
  <si>
    <t xml:space="preserve">222-202</t>
  </si>
  <si>
    <t xml:space="preserve">89-69</t>
  </si>
  <si>
    <t xml:space="preserve">223-224</t>
  </si>
  <si>
    <t xml:space="preserve">90-91</t>
  </si>
  <si>
    <t xml:space="preserve">224-204</t>
  </si>
  <si>
    <t xml:space="preserve">91-71</t>
  </si>
  <si>
    <t xml:space="preserve">225-226</t>
  </si>
  <si>
    <t xml:space="preserve">92-93</t>
  </si>
  <si>
    <t xml:space="preserve">226-206</t>
  </si>
  <si>
    <t xml:space="preserve">93-73</t>
  </si>
  <si>
    <t xml:space="preserve">227-228</t>
  </si>
  <si>
    <t xml:space="preserve">94-95</t>
  </si>
  <si>
    <t xml:space="preserve">228-208</t>
  </si>
  <si>
    <t xml:space="preserve">95-75</t>
  </si>
  <si>
    <t xml:space="preserve">229-230</t>
  </si>
  <si>
    <t xml:space="preserve">96-97</t>
  </si>
  <si>
    <t xml:space="preserve">230-210</t>
  </si>
  <si>
    <t xml:space="preserve">97-77</t>
  </si>
  <si>
    <t xml:space="preserve">215-217</t>
  </si>
  <si>
    <t xml:space="preserve">82-84</t>
  </si>
  <si>
    <t xml:space="preserve">217-212</t>
  </si>
  <si>
    <t xml:space="preserve">84-79</t>
  </si>
  <si>
    <t xml:space="preserve">219-221</t>
  </si>
  <si>
    <t xml:space="preserve">86-88</t>
  </si>
  <si>
    <t xml:space="preserve">221-241</t>
  </si>
  <si>
    <t xml:space="preserve">88-109</t>
  </si>
  <si>
    <t xml:space="preserve">223-225</t>
  </si>
  <si>
    <t xml:space="preserve">90-92</t>
  </si>
  <si>
    <t xml:space="preserve">225-239</t>
  </si>
  <si>
    <t xml:space="preserve">92-107</t>
  </si>
  <si>
    <t xml:space="preserve">227-229</t>
  </si>
  <si>
    <t xml:space="preserve">94-96</t>
  </si>
  <si>
    <t xml:space="preserve">229-237</t>
  </si>
  <si>
    <t xml:space="preserve">96-105</t>
  </si>
  <si>
    <t xml:space="preserve">220-222</t>
  </si>
  <si>
    <t xml:space="preserve">87-89</t>
  </si>
  <si>
    <t xml:space="preserve">222-224</t>
  </si>
  <si>
    <t xml:space="preserve">89-91</t>
  </si>
  <si>
    <t xml:space="preserve">224-226</t>
  </si>
  <si>
    <t xml:space="preserve">91-93</t>
  </si>
  <si>
    <t xml:space="preserve">226-228</t>
  </si>
  <si>
    <t xml:space="preserve">93-95</t>
  </si>
  <si>
    <t xml:space="preserve">228-230</t>
  </si>
  <si>
    <t xml:space="preserve">95-97</t>
  </si>
  <si>
    <t xml:space="preserve">230-217</t>
  </si>
  <si>
    <t xml:space="preserve">97-84</t>
  </si>
  <si>
    <t xml:space="preserve">200-202</t>
  </si>
  <si>
    <t xml:space="preserve">67-69</t>
  </si>
  <si>
    <t xml:space="preserve">202-204</t>
  </si>
  <si>
    <t xml:space="preserve">69-71</t>
  </si>
  <si>
    <t xml:space="preserve">204-206</t>
  </si>
  <si>
    <t xml:space="preserve">71-73</t>
  </si>
  <si>
    <t xml:space="preserve">206-208</t>
  </si>
  <si>
    <t xml:space="preserve">73-75</t>
  </si>
  <si>
    <t xml:space="preserve">208-210</t>
  </si>
  <si>
    <t xml:space="preserve">75-77</t>
  </si>
  <si>
    <t xml:space="preserve">210-212</t>
  </si>
  <si>
    <t xml:space="preserve">77-79</t>
  </si>
  <si>
    <t xml:space="preserve">BEAM3</t>
  </si>
  <si>
    <t xml:space="preserve">IPN 300 A-36</t>
  </si>
  <si>
    <t xml:space="preserve">186-154</t>
  </si>
  <si>
    <t xml:space="preserve">53-21</t>
  </si>
  <si>
    <t xml:space="preserve">154-218</t>
  </si>
  <si>
    <t xml:space="preserve">21-85</t>
  </si>
  <si>
    <t xml:space="preserve">180-148</t>
  </si>
  <si>
    <t xml:space="preserve">47-15</t>
  </si>
  <si>
    <t xml:space="preserve">148-212</t>
  </si>
  <si>
    <t xml:space="preserve">15-79</t>
  </si>
  <si>
    <t xml:space="preserve">PHA_50</t>
  </si>
  <si>
    <t xml:space="preserve">CHA 50x50 A-36</t>
  </si>
  <si>
    <t xml:space="preserve">235-180</t>
  </si>
  <si>
    <t xml:space="preserve">102-47</t>
  </si>
  <si>
    <t xml:space="preserve">231-186</t>
  </si>
  <si>
    <t xml:space="preserve">98-53</t>
  </si>
  <si>
    <t xml:space="preserve">232-154</t>
  </si>
  <si>
    <t xml:space="preserve">99-21</t>
  </si>
  <si>
    <t xml:space="preserve">236-148</t>
  </si>
  <si>
    <t xml:space="preserve">103-15</t>
  </si>
  <si>
    <t xml:space="preserve">212-234</t>
  </si>
  <si>
    <t xml:space="preserve">79-101</t>
  </si>
  <si>
    <t xml:space="preserve">218-233</t>
  </si>
  <si>
    <t xml:space="preserve">85-100</t>
  </si>
  <si>
    <t xml:space="preserve">BRACE1</t>
  </si>
  <si>
    <t xml:space="preserve">UPN 180 A-36</t>
  </si>
  <si>
    <t xml:space="preserve">182-154</t>
  </si>
  <si>
    <t xml:space="preserve">49-21</t>
  </si>
  <si>
    <t xml:space="preserve">150-218</t>
  </si>
  <si>
    <t xml:space="preserve">17-85</t>
  </si>
  <si>
    <t xml:space="preserve">136-219</t>
  </si>
  <si>
    <t xml:space="preserve">3-86</t>
  </si>
  <si>
    <t xml:space="preserve">168-155</t>
  </si>
  <si>
    <t xml:space="preserve">35-22</t>
  </si>
  <si>
    <t xml:space="preserve">189-138</t>
  </si>
  <si>
    <t xml:space="preserve">56-5</t>
  </si>
  <si>
    <t xml:space="preserve">172-159</t>
  </si>
  <si>
    <t xml:space="preserve">39-26</t>
  </si>
  <si>
    <t xml:space="preserve">157-202</t>
  </si>
  <si>
    <t xml:space="preserve">24-69</t>
  </si>
  <si>
    <t xml:space="preserve">140-223</t>
  </si>
  <si>
    <t xml:space="preserve">7-90</t>
  </si>
  <si>
    <t xml:space="preserve">193-142</t>
  </si>
  <si>
    <t xml:space="preserve">60-9</t>
  </si>
  <si>
    <t xml:space="preserve">176-163</t>
  </si>
  <si>
    <t xml:space="preserve">43-30</t>
  </si>
  <si>
    <t xml:space="preserve">161-206</t>
  </si>
  <si>
    <t xml:space="preserve">28-73</t>
  </si>
  <si>
    <t xml:space="preserve">144-227</t>
  </si>
  <si>
    <t xml:space="preserve">11-94</t>
  </si>
  <si>
    <t xml:space="preserve">197-146</t>
  </si>
  <si>
    <t xml:space="preserve">64-13</t>
  </si>
  <si>
    <t xml:space="preserve">180-151</t>
  </si>
  <si>
    <t xml:space="preserve">47-18</t>
  </si>
  <si>
    <t xml:space="preserve">165-210</t>
  </si>
  <si>
    <t xml:space="preserve">32-77</t>
  </si>
  <si>
    <t xml:space="preserve">148-215</t>
  </si>
  <si>
    <t xml:space="preserve">15-82</t>
  </si>
  <si>
    <t xml:space="preserve">BEAM4</t>
  </si>
  <si>
    <t xml:space="preserve">237-256</t>
  </si>
  <si>
    <t xml:space="preserve">105-126</t>
  </si>
  <si>
    <t xml:space="preserve">239-255</t>
  </si>
  <si>
    <t xml:space="preserve">107-125</t>
  </si>
  <si>
    <t xml:space="preserve">241-254</t>
  </si>
  <si>
    <t xml:space="preserve">109-124</t>
  </si>
  <si>
    <t xml:space="preserve">243-253</t>
  </si>
  <si>
    <t xml:space="preserve">111-123</t>
  </si>
  <si>
    <t xml:space="preserve">BRACE2</t>
  </si>
  <si>
    <t xml:space="preserve">180-257</t>
  </si>
  <si>
    <t xml:space="preserve">47-127</t>
  </si>
  <si>
    <t xml:space="preserve">178-258</t>
  </si>
  <si>
    <t xml:space="preserve">45-128</t>
  </si>
  <si>
    <t xml:space="preserve">176-259</t>
  </si>
  <si>
    <t xml:space="preserve">43-129</t>
  </si>
  <si>
    <t xml:space="preserve">174-260</t>
  </si>
  <si>
    <t xml:space="preserve">41-130</t>
  </si>
  <si>
    <t xml:space="preserve">172-261</t>
  </si>
  <si>
    <t xml:space="preserve">39-131</t>
  </si>
  <si>
    <t xml:space="preserve">170-262</t>
  </si>
  <si>
    <t xml:space="preserve">37-132</t>
  </si>
  <si>
    <t xml:space="preserve">168-263</t>
  </si>
  <si>
    <t xml:space="preserve">35-133</t>
  </si>
  <si>
    <t xml:space="preserve">186-264</t>
  </si>
  <si>
    <t xml:space="preserve">53-134</t>
  </si>
  <si>
    <t xml:space="preserve">BEAM5</t>
  </si>
  <si>
    <t xml:space="preserve">IPB 200 A-36</t>
  </si>
  <si>
    <t xml:space="preserve">252-251</t>
  </si>
  <si>
    <t xml:space="preserve">122-121</t>
  </si>
  <si>
    <t xml:space="preserve">253-155</t>
  </si>
  <si>
    <t xml:space="preserve">123-22</t>
  </si>
  <si>
    <t xml:space="preserve">254-159</t>
  </si>
  <si>
    <t xml:space="preserve">124-26</t>
  </si>
  <si>
    <t xml:space="preserve">255-163</t>
  </si>
  <si>
    <t xml:space="preserve">125-30</t>
  </si>
  <si>
    <t xml:space="preserve">256-151</t>
  </si>
  <si>
    <t xml:space="preserve">126-18</t>
  </si>
  <si>
    <t xml:space="preserve">244-187</t>
  </si>
  <si>
    <t xml:space="preserve">112-54</t>
  </si>
  <si>
    <t xml:space="preserve">242-191</t>
  </si>
  <si>
    <t xml:space="preserve">110-58</t>
  </si>
  <si>
    <t xml:space="preserve">240-195</t>
  </si>
  <si>
    <t xml:space="preserve">108-62</t>
  </si>
  <si>
    <t xml:space="preserve">238-183</t>
  </si>
  <si>
    <t xml:space="preserve">106-50</t>
  </si>
  <si>
    <t xml:space="preserve">243-219</t>
  </si>
  <si>
    <t xml:space="preserve">111-86</t>
  </si>
  <si>
    <t xml:space="preserve">241-223</t>
  </si>
  <si>
    <t xml:space="preserve">109-90</t>
  </si>
  <si>
    <t xml:space="preserve">239-227</t>
  </si>
  <si>
    <t xml:space="preserve">107-94</t>
  </si>
  <si>
    <t xml:space="preserve">237-215</t>
  </si>
  <si>
    <t xml:space="preserve">105-82</t>
  </si>
  <si>
    <t xml:space="preserve">256-238</t>
  </si>
  <si>
    <t xml:space="preserve">126-106</t>
  </si>
  <si>
    <t xml:space="preserve">255-240</t>
  </si>
  <si>
    <t xml:space="preserve">125-108</t>
  </si>
  <si>
    <t xml:space="preserve">254-242</t>
  </si>
  <si>
    <t xml:space="preserve">124-110</t>
  </si>
  <si>
    <t xml:space="preserve">253-244</t>
  </si>
  <si>
    <t xml:space="preserve">123-112</t>
  </si>
  <si>
    <t xml:space="preserve">251-250</t>
  </si>
  <si>
    <t xml:space="preserve">121-120</t>
  </si>
  <si>
    <t xml:space="preserve">250-249</t>
  </si>
  <si>
    <t xml:space="preserve">120-119</t>
  </si>
  <si>
    <t xml:space="preserve">249-248</t>
  </si>
  <si>
    <t xml:space="preserve">119-118</t>
  </si>
  <si>
    <t xml:space="preserve">248-247</t>
  </si>
  <si>
    <t xml:space="preserve">118-117</t>
  </si>
  <si>
    <t xml:space="preserve">247-246</t>
  </si>
  <si>
    <t xml:space="preserve">117-116</t>
  </si>
  <si>
    <t xml:space="preserve">246-245</t>
  </si>
  <si>
    <t xml:space="preserve">116-114</t>
  </si>
  <si>
    <t xml:space="preserve">257-245</t>
  </si>
  <si>
    <t xml:space="preserve">127-114</t>
  </si>
  <si>
    <t xml:space="preserve">258-246</t>
  </si>
  <si>
    <t xml:space="preserve">128-116</t>
  </si>
  <si>
    <t xml:space="preserve">259-247</t>
  </si>
  <si>
    <t xml:space="preserve">129-117</t>
  </si>
  <si>
    <t xml:space="preserve">260-248</t>
  </si>
  <si>
    <t xml:space="preserve">130-118</t>
  </si>
  <si>
    <t xml:space="preserve">261-249</t>
  </si>
  <si>
    <t xml:space="preserve">131-119</t>
  </si>
  <si>
    <t xml:space="preserve">262-250</t>
  </si>
  <si>
    <t xml:space="preserve">132-120</t>
  </si>
  <si>
    <t xml:space="preserve">263-251</t>
  </si>
  <si>
    <t xml:space="preserve">133-121</t>
  </si>
  <si>
    <t xml:space="preserve">264-252</t>
  </si>
  <si>
    <t xml:space="preserve">134-122</t>
  </si>
  <si>
    <t xml:space="preserve">BRACE3</t>
  </si>
  <si>
    <t xml:space="preserve">264-182</t>
  </si>
  <si>
    <t xml:space="preserve">134-49</t>
  </si>
  <si>
    <t xml:space="preserve">263-187</t>
  </si>
  <si>
    <t xml:space="preserve">133-54</t>
  </si>
  <si>
    <t xml:space="preserve">262-189</t>
  </si>
  <si>
    <t xml:space="preserve">132-56</t>
  </si>
  <si>
    <t xml:space="preserve">261-191</t>
  </si>
  <si>
    <t xml:space="preserve">131-58</t>
  </si>
  <si>
    <t xml:space="preserve">260-193</t>
  </si>
  <si>
    <t xml:space="preserve">130-60</t>
  </si>
  <si>
    <t xml:space="preserve">259-195</t>
  </si>
  <si>
    <t xml:space="preserve">129-62</t>
  </si>
  <si>
    <t xml:space="preserve">258-197</t>
  </si>
  <si>
    <t xml:space="preserve">128-64</t>
  </si>
  <si>
    <t xml:space="preserve">257-183</t>
  </si>
  <si>
    <t xml:space="preserve">127-50</t>
  </si>
  <si>
    <t xml:space="preserve">Desplazamientos de nudos — existente vs modificada</t>
  </si>
  <si>
    <t xml:space="preserve">Traslaciones [cm], rotaciones [rad] · condición id0=P</t>
  </si>
  <si>
    <t xml:space="preserve">TX exist.</t>
  </si>
  <si>
    <t xml:space="preserve">TY exist.</t>
  </si>
  <si>
    <t xml:space="preserve">TZ exist.</t>
  </si>
  <si>
    <t xml:space="preserve">RX exist.</t>
  </si>
  <si>
    <t xml:space="preserve">RY exist.</t>
  </si>
  <si>
    <t xml:space="preserve">RZ exist.</t>
  </si>
  <si>
    <t xml:space="preserve">TX modif.</t>
  </si>
  <si>
    <t xml:space="preserve">TY modif.</t>
  </si>
  <si>
    <t xml:space="preserve">TZ modif.</t>
  </si>
  <si>
    <t xml:space="preserve">RX modif.</t>
  </si>
  <si>
    <t xml:space="preserve">RY modif.</t>
  </si>
  <si>
    <t xml:space="preserve">|δ| exist. [cm]</t>
  </si>
  <si>
    <t xml:space="preserve">|δ| modif. [cm]</t>
  </si>
  <si>
    <t xml:space="preserve">Δ|δ| [cm]</t>
  </si>
  <si>
    <t xml:space="preserve">RZ modif.</t>
  </si>
  <si>
    <t xml:space="preserve">Relevante</t>
  </si>
  <si>
    <t xml:space="preserve">|TX| exist.</t>
  </si>
  <si>
    <t xml:space="preserve">|TX| modif.</t>
  </si>
  <si>
    <t xml:space="preserve">|TY| exist.</t>
  </si>
  <si>
    <t xml:space="preserve">|TY| modif.</t>
  </si>
  <si>
    <t xml:space="preserve">|TZ| exist.</t>
  </si>
  <si>
    <t xml:space="preserve">|TZ| modif.</t>
  </si>
  <si>
    <t xml:space="preserve">Datos de entrada en azul (copiados de los listados de RAM). "Relevante" = |δ| existente ≥ 0,01 cm; en nudos casi inmóviles la variación % no es representativa.</t>
  </si>
  <si>
    <t xml:space="preserve">Tensiones por estación — existente vs modificada</t>
  </si>
  <si>
    <t xml:space="preserve">[Ton/cm²] · 5 estaciones por elemento (0, 0.25, 0.5, 0.75, 1 de L)</t>
  </si>
  <si>
    <t xml:space="preserve">Estación</t>
  </si>
  <si>
    <t xml:space="preserve">Axial E</t>
  </si>
  <si>
    <t xml:space="preserve">V2 E</t>
  </si>
  <si>
    <t xml:space="preserve">V3 E</t>
  </si>
  <si>
    <t xml:space="preserve">2-Pos E</t>
  </si>
  <si>
    <t xml:space="preserve">2-Neg E</t>
  </si>
  <si>
    <t xml:space="preserve">3-Pos E</t>
  </si>
  <si>
    <t xml:space="preserve">3-Neg E</t>
  </si>
  <si>
    <t xml:space="preserve">Axial M</t>
  </si>
  <si>
    <t xml:space="preserve">V2 M</t>
  </si>
  <si>
    <t xml:space="preserve">V3 M</t>
  </si>
  <si>
    <t xml:space="preserve">2-Pos M</t>
  </si>
  <si>
    <t xml:space="preserve">2-Neg M</t>
  </si>
  <si>
    <t xml:space="preserve">3-Pos M</t>
  </si>
  <si>
    <t xml:space="preserve">3-Neg M</t>
  </si>
  <si>
    <t xml:space="preserve">σ comb. E</t>
  </si>
  <si>
    <t xml:space="preserve">σ comb. M</t>
  </si>
  <si>
    <t xml:space="preserve">τ máx E</t>
  </si>
  <si>
    <t xml:space="preserve">τ máx M</t>
  </si>
  <si>
    <t xml:space="preserve">Tensiones y razón de uso por elemento — existente vs modificada</t>
  </si>
  <si>
    <t xml:space="preserve">Envolvente sobre las 5 estaciones · Fb y Fv según hoja Resumen</t>
  </si>
  <si>
    <t xml:space="preserve">Sección</t>
  </si>
  <si>
    <t xml:space="preserve">Long. [m]</t>
  </si>
  <si>
    <t xml:space="preserve">Axial máx E</t>
  </si>
  <si>
    <t xml:space="preserve">Axial máx M</t>
  </si>
  <si>
    <t xml:space="preserve">σ/Fb exist.</t>
  </si>
  <si>
    <t xml:space="preserve">σ/Fb modif.</t>
  </si>
  <si>
    <t xml:space="preserve">Δ razón σ/Fb</t>
  </si>
  <si>
    <t xml:space="preserve">τ/Fv exist.</t>
  </si>
  <si>
    <t xml:space="preserve">τ/Fv modif.</t>
  </si>
  <si>
    <t xml:space="preserve">Variación σ</t>
  </si>
  <si>
    <t xml:space="preserve">Estado modif.</t>
  </si>
  <si>
    <t xml:space="preserve">Δσ [Ton/cm²]</t>
  </si>
  <si>
    <t xml:space="preserve">Var. % σ</t>
  </si>
  <si>
    <t xml:space="preserve">2 UPN200</t>
  </si>
  <si>
    <t xml:space="preserve">IPN 300</t>
  </si>
  <si>
    <t xml:space="preserve">IPB 200</t>
  </si>
  <si>
    <t xml:space="preserve">UPN 180</t>
  </si>
  <si>
    <t xml:space="preserve">UPN 200</t>
  </si>
  <si>
    <t xml:space="preserve">CHA 50x50</t>
  </si>
  <si>
    <t xml:space="preserve">Resumen por grupo de elementos</t>
  </si>
  <si>
    <t xml:space="preserve">Máximos por descripción y sección</t>
  </si>
  <si>
    <t xml:space="preserve">N° elem.</t>
  </si>
  <si>
    <t xml:space="preserve">σ máx exist.</t>
  </si>
  <si>
    <t xml:space="preserve">σ máx modif.</t>
  </si>
  <si>
    <t xml:space="preserve">σ/Fb máx exist.</t>
  </si>
  <si>
    <t xml:space="preserve">σ/Fb máx modif.</t>
  </si>
  <si>
    <t xml:space="preserve">N° que aumentan</t>
  </si>
  <si>
    <t xml:space="preserve">N° que disminuyen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</si>
</sst>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00"/>
    <numFmt numFmtId="167" formatCode="0.0000"/>
    <numFmt numFmtId="168" formatCode="0.0%"/>
    <numFmt numFmtId="169" formatCode="0.00000"/>
    <numFmt numFmtId="170" formatCode="\+0.000;\-0.000;0.000"/>
    <numFmt numFmtId="171" formatCode="\+0.00;\-0.00;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9C0006"/>
      <name val="Arial"/>
      <family val="0"/>
      <charset val="1"/>
    </font>
    <font>
      <sz val="9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A5622E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>
          <bgColor rgb="FFFFC7CE"/>
        </patternFill>
      </fill>
    </dxf>
    <dxf>
      <fill>
        <patternFill patternType="solid">
          <fgColor rgb="FFA5622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00610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A5622E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8" min="5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4" t="s">
        <v>3</v>
      </c>
      <c r="B5" s="5" t="n">
        <v>2.53</v>
      </c>
      <c r="C5" s="6" t="s">
        <v>4</v>
      </c>
    </row>
    <row r="6" customFormat="false" ht="15" hidden="false" customHeight="false" outlineLevel="0" collapsed="false">
      <c r="A6" s="4" t="s">
        <v>5</v>
      </c>
      <c r="B6" s="5" t="n">
        <v>0.6</v>
      </c>
      <c r="C6" s="6" t="s">
        <v>6</v>
      </c>
    </row>
    <row r="7" customFormat="false" ht="15" hidden="false" customHeight="false" outlineLevel="0" collapsed="false">
      <c r="A7" s="4" t="s">
        <v>7</v>
      </c>
      <c r="B7" s="7" t="n">
        <v>0.4</v>
      </c>
      <c r="C7" s="6" t="s">
        <v>8</v>
      </c>
    </row>
    <row r="8" customFormat="false" ht="15" hidden="false" customHeight="false" outlineLevel="0" collapsed="false">
      <c r="A8" s="4" t="s">
        <v>9</v>
      </c>
      <c r="B8" s="7" t="n">
        <v>0.02</v>
      </c>
      <c r="C8" s="6" t="s">
        <v>10</v>
      </c>
    </row>
    <row r="10" customFormat="false" ht="15" hidden="false" customHeight="false" outlineLevel="0" collapsed="false">
      <c r="A10" s="4" t="s">
        <v>11</v>
      </c>
      <c r="B10" s="8" t="n">
        <f aca="false">B5*B6</f>
        <v>1.518</v>
      </c>
    </row>
    <row r="11" customFormat="false" ht="15" hidden="false" customHeight="false" outlineLevel="0" collapsed="false">
      <c r="A11" s="4" t="s">
        <v>12</v>
      </c>
      <c r="B11" s="8" t="n">
        <f aca="false">B5*B7</f>
        <v>1.012</v>
      </c>
    </row>
    <row r="13" customFormat="false" ht="15" hidden="false" customHeight="false" outlineLevel="0" collapsed="false">
      <c r="A13" s="3" t="s">
        <v>13</v>
      </c>
      <c r="B13" s="3"/>
      <c r="C13" s="3"/>
    </row>
    <row r="14" customFormat="false" ht="15" hidden="false" customHeight="false" outlineLevel="0" collapsed="false">
      <c r="A14" s="4" t="s">
        <v>14</v>
      </c>
      <c r="B14" s="4" t="n">
        <f aca="false">COUNTA(Correspondencia!A5:A200)</f>
        <v>130</v>
      </c>
      <c r="C14" s="4" t="n">
        <f aca="false">COUNTA(Correspondencia!B5:B200)</f>
        <v>130</v>
      </c>
    </row>
    <row r="15" customFormat="false" ht="15" hidden="false" customHeight="false" outlineLevel="0" collapsed="false">
      <c r="A15" s="4" t="s">
        <v>15</v>
      </c>
      <c r="B15" s="4" t="n">
        <f aca="false">COUNTA(Correspondencia!H5:H400)</f>
        <v>212</v>
      </c>
      <c r="C15" s="4" t="n">
        <f aca="false">COUNTA(Correspondencia!I5:I400)</f>
        <v>212</v>
      </c>
    </row>
    <row r="16" customFormat="false" ht="15" hidden="false" customHeight="false" outlineLevel="0" collapsed="false">
      <c r="A16" s="4" t="s">
        <v>16</v>
      </c>
      <c r="B16" s="4" t="n">
        <f aca="false">COUNT(Desplazamientos!A5:A200)</f>
        <v>130</v>
      </c>
      <c r="C16" s="4"/>
    </row>
    <row r="17" customFormat="false" ht="15" hidden="false" customHeight="false" outlineLevel="0" collapsed="false">
      <c r="A17" s="4" t="s">
        <v>17</v>
      </c>
      <c r="B17" s="4" t="n">
        <f aca="false">COUNT(Tensiones!A5:A400)</f>
        <v>212</v>
      </c>
      <c r="C17" s="4"/>
    </row>
    <row r="18" customFormat="false" ht="15" hidden="false" customHeight="false" outlineLevel="0" collapsed="false">
      <c r="A18" s="4" t="s">
        <v>18</v>
      </c>
      <c r="B18" s="4" t="n">
        <f aca="false">COUNTIF(Correspondencia!M5:M400,"DISTINTA")</f>
        <v>0</v>
      </c>
      <c r="C18" s="4"/>
    </row>
    <row r="20" customFormat="false" ht="30" hidden="false" customHeight="true" outlineLevel="0" collapsed="false">
      <c r="A20" s="9" t="s">
        <v>19</v>
      </c>
      <c r="B20" s="9"/>
      <c r="C20" s="9"/>
      <c r="D20" s="9"/>
      <c r="E20" s="9"/>
      <c r="F20" s="9"/>
      <c r="G20" s="9"/>
      <c r="H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  <c r="H22" s="9"/>
    </row>
    <row r="24" customFormat="false" ht="15" hidden="false" customHeight="false" outlineLevel="0" collapsed="false">
      <c r="A24" s="3" t="s">
        <v>20</v>
      </c>
      <c r="B24" s="3"/>
      <c r="C24" s="3"/>
      <c r="D24" s="3"/>
      <c r="E24" s="3"/>
    </row>
    <row r="25" customFormat="false" ht="15" hidden="false" customHeight="false" outlineLevel="0" collapsed="false">
      <c r="A25" s="10" t="s">
        <v>21</v>
      </c>
      <c r="B25" s="10" t="s">
        <v>22</v>
      </c>
      <c r="C25" s="10" t="s">
        <v>23</v>
      </c>
      <c r="D25" s="10" t="s">
        <v>24</v>
      </c>
      <c r="E25" s="10" t="s">
        <v>25</v>
      </c>
    </row>
    <row r="26" customFormat="false" ht="15" hidden="false" customHeight="false" outlineLevel="0" collapsed="false">
      <c r="A26" s="11" t="s">
        <v>26</v>
      </c>
      <c r="B26" s="11" t="n">
        <f aca="false">MAX(Desplazamientos!N5:N200)</f>
        <v>0.0555665780843125</v>
      </c>
      <c r="C26" s="11" t="n">
        <f aca="false">MAX(Desplazamientos!O5:O200)</f>
        <v>0.057132368233778</v>
      </c>
      <c r="D26" s="11" t="n">
        <f aca="false">C26-B26</f>
        <v>0.00156579014946544</v>
      </c>
      <c r="E26" s="12" t="n">
        <f aca="false">IF(B26=0,"-",C26/B26-1)</f>
        <v>0.0281786318943309</v>
      </c>
    </row>
    <row r="27" customFormat="false" ht="15" hidden="false" customHeight="false" outlineLevel="0" collapsed="false">
      <c r="A27" s="11" t="s">
        <v>27</v>
      </c>
      <c r="B27" s="11" t="n">
        <f aca="false">MAX(Desplazamientos!U5:U200)</f>
        <v>0.05283</v>
      </c>
      <c r="C27" s="11" t="n">
        <f aca="false">MAX(Desplazamientos!V5:V200)</f>
        <v>0.05435</v>
      </c>
      <c r="D27" s="11" t="n">
        <f aca="false">C27-B27</f>
        <v>0.00152</v>
      </c>
      <c r="E27" s="12" t="n">
        <f aca="false">IF(B27=0,"-",C27/B27-1)</f>
        <v>0.0287715313268977</v>
      </c>
    </row>
    <row r="28" customFormat="false" ht="15" hidden="false" customHeight="false" outlineLevel="0" collapsed="false">
      <c r="A28" s="11" t="s">
        <v>28</v>
      </c>
      <c r="B28" s="11" t="n">
        <f aca="false">MAX(Desplazamientos!W5:W200)</f>
        <v>0.03034</v>
      </c>
      <c r="C28" s="11" t="n">
        <f aca="false">MAX(Desplazamientos!X5:X200)</f>
        <v>0.03255</v>
      </c>
      <c r="D28" s="11" t="n">
        <f aca="false">C28-B28</f>
        <v>0.00221</v>
      </c>
      <c r="E28" s="12" t="n">
        <f aca="false">IF(B28=0,"-",C28/B28-1)</f>
        <v>0.0728411338167436</v>
      </c>
    </row>
    <row r="29" customFormat="false" ht="15" hidden="false" customHeight="false" outlineLevel="0" collapsed="false">
      <c r="A29" s="11" t="s">
        <v>29</v>
      </c>
      <c r="B29" s="11" t="n">
        <f aca="false">MAX(Desplazamientos!Y5:Y200)</f>
        <v>0.00785</v>
      </c>
      <c r="C29" s="11" t="n">
        <f aca="false">MAX(Desplazamientos!Z5:Z200)</f>
        <v>0.00808</v>
      </c>
      <c r="D29" s="11" t="n">
        <f aca="false">C29-B29</f>
        <v>0.000230000000000001</v>
      </c>
      <c r="E29" s="12" t="n">
        <f aca="false">IF(B29=0,"-",C29/B29-1)</f>
        <v>0.0292993630573251</v>
      </c>
    </row>
    <row r="30" customFormat="false" ht="15" hidden="false" customHeight="false" outlineLevel="0" collapsed="false">
      <c r="A30" s="13" t="s">
        <v>30</v>
      </c>
      <c r="B30" s="13" t="n">
        <f aca="false">MAX(Tensiones!H5:H400)</f>
        <v>0.42</v>
      </c>
      <c r="C30" s="13" t="n">
        <f aca="false">MAX(Tensiones!K5:K400)</f>
        <v>0.44</v>
      </c>
      <c r="D30" s="13" t="n">
        <f aca="false">C30-B30</f>
        <v>0.02</v>
      </c>
      <c r="E30" s="12" t="n">
        <f aca="false">IF(B30=0,"-",C30/B30-1)</f>
        <v>0.0476190476190477</v>
      </c>
    </row>
    <row r="31" customFormat="false" ht="15" hidden="false" customHeight="false" outlineLevel="0" collapsed="false">
      <c r="A31" s="13" t="s">
        <v>31</v>
      </c>
      <c r="B31" s="13" t="n">
        <f aca="false">MAX(Tensiones!G5:G400)</f>
        <v>0.09</v>
      </c>
      <c r="C31" s="13" t="n">
        <f aca="false">MAX(Tensiones!J5:J400)</f>
        <v>0.09</v>
      </c>
      <c r="D31" s="13" t="n">
        <f aca="false">C31-B31</f>
        <v>0</v>
      </c>
      <c r="E31" s="12" t="n">
        <f aca="false">IF(B31=0,"-",C31/B31-1)</f>
        <v>0</v>
      </c>
    </row>
    <row r="32" customFormat="false" ht="15" hidden="false" customHeight="false" outlineLevel="0" collapsed="false">
      <c r="A32" s="13" t="s">
        <v>32</v>
      </c>
      <c r="B32" s="13" t="n">
        <f aca="false">MAX(Tensiones!L5:L400)</f>
        <v>0.276679841897233</v>
      </c>
      <c r="C32" s="13" t="n">
        <f aca="false">MAX(Tensiones!M5:M400)</f>
        <v>0.289855072463768</v>
      </c>
      <c r="D32" s="13" t="n">
        <f aca="false">C32-B32</f>
        <v>0.013175230566535</v>
      </c>
      <c r="E32" s="12" t="n">
        <f aca="false">IF(B32=0,"-",C32/B32-1)</f>
        <v>0.0476190476190479</v>
      </c>
    </row>
    <row r="33" customFormat="false" ht="15" hidden="false" customHeight="false" outlineLevel="0" collapsed="false">
      <c r="A33" s="13" t="s">
        <v>33</v>
      </c>
      <c r="B33" s="13" t="n">
        <f aca="false">MAX(Tensiones!O5:O400)</f>
        <v>0.0889328063241107</v>
      </c>
      <c r="C33" s="13" t="n">
        <f aca="false">MAX(Tensiones!P5:P400)</f>
        <v>0.0889328063241107</v>
      </c>
      <c r="D33" s="13" t="n">
        <f aca="false">C33-B33</f>
        <v>0</v>
      </c>
      <c r="E33" s="12" t="n">
        <f aca="false">IF(B33=0,"-",C33/B33-1)</f>
        <v>0</v>
      </c>
    </row>
    <row r="34" customFormat="false" ht="15" hidden="false" customHeight="false" outlineLevel="0" collapsed="false">
      <c r="A34" s="11" t="s">
        <v>34</v>
      </c>
      <c r="B34" s="11" t="n">
        <f aca="false">AVERAGE(Desplazamientos!N5:N200)</f>
        <v>0.0247667792565244</v>
      </c>
      <c r="C34" s="11" t="n">
        <f aca="false">AVERAGE(Desplazamientos!O5:O200)</f>
        <v>0.0259648421764368</v>
      </c>
      <c r="D34" s="11" t="n">
        <f aca="false">C34-B34</f>
        <v>0.00119806291991243</v>
      </c>
      <c r="E34" s="12" t="n">
        <f aca="false">IF(B34=0,"-",C34/B34-1)</f>
        <v>0.0483737876250834</v>
      </c>
    </row>
    <row r="35" customFormat="false" ht="15" hidden="false" customHeight="false" outlineLevel="0" collapsed="false">
      <c r="A35" s="13" t="s">
        <v>35</v>
      </c>
      <c r="B35" s="13" t="n">
        <f aca="false">AVERAGEIFS(Tensiones!H5:H400,Tensiones!H5:H400,"&gt;=0.05")</f>
        <v>0.0977272727272727</v>
      </c>
      <c r="C35" s="13" t="n">
        <f aca="false">AVERAGEIFS(Tensiones!K5:K400,Tensiones!H5:H400,"&gt;=0.05")</f>
        <v>0.100984848484848</v>
      </c>
      <c r="D35" s="13" t="n">
        <f aca="false">C35-B35</f>
        <v>0.00325757575757575</v>
      </c>
      <c r="E35" s="12" t="n">
        <f aca="false">IF(B35=0,"-",C35/B35-1)</f>
        <v>0.0333333333333332</v>
      </c>
    </row>
    <row r="37" customFormat="false" ht="15" hidden="false" customHeight="false" outlineLevel="0" collapsed="false">
      <c r="A37" s="4" t="s">
        <v>36</v>
      </c>
      <c r="B37" s="4" t="n">
        <f aca="false">COUNTIF(Tensiones!Q5:Q400,"AUMENTA")</f>
        <v>20</v>
      </c>
    </row>
    <row r="38" customFormat="false" ht="15" hidden="false" customHeight="false" outlineLevel="0" collapsed="false">
      <c r="A38" s="4" t="s">
        <v>37</v>
      </c>
      <c r="B38" s="4" t="n">
        <f aca="false">COUNTIF(Tensiones!Q5:Q400,"DISMINUYE")</f>
        <v>7</v>
      </c>
    </row>
    <row r="39" customFormat="false" ht="15" hidden="false" customHeight="false" outlineLevel="0" collapsed="false">
      <c r="A39" s="4" t="s">
        <v>38</v>
      </c>
      <c r="B39" s="4" t="n">
        <f aca="false">COUNTIF(Tensiones!Q5:Q400,"SIN CAMBIO")</f>
        <v>185</v>
      </c>
    </row>
    <row r="40" customFormat="false" ht="15" hidden="false" customHeight="false" outlineLevel="0" collapsed="false">
      <c r="A40" s="4" t="s">
        <v>39</v>
      </c>
      <c r="B40" s="4" t="n">
        <f aca="false">COUNTIF(Tensiones!R5:R400,"NO CUMPLE")</f>
        <v>0</v>
      </c>
    </row>
    <row r="41" customFormat="false" ht="15" hidden="false" customHeight="false" outlineLevel="0" collapsed="false">
      <c r="A41" s="14" t="s">
        <v>40</v>
      </c>
      <c r="B41" s="14" t="str">
        <f aca="false">IF(B40=0,"CUMPLE","NO CUMPLE")</f>
        <v>CUMPLE</v>
      </c>
    </row>
    <row r="43" customFormat="false" ht="15" hidden="false" customHeight="false" outlineLevel="0" collapsed="false">
      <c r="A43" s="15" t="s">
        <v>41</v>
      </c>
    </row>
    <row r="44" customFormat="false" ht="25.5" hidden="false" customHeight="true" outlineLevel="0" collapsed="false">
      <c r="A44" s="16" t="s">
        <v>42</v>
      </c>
      <c r="B44" s="16"/>
      <c r="C44" s="16"/>
      <c r="D44" s="16"/>
      <c r="E44" s="16"/>
      <c r="F44" s="16"/>
      <c r="G44" s="16"/>
      <c r="H44" s="16"/>
    </row>
    <row r="45" customFormat="false" ht="25.5" hidden="false" customHeight="true" outlineLevel="0" collapsed="false">
      <c r="A45" s="16" t="s">
        <v>43</v>
      </c>
      <c r="B45" s="16"/>
      <c r="C45" s="16"/>
      <c r="D45" s="16"/>
      <c r="E45" s="16"/>
      <c r="F45" s="16"/>
      <c r="G45" s="16"/>
      <c r="H45" s="16"/>
    </row>
    <row r="46" customFormat="false" ht="25.5" hidden="false" customHeight="true" outlineLevel="0" collapsed="false">
      <c r="A46" s="16" t="s">
        <v>44</v>
      </c>
      <c r="B46" s="16"/>
      <c r="C46" s="16"/>
      <c r="D46" s="16"/>
      <c r="E46" s="16"/>
      <c r="F46" s="16"/>
      <c r="G46" s="16"/>
      <c r="H46" s="16"/>
    </row>
    <row r="47" customFormat="false" ht="25.5" hidden="false" customHeight="true" outlineLevel="0" collapsed="false">
      <c r="A47" s="16" t="s">
        <v>45</v>
      </c>
      <c r="B47" s="16"/>
      <c r="C47" s="16"/>
      <c r="D47" s="16"/>
      <c r="E47" s="16"/>
      <c r="F47" s="16"/>
      <c r="G47" s="16"/>
      <c r="H47" s="16"/>
    </row>
    <row r="48" customFormat="false" ht="25.5" hidden="false" customHeight="true" outlineLevel="0" collapsed="false">
      <c r="A48" s="16" t="s">
        <v>46</v>
      </c>
      <c r="B48" s="16"/>
      <c r="C48" s="16"/>
      <c r="D48" s="16"/>
      <c r="E48" s="16"/>
      <c r="F48" s="16"/>
      <c r="G48" s="16"/>
      <c r="H48" s="16"/>
    </row>
  </sheetData>
  <mergeCells count="9">
    <mergeCell ref="A4:C4"/>
    <mergeCell ref="A13:C13"/>
    <mergeCell ref="A20:H22"/>
    <mergeCell ref="A24:E24"/>
    <mergeCell ref="A44:H44"/>
    <mergeCell ref="A45:H45"/>
    <mergeCell ref="A46:H46"/>
    <mergeCell ref="A47:H47"/>
    <mergeCell ref="A48:H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3"/>
    <col collapsed="false" customWidth="true" hidden="false" outlineLevel="0" max="9" min="8" style="0" width="10"/>
    <col collapsed="false" customWidth="true" hidden="false" outlineLevel="0" max="10" min="10" style="0" width="12"/>
    <col collapsed="false" customWidth="true" hidden="false" outlineLevel="0" max="12" min="11" style="0" width="14"/>
    <col collapsed="false" customWidth="true" hidden="false" outlineLevel="0" max="13" min="13" style="0" width="9"/>
    <col collapsed="false" customWidth="true" hidden="false" outlineLevel="0" max="15" min="14" style="0" width="14"/>
  </cols>
  <sheetData>
    <row r="1" customFormat="false" ht="17.35" hidden="false" customHeight="false" outlineLevel="0" collapsed="false">
      <c r="A1" s="1" t="s">
        <v>47</v>
      </c>
    </row>
    <row r="2" customFormat="false" ht="15" hidden="false" customHeight="false" outlineLevel="0" collapsed="false">
      <c r="A2" s="2" t="s">
        <v>48</v>
      </c>
    </row>
    <row r="4" customFormat="false" ht="42" hidden="false" customHeight="true" outlineLevel="0" collapsed="false">
      <c r="A4" s="17" t="s">
        <v>49</v>
      </c>
      <c r="B4" s="17" t="s">
        <v>50</v>
      </c>
      <c r="C4" s="17" t="s">
        <v>51</v>
      </c>
      <c r="D4" s="17" t="s">
        <v>52</v>
      </c>
      <c r="E4" s="17" t="s">
        <v>53</v>
      </c>
      <c r="F4" s="17" t="s">
        <v>54</v>
      </c>
      <c r="G4" s="17"/>
      <c r="H4" s="17" t="s">
        <v>55</v>
      </c>
      <c r="I4" s="17" t="s">
        <v>56</v>
      </c>
      <c r="J4" s="17" t="s">
        <v>57</v>
      </c>
      <c r="K4" s="17" t="s">
        <v>58</v>
      </c>
      <c r="L4" s="17" t="s">
        <v>59</v>
      </c>
      <c r="M4" s="17" t="s">
        <v>60</v>
      </c>
      <c r="N4" s="17" t="s">
        <v>61</v>
      </c>
      <c r="O4" s="17" t="s">
        <v>62</v>
      </c>
    </row>
    <row r="5" customFormat="false" ht="15" hidden="false" customHeight="false" outlineLevel="0" collapsed="false">
      <c r="A5" s="4" t="n">
        <v>135</v>
      </c>
      <c r="B5" s="4" t="n">
        <v>2</v>
      </c>
      <c r="C5" s="18" t="n">
        <v>0</v>
      </c>
      <c r="D5" s="18" t="n">
        <v>2.69</v>
      </c>
      <c r="E5" s="18" t="n">
        <v>15</v>
      </c>
      <c r="F5" s="18" t="n">
        <v>0</v>
      </c>
      <c r="H5" s="4" t="n">
        <v>225</v>
      </c>
      <c r="I5" s="4" t="n">
        <v>1</v>
      </c>
      <c r="J5" s="4" t="s">
        <v>63</v>
      </c>
      <c r="K5" s="4" t="s">
        <v>64</v>
      </c>
      <c r="L5" s="4" t="s">
        <v>64</v>
      </c>
      <c r="M5" s="4" t="str">
        <f aca="false">IF(K5=L5,"=","DISTINTA")</f>
        <v>=</v>
      </c>
      <c r="N5" s="4" t="s">
        <v>65</v>
      </c>
      <c r="O5" s="4" t="s">
        <v>66</v>
      </c>
    </row>
    <row r="6" customFormat="false" ht="15" hidden="false" customHeight="false" outlineLevel="0" collapsed="false">
      <c r="A6" s="4" t="n">
        <v>136</v>
      </c>
      <c r="B6" s="4" t="n">
        <v>3</v>
      </c>
      <c r="C6" s="18" t="n">
        <v>0</v>
      </c>
      <c r="D6" s="18" t="n">
        <v>0</v>
      </c>
      <c r="E6" s="18" t="n">
        <v>15.28</v>
      </c>
      <c r="F6" s="18" t="n">
        <v>0.28</v>
      </c>
      <c r="H6" s="4" t="n">
        <v>226</v>
      </c>
      <c r="I6" s="4" t="n">
        <v>2</v>
      </c>
      <c r="J6" s="4" t="s">
        <v>63</v>
      </c>
      <c r="K6" s="4" t="s">
        <v>64</v>
      </c>
      <c r="L6" s="4" t="s">
        <v>64</v>
      </c>
      <c r="M6" s="4" t="str">
        <f aca="false">IF(K6=L6,"=","DISTINTA")</f>
        <v>=</v>
      </c>
      <c r="N6" s="4" t="s">
        <v>67</v>
      </c>
      <c r="O6" s="4" t="s">
        <v>68</v>
      </c>
    </row>
    <row r="7" customFormat="false" ht="15" hidden="false" customHeight="false" outlineLevel="0" collapsed="false">
      <c r="A7" s="4" t="n">
        <v>137</v>
      </c>
      <c r="B7" s="4" t="n">
        <v>4</v>
      </c>
      <c r="C7" s="18" t="n">
        <v>0</v>
      </c>
      <c r="D7" s="18" t="n">
        <v>2.69</v>
      </c>
      <c r="E7" s="18" t="n">
        <v>15.28</v>
      </c>
      <c r="F7" s="18" t="n">
        <v>0.28</v>
      </c>
      <c r="H7" s="4" t="n">
        <v>227</v>
      </c>
      <c r="I7" s="4" t="n">
        <v>3</v>
      </c>
      <c r="J7" s="4" t="s">
        <v>63</v>
      </c>
      <c r="K7" s="4" t="s">
        <v>64</v>
      </c>
      <c r="L7" s="4" t="s">
        <v>64</v>
      </c>
      <c r="M7" s="4" t="str">
        <f aca="false">IF(K7=L7,"=","DISTINTA")</f>
        <v>=</v>
      </c>
      <c r="N7" s="4" t="s">
        <v>69</v>
      </c>
      <c r="O7" s="4" t="s">
        <v>70</v>
      </c>
    </row>
    <row r="8" customFormat="false" ht="15" hidden="false" customHeight="false" outlineLevel="0" collapsed="false">
      <c r="A8" s="4" t="n">
        <v>138</v>
      </c>
      <c r="B8" s="4" t="n">
        <v>5</v>
      </c>
      <c r="C8" s="18" t="n">
        <v>0</v>
      </c>
      <c r="D8" s="18" t="n">
        <v>0</v>
      </c>
      <c r="E8" s="18" t="n">
        <v>15.85</v>
      </c>
      <c r="F8" s="18" t="n">
        <v>0.85</v>
      </c>
      <c r="H8" s="4" t="n">
        <v>228</v>
      </c>
      <c r="I8" s="4" t="n">
        <v>4</v>
      </c>
      <c r="J8" s="4" t="s">
        <v>63</v>
      </c>
      <c r="K8" s="4" t="s">
        <v>64</v>
      </c>
      <c r="L8" s="4" t="s">
        <v>64</v>
      </c>
      <c r="M8" s="4" t="str">
        <f aca="false">IF(K8=L8,"=","DISTINTA")</f>
        <v>=</v>
      </c>
      <c r="N8" s="4" t="s">
        <v>71</v>
      </c>
      <c r="O8" s="4" t="s">
        <v>72</v>
      </c>
    </row>
    <row r="9" customFormat="false" ht="15" hidden="false" customHeight="false" outlineLevel="0" collapsed="false">
      <c r="A9" s="4" t="n">
        <v>139</v>
      </c>
      <c r="B9" s="4" t="n">
        <v>6</v>
      </c>
      <c r="C9" s="18" t="n">
        <v>0</v>
      </c>
      <c r="D9" s="18" t="n">
        <v>2.69</v>
      </c>
      <c r="E9" s="18" t="n">
        <v>15.85</v>
      </c>
      <c r="F9" s="18" t="n">
        <v>0.85</v>
      </c>
      <c r="H9" s="4" t="n">
        <v>229</v>
      </c>
      <c r="I9" s="4" t="n">
        <v>5</v>
      </c>
      <c r="J9" s="4" t="s">
        <v>63</v>
      </c>
      <c r="K9" s="4" t="s">
        <v>64</v>
      </c>
      <c r="L9" s="4" t="s">
        <v>64</v>
      </c>
      <c r="M9" s="4" t="str">
        <f aca="false">IF(K9=L9,"=","DISTINTA")</f>
        <v>=</v>
      </c>
      <c r="N9" s="4" t="s">
        <v>73</v>
      </c>
      <c r="O9" s="4" t="s">
        <v>74</v>
      </c>
    </row>
    <row r="10" customFormat="false" ht="15" hidden="false" customHeight="false" outlineLevel="0" collapsed="false">
      <c r="A10" s="4" t="n">
        <v>140</v>
      </c>
      <c r="B10" s="4" t="n">
        <v>7</v>
      </c>
      <c r="C10" s="18" t="n">
        <v>0</v>
      </c>
      <c r="D10" s="18" t="n">
        <v>0</v>
      </c>
      <c r="E10" s="18" t="n">
        <v>16.13</v>
      </c>
      <c r="F10" s="18" t="n">
        <v>1.13</v>
      </c>
      <c r="H10" s="4" t="n">
        <v>230</v>
      </c>
      <c r="I10" s="4" t="n">
        <v>6</v>
      </c>
      <c r="J10" s="4" t="s">
        <v>63</v>
      </c>
      <c r="K10" s="4" t="s">
        <v>64</v>
      </c>
      <c r="L10" s="4" t="s">
        <v>64</v>
      </c>
      <c r="M10" s="4" t="str">
        <f aca="false">IF(K10=L10,"=","DISTINTA")</f>
        <v>=</v>
      </c>
      <c r="N10" s="4" t="s">
        <v>75</v>
      </c>
      <c r="O10" s="4" t="s">
        <v>76</v>
      </c>
    </row>
    <row r="11" customFormat="false" ht="15" hidden="false" customHeight="false" outlineLevel="0" collapsed="false">
      <c r="A11" s="4" t="n">
        <v>141</v>
      </c>
      <c r="B11" s="4" t="n">
        <v>8</v>
      </c>
      <c r="C11" s="18" t="n">
        <v>0</v>
      </c>
      <c r="D11" s="18" t="n">
        <v>2.69</v>
      </c>
      <c r="E11" s="18" t="n">
        <v>16.13</v>
      </c>
      <c r="F11" s="18" t="n">
        <v>1.13</v>
      </c>
      <c r="H11" s="4" t="n">
        <v>231</v>
      </c>
      <c r="I11" s="4" t="n">
        <v>7</v>
      </c>
      <c r="J11" s="4" t="s">
        <v>63</v>
      </c>
      <c r="K11" s="4" t="s">
        <v>64</v>
      </c>
      <c r="L11" s="4" t="s">
        <v>64</v>
      </c>
      <c r="M11" s="4" t="str">
        <f aca="false">IF(K11=L11,"=","DISTINTA")</f>
        <v>=</v>
      </c>
      <c r="N11" s="4" t="s">
        <v>77</v>
      </c>
      <c r="O11" s="4" t="s">
        <v>78</v>
      </c>
    </row>
    <row r="12" customFormat="false" ht="15" hidden="false" customHeight="false" outlineLevel="0" collapsed="false">
      <c r="A12" s="4" t="n">
        <v>142</v>
      </c>
      <c r="B12" s="4" t="n">
        <v>9</v>
      </c>
      <c r="C12" s="18" t="n">
        <v>0</v>
      </c>
      <c r="D12" s="18" t="n">
        <v>0</v>
      </c>
      <c r="E12" s="18" t="n">
        <v>17.25</v>
      </c>
      <c r="F12" s="18" t="n">
        <v>2.25</v>
      </c>
      <c r="H12" s="4" t="n">
        <v>232</v>
      </c>
      <c r="I12" s="4" t="n">
        <v>8</v>
      </c>
      <c r="J12" s="4" t="s">
        <v>63</v>
      </c>
      <c r="K12" s="4" t="s">
        <v>64</v>
      </c>
      <c r="L12" s="4" t="s">
        <v>64</v>
      </c>
      <c r="M12" s="4" t="str">
        <f aca="false">IF(K12=L12,"=","DISTINTA")</f>
        <v>=</v>
      </c>
      <c r="N12" s="4" t="s">
        <v>79</v>
      </c>
      <c r="O12" s="4" t="s">
        <v>80</v>
      </c>
    </row>
    <row r="13" customFormat="false" ht="15" hidden="false" customHeight="false" outlineLevel="0" collapsed="false">
      <c r="A13" s="4" t="n">
        <v>143</v>
      </c>
      <c r="B13" s="4" t="n">
        <v>10</v>
      </c>
      <c r="C13" s="18" t="n">
        <v>0</v>
      </c>
      <c r="D13" s="18" t="n">
        <v>2.69</v>
      </c>
      <c r="E13" s="18" t="n">
        <v>17.25</v>
      </c>
      <c r="F13" s="18" t="n">
        <v>2.25</v>
      </c>
      <c r="H13" s="4" t="n">
        <v>233</v>
      </c>
      <c r="I13" s="4" t="n">
        <v>10</v>
      </c>
      <c r="J13" s="4" t="s">
        <v>81</v>
      </c>
      <c r="K13" s="4" t="s">
        <v>82</v>
      </c>
      <c r="L13" s="4" t="s">
        <v>82</v>
      </c>
      <c r="M13" s="4" t="str">
        <f aca="false">IF(K13=L13,"=","DISTINTA")</f>
        <v>=</v>
      </c>
      <c r="N13" s="4" t="s">
        <v>83</v>
      </c>
      <c r="O13" s="4" t="s">
        <v>84</v>
      </c>
    </row>
    <row r="14" customFormat="false" ht="15" hidden="false" customHeight="false" outlineLevel="0" collapsed="false">
      <c r="A14" s="4" t="n">
        <v>144</v>
      </c>
      <c r="B14" s="4" t="n">
        <v>11</v>
      </c>
      <c r="C14" s="18" t="n">
        <v>0</v>
      </c>
      <c r="D14" s="18" t="n">
        <v>0</v>
      </c>
      <c r="E14" s="18" t="n">
        <v>17.53</v>
      </c>
      <c r="F14" s="18" t="n">
        <v>2.53</v>
      </c>
      <c r="H14" s="4" t="n">
        <v>234</v>
      </c>
      <c r="I14" s="4" t="n">
        <v>11</v>
      </c>
      <c r="J14" s="4" t="s">
        <v>85</v>
      </c>
      <c r="K14" s="4" t="s">
        <v>82</v>
      </c>
      <c r="L14" s="4" t="s">
        <v>82</v>
      </c>
      <c r="M14" s="4" t="str">
        <f aca="false">IF(K14=L14,"=","DISTINTA")</f>
        <v>=</v>
      </c>
      <c r="N14" s="4" t="s">
        <v>86</v>
      </c>
      <c r="O14" s="4" t="s">
        <v>87</v>
      </c>
    </row>
    <row r="15" customFormat="false" ht="15" hidden="false" customHeight="false" outlineLevel="0" collapsed="false">
      <c r="A15" s="4" t="n">
        <v>145</v>
      </c>
      <c r="B15" s="4" t="n">
        <v>12</v>
      </c>
      <c r="C15" s="18" t="n">
        <v>0</v>
      </c>
      <c r="D15" s="18" t="n">
        <v>2.69</v>
      </c>
      <c r="E15" s="18" t="n">
        <v>17.53</v>
      </c>
      <c r="F15" s="18" t="n">
        <v>2.53</v>
      </c>
      <c r="H15" s="4" t="n">
        <v>235</v>
      </c>
      <c r="I15" s="4" t="n">
        <v>12</v>
      </c>
      <c r="J15" s="4" t="s">
        <v>85</v>
      </c>
      <c r="K15" s="4" t="s">
        <v>82</v>
      </c>
      <c r="L15" s="4" t="s">
        <v>82</v>
      </c>
      <c r="M15" s="4" t="str">
        <f aca="false">IF(K15=L15,"=","DISTINTA")</f>
        <v>=</v>
      </c>
      <c r="N15" s="4" t="s">
        <v>88</v>
      </c>
      <c r="O15" s="4" t="s">
        <v>89</v>
      </c>
    </row>
    <row r="16" customFormat="false" ht="15" hidden="false" customHeight="false" outlineLevel="0" collapsed="false">
      <c r="A16" s="4" t="n">
        <v>146</v>
      </c>
      <c r="B16" s="4" t="n">
        <v>13</v>
      </c>
      <c r="C16" s="18" t="n">
        <v>0</v>
      </c>
      <c r="D16" s="18" t="n">
        <v>0</v>
      </c>
      <c r="E16" s="18" t="n">
        <v>18.1</v>
      </c>
      <c r="F16" s="18" t="n">
        <v>3.1</v>
      </c>
      <c r="H16" s="4" t="n">
        <v>236</v>
      </c>
      <c r="I16" s="4" t="n">
        <v>13</v>
      </c>
      <c r="J16" s="4" t="s">
        <v>63</v>
      </c>
      <c r="K16" s="4" t="s">
        <v>64</v>
      </c>
      <c r="L16" s="4" t="s">
        <v>64</v>
      </c>
      <c r="M16" s="4" t="str">
        <f aca="false">IF(K16=L16,"=","DISTINTA")</f>
        <v>=</v>
      </c>
      <c r="N16" s="4" t="s">
        <v>90</v>
      </c>
      <c r="O16" s="4" t="s">
        <v>91</v>
      </c>
    </row>
    <row r="17" customFormat="false" ht="15" hidden="false" customHeight="false" outlineLevel="0" collapsed="false">
      <c r="A17" s="4" t="n">
        <v>147</v>
      </c>
      <c r="B17" s="4" t="n">
        <v>14</v>
      </c>
      <c r="C17" s="18" t="n">
        <v>0</v>
      </c>
      <c r="D17" s="18" t="n">
        <v>2.69</v>
      </c>
      <c r="E17" s="18" t="n">
        <v>18.1</v>
      </c>
      <c r="F17" s="18" t="n">
        <v>3.1</v>
      </c>
      <c r="H17" s="4" t="n">
        <v>237</v>
      </c>
      <c r="I17" s="4" t="n">
        <v>14</v>
      </c>
      <c r="J17" s="4" t="s">
        <v>63</v>
      </c>
      <c r="K17" s="4" t="s">
        <v>64</v>
      </c>
      <c r="L17" s="4" t="s">
        <v>64</v>
      </c>
      <c r="M17" s="4" t="str">
        <f aca="false">IF(K17=L17,"=","DISTINTA")</f>
        <v>=</v>
      </c>
      <c r="N17" s="4" t="s">
        <v>92</v>
      </c>
      <c r="O17" s="4" t="s">
        <v>93</v>
      </c>
    </row>
    <row r="18" customFormat="false" ht="15" hidden="false" customHeight="false" outlineLevel="0" collapsed="false">
      <c r="A18" s="4" t="n">
        <v>148</v>
      </c>
      <c r="B18" s="4" t="n">
        <v>15</v>
      </c>
      <c r="C18" s="18" t="n">
        <v>0</v>
      </c>
      <c r="D18" s="18" t="n">
        <v>0</v>
      </c>
      <c r="E18" s="18" t="n">
        <v>18.38</v>
      </c>
      <c r="F18" s="18" t="n">
        <v>3.38</v>
      </c>
      <c r="H18" s="4" t="n">
        <v>238</v>
      </c>
      <c r="I18" s="4" t="n">
        <v>15</v>
      </c>
      <c r="J18" s="4" t="s">
        <v>63</v>
      </c>
      <c r="K18" s="4" t="s">
        <v>64</v>
      </c>
      <c r="L18" s="4" t="s">
        <v>64</v>
      </c>
      <c r="M18" s="4" t="str">
        <f aca="false">IF(K18=L18,"=","DISTINTA")</f>
        <v>=</v>
      </c>
      <c r="N18" s="4" t="s">
        <v>94</v>
      </c>
      <c r="O18" s="4" t="s">
        <v>95</v>
      </c>
    </row>
    <row r="19" customFormat="false" ht="15" hidden="false" customHeight="false" outlineLevel="0" collapsed="false">
      <c r="A19" s="4" t="n">
        <v>149</v>
      </c>
      <c r="B19" s="4" t="n">
        <v>16</v>
      </c>
      <c r="C19" s="18" t="n">
        <v>0</v>
      </c>
      <c r="D19" s="18" t="n">
        <v>2.69</v>
      </c>
      <c r="E19" s="18" t="n">
        <v>18.38</v>
      </c>
      <c r="F19" s="18" t="n">
        <v>3.38</v>
      </c>
      <c r="H19" s="4" t="n">
        <v>239</v>
      </c>
      <c r="I19" s="4" t="n">
        <v>16</v>
      </c>
      <c r="J19" s="4" t="s">
        <v>63</v>
      </c>
      <c r="K19" s="4" t="s">
        <v>64</v>
      </c>
      <c r="L19" s="4" t="s">
        <v>64</v>
      </c>
      <c r="M19" s="4" t="str">
        <f aca="false">IF(K19=L19,"=","DISTINTA")</f>
        <v>=</v>
      </c>
      <c r="N19" s="4" t="s">
        <v>96</v>
      </c>
      <c r="O19" s="4" t="s">
        <v>97</v>
      </c>
    </row>
    <row r="20" customFormat="false" ht="15" hidden="false" customHeight="false" outlineLevel="0" collapsed="false">
      <c r="A20" s="4" t="n">
        <v>150</v>
      </c>
      <c r="B20" s="4" t="n">
        <v>17</v>
      </c>
      <c r="C20" s="18" t="n">
        <v>0</v>
      </c>
      <c r="D20" s="18" t="n">
        <v>2.58</v>
      </c>
      <c r="E20" s="18" t="n">
        <v>15</v>
      </c>
      <c r="F20" s="18" t="n">
        <v>0</v>
      </c>
      <c r="H20" s="4" t="n">
        <v>240</v>
      </c>
      <c r="I20" s="4" t="n">
        <v>17</v>
      </c>
      <c r="J20" s="4" t="s">
        <v>63</v>
      </c>
      <c r="K20" s="4" t="s">
        <v>64</v>
      </c>
      <c r="L20" s="4" t="s">
        <v>64</v>
      </c>
      <c r="M20" s="4" t="str">
        <f aca="false">IF(K20=L20,"=","DISTINTA")</f>
        <v>=</v>
      </c>
      <c r="N20" s="4" t="s">
        <v>98</v>
      </c>
      <c r="O20" s="4" t="s">
        <v>99</v>
      </c>
    </row>
    <row r="21" customFormat="false" ht="15" hidden="false" customHeight="false" outlineLevel="0" collapsed="false">
      <c r="A21" s="4" t="n">
        <v>151</v>
      </c>
      <c r="B21" s="4" t="n">
        <v>18</v>
      </c>
      <c r="C21" s="18" t="n">
        <v>0</v>
      </c>
      <c r="D21" s="18" t="n">
        <v>2.58</v>
      </c>
      <c r="E21" s="18" t="n">
        <v>18.38</v>
      </c>
      <c r="F21" s="18" t="n">
        <v>3.38</v>
      </c>
      <c r="H21" s="4" t="n">
        <v>241</v>
      </c>
      <c r="I21" s="4" t="n">
        <v>18</v>
      </c>
      <c r="J21" s="4" t="s">
        <v>63</v>
      </c>
      <c r="K21" s="4" t="s">
        <v>64</v>
      </c>
      <c r="L21" s="4" t="s">
        <v>64</v>
      </c>
      <c r="M21" s="4" t="str">
        <f aca="false">IF(K21=L21,"=","DISTINTA")</f>
        <v>=</v>
      </c>
      <c r="N21" s="4" t="s">
        <v>100</v>
      </c>
      <c r="O21" s="4" t="s">
        <v>101</v>
      </c>
    </row>
    <row r="22" customFormat="false" ht="15" hidden="false" customHeight="false" outlineLevel="0" collapsed="false">
      <c r="A22" s="4" t="n">
        <v>152</v>
      </c>
      <c r="B22" s="4" t="n">
        <v>19</v>
      </c>
      <c r="C22" s="18" t="n">
        <v>0</v>
      </c>
      <c r="D22" s="18" t="n">
        <v>1.4</v>
      </c>
      <c r="E22" s="18" t="n">
        <v>15</v>
      </c>
      <c r="F22" s="18" t="n">
        <v>0</v>
      </c>
      <c r="H22" s="4" t="n">
        <v>242</v>
      </c>
      <c r="I22" s="4" t="n">
        <v>19</v>
      </c>
      <c r="J22" s="4" t="s">
        <v>63</v>
      </c>
      <c r="K22" s="4" t="s">
        <v>64</v>
      </c>
      <c r="L22" s="4" t="s">
        <v>64</v>
      </c>
      <c r="M22" s="4" t="str">
        <f aca="false">IF(K22=L22,"=","DISTINTA")</f>
        <v>=</v>
      </c>
      <c r="N22" s="4" t="s">
        <v>102</v>
      </c>
      <c r="O22" s="4" t="s">
        <v>103</v>
      </c>
    </row>
    <row r="23" customFormat="false" ht="15" hidden="false" customHeight="false" outlineLevel="0" collapsed="false">
      <c r="A23" s="4" t="n">
        <v>153</v>
      </c>
      <c r="B23" s="4" t="n">
        <v>20</v>
      </c>
      <c r="C23" s="18" t="n">
        <v>0</v>
      </c>
      <c r="D23" s="18" t="n">
        <v>1.4</v>
      </c>
      <c r="E23" s="18" t="n">
        <v>18.38</v>
      </c>
      <c r="F23" s="18" t="n">
        <v>3.38</v>
      </c>
      <c r="H23" s="4" t="n">
        <v>243</v>
      </c>
      <c r="I23" s="4" t="n">
        <v>20</v>
      </c>
      <c r="J23" s="4" t="s">
        <v>63</v>
      </c>
      <c r="K23" s="4" t="s">
        <v>64</v>
      </c>
      <c r="L23" s="4" t="s">
        <v>64</v>
      </c>
      <c r="M23" s="4" t="str">
        <f aca="false">IF(K23=L23,"=","DISTINTA")</f>
        <v>=</v>
      </c>
      <c r="N23" s="4" t="s">
        <v>104</v>
      </c>
      <c r="O23" s="4" t="s">
        <v>105</v>
      </c>
    </row>
    <row r="24" customFormat="false" ht="15" hidden="false" customHeight="false" outlineLevel="0" collapsed="false">
      <c r="A24" s="4" t="n">
        <v>154</v>
      </c>
      <c r="B24" s="4" t="n">
        <v>21</v>
      </c>
      <c r="C24" s="18" t="n">
        <v>0</v>
      </c>
      <c r="D24" s="18" t="n">
        <v>0</v>
      </c>
      <c r="E24" s="18" t="n">
        <v>15</v>
      </c>
      <c r="F24" s="18" t="n">
        <v>0</v>
      </c>
      <c r="H24" s="4" t="n">
        <v>244</v>
      </c>
      <c r="I24" s="4" t="n">
        <v>21</v>
      </c>
      <c r="J24" s="4" t="s">
        <v>63</v>
      </c>
      <c r="K24" s="4" t="s">
        <v>64</v>
      </c>
      <c r="L24" s="4" t="s">
        <v>64</v>
      </c>
      <c r="M24" s="4" t="str">
        <f aca="false">IF(K24=L24,"=","DISTINTA")</f>
        <v>=</v>
      </c>
      <c r="N24" s="4" t="s">
        <v>106</v>
      </c>
      <c r="O24" s="4" t="s">
        <v>107</v>
      </c>
    </row>
    <row r="25" customFormat="false" ht="15" hidden="false" customHeight="false" outlineLevel="0" collapsed="false">
      <c r="A25" s="4" t="n">
        <v>155</v>
      </c>
      <c r="B25" s="4" t="n">
        <v>22</v>
      </c>
      <c r="C25" s="18" t="n">
        <v>0</v>
      </c>
      <c r="D25" s="18" t="n">
        <v>2.58</v>
      </c>
      <c r="E25" s="18" t="n">
        <v>15.28</v>
      </c>
      <c r="F25" s="18" t="n">
        <v>0.28</v>
      </c>
      <c r="H25" s="4" t="n">
        <v>245</v>
      </c>
      <c r="I25" s="4" t="n">
        <v>22</v>
      </c>
      <c r="J25" s="4" t="s">
        <v>63</v>
      </c>
      <c r="K25" s="4" t="s">
        <v>64</v>
      </c>
      <c r="L25" s="4" t="s">
        <v>64</v>
      </c>
      <c r="M25" s="4" t="str">
        <f aca="false">IF(K25=L25,"=","DISTINTA")</f>
        <v>=</v>
      </c>
      <c r="N25" s="4" t="s">
        <v>108</v>
      </c>
      <c r="O25" s="4" t="s">
        <v>109</v>
      </c>
    </row>
    <row r="26" customFormat="false" ht="15" hidden="false" customHeight="false" outlineLevel="0" collapsed="false">
      <c r="A26" s="4" t="n">
        <v>156</v>
      </c>
      <c r="B26" s="4" t="n">
        <v>23</v>
      </c>
      <c r="C26" s="18" t="n">
        <v>0</v>
      </c>
      <c r="D26" s="18" t="n">
        <v>1.4</v>
      </c>
      <c r="E26" s="18" t="n">
        <v>15.28</v>
      </c>
      <c r="F26" s="18" t="n">
        <v>0.28</v>
      </c>
      <c r="H26" s="4" t="n">
        <v>246</v>
      </c>
      <c r="I26" s="4" t="n">
        <v>23</v>
      </c>
      <c r="J26" s="4" t="s">
        <v>63</v>
      </c>
      <c r="K26" s="4" t="s">
        <v>64</v>
      </c>
      <c r="L26" s="4" t="s">
        <v>64</v>
      </c>
      <c r="M26" s="4" t="str">
        <f aca="false">IF(K26=L26,"=","DISTINTA")</f>
        <v>=</v>
      </c>
      <c r="N26" s="4" t="s">
        <v>110</v>
      </c>
      <c r="O26" s="4" t="s">
        <v>111</v>
      </c>
    </row>
    <row r="27" customFormat="false" ht="15" hidden="false" customHeight="false" outlineLevel="0" collapsed="false">
      <c r="A27" s="4" t="n">
        <v>157</v>
      </c>
      <c r="B27" s="4" t="n">
        <v>24</v>
      </c>
      <c r="C27" s="18" t="n">
        <v>0</v>
      </c>
      <c r="D27" s="18" t="n">
        <v>2.58</v>
      </c>
      <c r="E27" s="18" t="n">
        <v>15.85</v>
      </c>
      <c r="F27" s="18" t="n">
        <v>0.85</v>
      </c>
      <c r="H27" s="4" t="n">
        <v>247</v>
      </c>
      <c r="I27" s="4" t="n">
        <v>24</v>
      </c>
      <c r="J27" s="4" t="s">
        <v>63</v>
      </c>
      <c r="K27" s="4" t="s">
        <v>64</v>
      </c>
      <c r="L27" s="4" t="s">
        <v>64</v>
      </c>
      <c r="M27" s="4" t="str">
        <f aca="false">IF(K27=L27,"=","DISTINTA")</f>
        <v>=</v>
      </c>
      <c r="N27" s="4" t="s">
        <v>112</v>
      </c>
      <c r="O27" s="4" t="s">
        <v>113</v>
      </c>
    </row>
    <row r="28" customFormat="false" ht="15" hidden="false" customHeight="false" outlineLevel="0" collapsed="false">
      <c r="A28" s="4" t="n">
        <v>158</v>
      </c>
      <c r="B28" s="4" t="n">
        <v>25</v>
      </c>
      <c r="C28" s="18" t="n">
        <v>0</v>
      </c>
      <c r="D28" s="18" t="n">
        <v>1.4</v>
      </c>
      <c r="E28" s="18" t="n">
        <v>15.85</v>
      </c>
      <c r="F28" s="18" t="n">
        <v>0.85</v>
      </c>
      <c r="H28" s="4" t="n">
        <v>248</v>
      </c>
      <c r="I28" s="4" t="n">
        <v>25</v>
      </c>
      <c r="J28" s="4" t="s">
        <v>63</v>
      </c>
      <c r="K28" s="4" t="s">
        <v>64</v>
      </c>
      <c r="L28" s="4" t="s">
        <v>64</v>
      </c>
      <c r="M28" s="4" t="str">
        <f aca="false">IF(K28=L28,"=","DISTINTA")</f>
        <v>=</v>
      </c>
      <c r="N28" s="4" t="s">
        <v>114</v>
      </c>
      <c r="O28" s="4" t="s">
        <v>115</v>
      </c>
    </row>
    <row r="29" customFormat="false" ht="15" hidden="false" customHeight="false" outlineLevel="0" collapsed="false">
      <c r="A29" s="4" t="n">
        <v>159</v>
      </c>
      <c r="B29" s="4" t="n">
        <v>26</v>
      </c>
      <c r="C29" s="18" t="n">
        <v>0</v>
      </c>
      <c r="D29" s="18" t="n">
        <v>2.58</v>
      </c>
      <c r="E29" s="18" t="n">
        <v>16.13</v>
      </c>
      <c r="F29" s="18" t="n">
        <v>1.13</v>
      </c>
      <c r="H29" s="4" t="n">
        <v>249</v>
      </c>
      <c r="I29" s="4" t="n">
        <v>26</v>
      </c>
      <c r="J29" s="4" t="s">
        <v>63</v>
      </c>
      <c r="K29" s="4" t="s">
        <v>64</v>
      </c>
      <c r="L29" s="4" t="s">
        <v>64</v>
      </c>
      <c r="M29" s="4" t="str">
        <f aca="false">IF(K29=L29,"=","DISTINTA")</f>
        <v>=</v>
      </c>
      <c r="N29" s="4" t="s">
        <v>116</v>
      </c>
      <c r="O29" s="4" t="s">
        <v>117</v>
      </c>
    </row>
    <row r="30" customFormat="false" ht="15" hidden="false" customHeight="false" outlineLevel="0" collapsed="false">
      <c r="A30" s="4" t="n">
        <v>160</v>
      </c>
      <c r="B30" s="4" t="n">
        <v>27</v>
      </c>
      <c r="C30" s="18" t="n">
        <v>0</v>
      </c>
      <c r="D30" s="18" t="n">
        <v>1.4</v>
      </c>
      <c r="E30" s="18" t="n">
        <v>16.13</v>
      </c>
      <c r="F30" s="18" t="n">
        <v>1.13</v>
      </c>
      <c r="H30" s="4" t="n">
        <v>250</v>
      </c>
      <c r="I30" s="4" t="n">
        <v>27</v>
      </c>
      <c r="J30" s="4" t="s">
        <v>63</v>
      </c>
      <c r="K30" s="4" t="s">
        <v>64</v>
      </c>
      <c r="L30" s="4" t="s">
        <v>64</v>
      </c>
      <c r="M30" s="4" t="str">
        <f aca="false">IF(K30=L30,"=","DISTINTA")</f>
        <v>=</v>
      </c>
      <c r="N30" s="4" t="s">
        <v>118</v>
      </c>
      <c r="O30" s="4" t="s">
        <v>119</v>
      </c>
    </row>
    <row r="31" customFormat="false" ht="15" hidden="false" customHeight="false" outlineLevel="0" collapsed="false">
      <c r="A31" s="4" t="n">
        <v>161</v>
      </c>
      <c r="B31" s="4" t="n">
        <v>28</v>
      </c>
      <c r="C31" s="18" t="n">
        <v>0</v>
      </c>
      <c r="D31" s="18" t="n">
        <v>2.58</v>
      </c>
      <c r="E31" s="18" t="n">
        <v>17.25</v>
      </c>
      <c r="F31" s="18" t="n">
        <v>2.25</v>
      </c>
      <c r="H31" s="4" t="n">
        <v>251</v>
      </c>
      <c r="I31" s="4" t="n">
        <v>28</v>
      </c>
      <c r="J31" s="4" t="s">
        <v>63</v>
      </c>
      <c r="K31" s="4" t="s">
        <v>64</v>
      </c>
      <c r="L31" s="4" t="s">
        <v>64</v>
      </c>
      <c r="M31" s="4" t="str">
        <f aca="false">IF(K31=L31,"=","DISTINTA")</f>
        <v>=</v>
      </c>
      <c r="N31" s="4" t="s">
        <v>120</v>
      </c>
      <c r="O31" s="4" t="s">
        <v>121</v>
      </c>
    </row>
    <row r="32" customFormat="false" ht="15" hidden="false" customHeight="false" outlineLevel="0" collapsed="false">
      <c r="A32" s="4" t="n">
        <v>162</v>
      </c>
      <c r="B32" s="4" t="n">
        <v>29</v>
      </c>
      <c r="C32" s="18" t="n">
        <v>0</v>
      </c>
      <c r="D32" s="18" t="n">
        <v>1.4</v>
      </c>
      <c r="E32" s="18" t="n">
        <v>17.25</v>
      </c>
      <c r="F32" s="18" t="n">
        <v>2.25</v>
      </c>
      <c r="H32" s="4" t="n">
        <v>252</v>
      </c>
      <c r="I32" s="4" t="n">
        <v>29</v>
      </c>
      <c r="J32" s="4" t="s">
        <v>81</v>
      </c>
      <c r="K32" s="4" t="s">
        <v>82</v>
      </c>
      <c r="L32" s="4" t="s">
        <v>82</v>
      </c>
      <c r="M32" s="4" t="str">
        <f aca="false">IF(K32=L32,"=","DISTINTA")</f>
        <v>=</v>
      </c>
      <c r="N32" s="4" t="s">
        <v>122</v>
      </c>
      <c r="O32" s="4" t="s">
        <v>123</v>
      </c>
    </row>
    <row r="33" customFormat="false" ht="15" hidden="false" customHeight="false" outlineLevel="0" collapsed="false">
      <c r="A33" s="4" t="n">
        <v>163</v>
      </c>
      <c r="B33" s="4" t="n">
        <v>30</v>
      </c>
      <c r="C33" s="18" t="n">
        <v>0</v>
      </c>
      <c r="D33" s="18" t="n">
        <v>2.58</v>
      </c>
      <c r="E33" s="18" t="n">
        <v>17.53</v>
      </c>
      <c r="F33" s="18" t="n">
        <v>2.53</v>
      </c>
      <c r="H33" s="4" t="n">
        <v>253</v>
      </c>
      <c r="I33" s="4" t="n">
        <v>30</v>
      </c>
      <c r="J33" s="4" t="s">
        <v>81</v>
      </c>
      <c r="K33" s="4" t="s">
        <v>82</v>
      </c>
      <c r="L33" s="4" t="s">
        <v>82</v>
      </c>
      <c r="M33" s="4" t="str">
        <f aca="false">IF(K33=L33,"=","DISTINTA")</f>
        <v>=</v>
      </c>
      <c r="N33" s="4" t="s">
        <v>124</v>
      </c>
      <c r="O33" s="4" t="s">
        <v>125</v>
      </c>
    </row>
    <row r="34" customFormat="false" ht="15" hidden="false" customHeight="false" outlineLevel="0" collapsed="false">
      <c r="A34" s="4" t="n">
        <v>164</v>
      </c>
      <c r="B34" s="4" t="n">
        <v>31</v>
      </c>
      <c r="C34" s="18" t="n">
        <v>0</v>
      </c>
      <c r="D34" s="18" t="n">
        <v>1.4</v>
      </c>
      <c r="E34" s="18" t="n">
        <v>17.53</v>
      </c>
      <c r="F34" s="18" t="n">
        <v>2.53</v>
      </c>
      <c r="H34" s="4" t="n">
        <v>254</v>
      </c>
      <c r="I34" s="4" t="n">
        <v>31</v>
      </c>
      <c r="J34" s="4" t="s">
        <v>81</v>
      </c>
      <c r="K34" s="4" t="s">
        <v>82</v>
      </c>
      <c r="L34" s="4" t="s">
        <v>82</v>
      </c>
      <c r="M34" s="4" t="str">
        <f aca="false">IF(K34=L34,"=","DISTINTA")</f>
        <v>=</v>
      </c>
      <c r="N34" s="4" t="s">
        <v>126</v>
      </c>
      <c r="O34" s="4" t="s">
        <v>127</v>
      </c>
    </row>
    <row r="35" customFormat="false" ht="15" hidden="false" customHeight="false" outlineLevel="0" collapsed="false">
      <c r="A35" s="4" t="n">
        <v>165</v>
      </c>
      <c r="B35" s="4" t="n">
        <v>32</v>
      </c>
      <c r="C35" s="18" t="n">
        <v>0</v>
      </c>
      <c r="D35" s="18" t="n">
        <v>2.58</v>
      </c>
      <c r="E35" s="18" t="n">
        <v>18.1</v>
      </c>
      <c r="F35" s="18" t="n">
        <v>3.1</v>
      </c>
      <c r="H35" s="4" t="n">
        <v>255</v>
      </c>
      <c r="I35" s="4" t="n">
        <v>32</v>
      </c>
      <c r="J35" s="4" t="s">
        <v>81</v>
      </c>
      <c r="K35" s="4" t="s">
        <v>82</v>
      </c>
      <c r="L35" s="4" t="s">
        <v>82</v>
      </c>
      <c r="M35" s="4" t="str">
        <f aca="false">IF(K35=L35,"=","DISTINTA")</f>
        <v>=</v>
      </c>
      <c r="N35" s="4" t="s">
        <v>128</v>
      </c>
      <c r="O35" s="4" t="s">
        <v>129</v>
      </c>
    </row>
    <row r="36" customFormat="false" ht="15" hidden="false" customHeight="false" outlineLevel="0" collapsed="false">
      <c r="A36" s="4" t="n">
        <v>166</v>
      </c>
      <c r="B36" s="4" t="n">
        <v>33</v>
      </c>
      <c r="C36" s="18" t="n">
        <v>0</v>
      </c>
      <c r="D36" s="18" t="n">
        <v>1.4</v>
      </c>
      <c r="E36" s="18" t="n">
        <v>18.1</v>
      </c>
      <c r="F36" s="18" t="n">
        <v>3.1</v>
      </c>
      <c r="H36" s="4" t="n">
        <v>256</v>
      </c>
      <c r="I36" s="4" t="n">
        <v>33</v>
      </c>
      <c r="J36" s="4" t="s">
        <v>81</v>
      </c>
      <c r="K36" s="4" t="s">
        <v>82</v>
      </c>
      <c r="L36" s="4" t="s">
        <v>82</v>
      </c>
      <c r="M36" s="4" t="str">
        <f aca="false">IF(K36=L36,"=","DISTINTA")</f>
        <v>=</v>
      </c>
      <c r="N36" s="4" t="s">
        <v>130</v>
      </c>
      <c r="O36" s="4" t="s">
        <v>131</v>
      </c>
    </row>
    <row r="37" customFormat="false" ht="15" hidden="false" customHeight="false" outlineLevel="0" collapsed="false">
      <c r="A37" s="4" t="n">
        <v>167</v>
      </c>
      <c r="B37" s="4" t="n">
        <v>34</v>
      </c>
      <c r="C37" s="18" t="n">
        <v>3</v>
      </c>
      <c r="D37" s="18" t="n">
        <v>2.69</v>
      </c>
      <c r="E37" s="18" t="n">
        <v>15</v>
      </c>
      <c r="F37" s="18" t="n">
        <v>0</v>
      </c>
      <c r="H37" s="4" t="n">
        <v>257</v>
      </c>
      <c r="I37" s="4" t="n">
        <v>34</v>
      </c>
      <c r="J37" s="4" t="s">
        <v>81</v>
      </c>
      <c r="K37" s="4" t="s">
        <v>82</v>
      </c>
      <c r="L37" s="4" t="s">
        <v>82</v>
      </c>
      <c r="M37" s="4" t="str">
        <f aca="false">IF(K37=L37,"=","DISTINTA")</f>
        <v>=</v>
      </c>
      <c r="N37" s="4" t="s">
        <v>132</v>
      </c>
      <c r="O37" s="4" t="s">
        <v>133</v>
      </c>
    </row>
    <row r="38" customFormat="false" ht="15" hidden="false" customHeight="false" outlineLevel="0" collapsed="false">
      <c r="A38" s="4" t="n">
        <v>168</v>
      </c>
      <c r="B38" s="4" t="n">
        <v>35</v>
      </c>
      <c r="C38" s="18" t="n">
        <v>3</v>
      </c>
      <c r="D38" s="18" t="n">
        <v>0</v>
      </c>
      <c r="E38" s="18" t="n">
        <v>15.28</v>
      </c>
      <c r="F38" s="18" t="n">
        <v>0.28</v>
      </c>
      <c r="H38" s="4" t="n">
        <v>258</v>
      </c>
      <c r="I38" s="4" t="n">
        <v>35</v>
      </c>
      <c r="J38" s="4" t="s">
        <v>85</v>
      </c>
      <c r="K38" s="4" t="s">
        <v>82</v>
      </c>
      <c r="L38" s="4" t="s">
        <v>82</v>
      </c>
      <c r="M38" s="4" t="str">
        <f aca="false">IF(K38=L38,"=","DISTINTA")</f>
        <v>=</v>
      </c>
      <c r="N38" s="4" t="s">
        <v>134</v>
      </c>
      <c r="O38" s="4" t="s">
        <v>135</v>
      </c>
    </row>
    <row r="39" customFormat="false" ht="15" hidden="false" customHeight="false" outlineLevel="0" collapsed="false">
      <c r="A39" s="4" t="n">
        <v>169</v>
      </c>
      <c r="B39" s="4" t="n">
        <v>36</v>
      </c>
      <c r="C39" s="18" t="n">
        <v>3</v>
      </c>
      <c r="D39" s="18" t="n">
        <v>2.69</v>
      </c>
      <c r="E39" s="18" t="n">
        <v>15.28</v>
      </c>
      <c r="F39" s="18" t="n">
        <v>0.28</v>
      </c>
      <c r="H39" s="4" t="n">
        <v>259</v>
      </c>
      <c r="I39" s="4" t="n">
        <v>36</v>
      </c>
      <c r="J39" s="4" t="s">
        <v>85</v>
      </c>
      <c r="K39" s="4" t="s">
        <v>82</v>
      </c>
      <c r="L39" s="4" t="s">
        <v>82</v>
      </c>
      <c r="M39" s="4" t="str">
        <f aca="false">IF(K39=L39,"=","DISTINTA")</f>
        <v>=</v>
      </c>
      <c r="N39" s="4" t="s">
        <v>136</v>
      </c>
      <c r="O39" s="4" t="s">
        <v>137</v>
      </c>
    </row>
    <row r="40" customFormat="false" ht="15" hidden="false" customHeight="false" outlineLevel="0" collapsed="false">
      <c r="A40" s="4" t="n">
        <v>170</v>
      </c>
      <c r="B40" s="4" t="n">
        <v>37</v>
      </c>
      <c r="C40" s="18" t="n">
        <v>3</v>
      </c>
      <c r="D40" s="18" t="n">
        <v>0</v>
      </c>
      <c r="E40" s="18" t="n">
        <v>15.85</v>
      </c>
      <c r="F40" s="18" t="n">
        <v>0.85</v>
      </c>
      <c r="H40" s="4" t="n">
        <v>260</v>
      </c>
      <c r="I40" s="4" t="n">
        <v>37</v>
      </c>
      <c r="J40" s="4" t="s">
        <v>85</v>
      </c>
      <c r="K40" s="4" t="s">
        <v>82</v>
      </c>
      <c r="L40" s="4" t="s">
        <v>82</v>
      </c>
      <c r="M40" s="4" t="str">
        <f aca="false">IF(K40=L40,"=","DISTINTA")</f>
        <v>=</v>
      </c>
      <c r="N40" s="4" t="s">
        <v>138</v>
      </c>
      <c r="O40" s="4" t="s">
        <v>139</v>
      </c>
    </row>
    <row r="41" customFormat="false" ht="15" hidden="false" customHeight="false" outlineLevel="0" collapsed="false">
      <c r="A41" s="4" t="n">
        <v>171</v>
      </c>
      <c r="B41" s="4" t="n">
        <v>38</v>
      </c>
      <c r="C41" s="18" t="n">
        <v>3</v>
      </c>
      <c r="D41" s="18" t="n">
        <v>2.69</v>
      </c>
      <c r="E41" s="18" t="n">
        <v>15.85</v>
      </c>
      <c r="F41" s="18" t="n">
        <v>0.85</v>
      </c>
      <c r="H41" s="4" t="n">
        <v>261</v>
      </c>
      <c r="I41" s="4" t="n">
        <v>38</v>
      </c>
      <c r="J41" s="4" t="s">
        <v>85</v>
      </c>
      <c r="K41" s="4" t="s">
        <v>82</v>
      </c>
      <c r="L41" s="4" t="s">
        <v>82</v>
      </c>
      <c r="M41" s="4" t="str">
        <f aca="false">IF(K41=L41,"=","DISTINTA")</f>
        <v>=</v>
      </c>
      <c r="N41" s="4" t="s">
        <v>140</v>
      </c>
      <c r="O41" s="4" t="s">
        <v>141</v>
      </c>
    </row>
    <row r="42" customFormat="false" ht="15" hidden="false" customHeight="false" outlineLevel="0" collapsed="false">
      <c r="A42" s="4" t="n">
        <v>172</v>
      </c>
      <c r="B42" s="4" t="n">
        <v>39</v>
      </c>
      <c r="C42" s="18" t="n">
        <v>3</v>
      </c>
      <c r="D42" s="18" t="n">
        <v>0</v>
      </c>
      <c r="E42" s="18" t="n">
        <v>16.13</v>
      </c>
      <c r="F42" s="18" t="n">
        <v>1.13</v>
      </c>
      <c r="H42" s="4" t="n">
        <v>262</v>
      </c>
      <c r="I42" s="4" t="n">
        <v>39</v>
      </c>
      <c r="J42" s="4" t="s">
        <v>85</v>
      </c>
      <c r="K42" s="4" t="s">
        <v>82</v>
      </c>
      <c r="L42" s="4" t="s">
        <v>82</v>
      </c>
      <c r="M42" s="4" t="str">
        <f aca="false">IF(K42=L42,"=","DISTINTA")</f>
        <v>=</v>
      </c>
      <c r="N42" s="4" t="s">
        <v>142</v>
      </c>
      <c r="O42" s="4" t="s">
        <v>143</v>
      </c>
    </row>
    <row r="43" customFormat="false" ht="15" hidden="false" customHeight="false" outlineLevel="0" collapsed="false">
      <c r="A43" s="4" t="n">
        <v>173</v>
      </c>
      <c r="B43" s="4" t="n">
        <v>40</v>
      </c>
      <c r="C43" s="18" t="n">
        <v>3</v>
      </c>
      <c r="D43" s="18" t="n">
        <v>2.69</v>
      </c>
      <c r="E43" s="18" t="n">
        <v>16.13</v>
      </c>
      <c r="F43" s="18" t="n">
        <v>1.13</v>
      </c>
      <c r="H43" s="4" t="n">
        <v>263</v>
      </c>
      <c r="I43" s="4" t="n">
        <v>40</v>
      </c>
      <c r="J43" s="4" t="s">
        <v>85</v>
      </c>
      <c r="K43" s="4" t="s">
        <v>82</v>
      </c>
      <c r="L43" s="4" t="s">
        <v>82</v>
      </c>
      <c r="M43" s="4" t="str">
        <f aca="false">IF(K43=L43,"=","DISTINTA")</f>
        <v>=</v>
      </c>
      <c r="N43" s="4" t="s">
        <v>144</v>
      </c>
      <c r="O43" s="4" t="s">
        <v>145</v>
      </c>
    </row>
    <row r="44" customFormat="false" ht="15" hidden="false" customHeight="false" outlineLevel="0" collapsed="false">
      <c r="A44" s="4" t="n">
        <v>174</v>
      </c>
      <c r="B44" s="4" t="n">
        <v>41</v>
      </c>
      <c r="C44" s="18" t="n">
        <v>3</v>
      </c>
      <c r="D44" s="18" t="n">
        <v>0</v>
      </c>
      <c r="E44" s="18" t="n">
        <v>17.25</v>
      </c>
      <c r="F44" s="18" t="n">
        <v>2.25</v>
      </c>
      <c r="H44" s="4" t="n">
        <v>264</v>
      </c>
      <c r="I44" s="4" t="n">
        <v>41</v>
      </c>
      <c r="J44" s="4" t="s">
        <v>85</v>
      </c>
      <c r="K44" s="4" t="s">
        <v>82</v>
      </c>
      <c r="L44" s="4" t="s">
        <v>82</v>
      </c>
      <c r="M44" s="4" t="str">
        <f aca="false">IF(K44=L44,"=","DISTINTA")</f>
        <v>=</v>
      </c>
      <c r="N44" s="4" t="s">
        <v>146</v>
      </c>
      <c r="O44" s="4" t="s">
        <v>147</v>
      </c>
    </row>
    <row r="45" customFormat="false" ht="15" hidden="false" customHeight="false" outlineLevel="0" collapsed="false">
      <c r="A45" s="4" t="n">
        <v>175</v>
      </c>
      <c r="B45" s="4" t="n">
        <v>42</v>
      </c>
      <c r="C45" s="18" t="n">
        <v>3</v>
      </c>
      <c r="D45" s="18" t="n">
        <v>2.69</v>
      </c>
      <c r="E45" s="18" t="n">
        <v>17.25</v>
      </c>
      <c r="F45" s="18" t="n">
        <v>2.25</v>
      </c>
      <c r="H45" s="4" t="n">
        <v>265</v>
      </c>
      <c r="I45" s="4" t="n">
        <v>42</v>
      </c>
      <c r="J45" s="4" t="s">
        <v>85</v>
      </c>
      <c r="K45" s="4" t="s">
        <v>82</v>
      </c>
      <c r="L45" s="4" t="s">
        <v>82</v>
      </c>
      <c r="M45" s="4" t="str">
        <f aca="false">IF(K45=L45,"=","DISTINTA")</f>
        <v>=</v>
      </c>
      <c r="N45" s="4" t="s">
        <v>148</v>
      </c>
      <c r="O45" s="4" t="s">
        <v>149</v>
      </c>
    </row>
    <row r="46" customFormat="false" ht="15" hidden="false" customHeight="false" outlineLevel="0" collapsed="false">
      <c r="A46" s="4" t="n">
        <v>176</v>
      </c>
      <c r="B46" s="4" t="n">
        <v>43</v>
      </c>
      <c r="C46" s="18" t="n">
        <v>3</v>
      </c>
      <c r="D46" s="18" t="n">
        <v>0</v>
      </c>
      <c r="E46" s="18" t="n">
        <v>17.53</v>
      </c>
      <c r="F46" s="18" t="n">
        <v>2.53</v>
      </c>
      <c r="H46" s="4" t="n">
        <v>266</v>
      </c>
      <c r="I46" s="4" t="n">
        <v>43</v>
      </c>
      <c r="J46" s="4" t="s">
        <v>85</v>
      </c>
      <c r="K46" s="4" t="s">
        <v>82</v>
      </c>
      <c r="L46" s="4" t="s">
        <v>82</v>
      </c>
      <c r="M46" s="4" t="str">
        <f aca="false">IF(K46=L46,"=","DISTINTA")</f>
        <v>=</v>
      </c>
      <c r="N46" s="4" t="s">
        <v>150</v>
      </c>
      <c r="O46" s="4" t="s">
        <v>151</v>
      </c>
    </row>
    <row r="47" customFormat="false" ht="15" hidden="false" customHeight="false" outlineLevel="0" collapsed="false">
      <c r="A47" s="4" t="n">
        <v>177</v>
      </c>
      <c r="B47" s="4" t="n">
        <v>44</v>
      </c>
      <c r="C47" s="18" t="n">
        <v>3</v>
      </c>
      <c r="D47" s="18" t="n">
        <v>2.69</v>
      </c>
      <c r="E47" s="18" t="n">
        <v>17.53</v>
      </c>
      <c r="F47" s="18" t="n">
        <v>2.53</v>
      </c>
      <c r="H47" s="4" t="n">
        <v>267</v>
      </c>
      <c r="I47" s="4" t="n">
        <v>44</v>
      </c>
      <c r="J47" s="4" t="s">
        <v>85</v>
      </c>
      <c r="K47" s="4" t="s">
        <v>82</v>
      </c>
      <c r="L47" s="4" t="s">
        <v>82</v>
      </c>
      <c r="M47" s="4" t="str">
        <f aca="false">IF(K47=L47,"=","DISTINTA")</f>
        <v>=</v>
      </c>
      <c r="N47" s="4" t="s">
        <v>152</v>
      </c>
      <c r="O47" s="4" t="s">
        <v>153</v>
      </c>
    </row>
    <row r="48" customFormat="false" ht="15" hidden="false" customHeight="false" outlineLevel="0" collapsed="false">
      <c r="A48" s="4" t="n">
        <v>178</v>
      </c>
      <c r="B48" s="4" t="n">
        <v>45</v>
      </c>
      <c r="C48" s="18" t="n">
        <v>3</v>
      </c>
      <c r="D48" s="18" t="n">
        <v>0</v>
      </c>
      <c r="E48" s="18" t="n">
        <v>18.1</v>
      </c>
      <c r="F48" s="18" t="n">
        <v>3.1</v>
      </c>
      <c r="H48" s="4" t="n">
        <v>268</v>
      </c>
      <c r="I48" s="4" t="n">
        <v>45</v>
      </c>
      <c r="J48" s="4" t="s">
        <v>85</v>
      </c>
      <c r="K48" s="4" t="s">
        <v>82</v>
      </c>
      <c r="L48" s="4" t="s">
        <v>82</v>
      </c>
      <c r="M48" s="4" t="str">
        <f aca="false">IF(K48=L48,"=","DISTINTA")</f>
        <v>=</v>
      </c>
      <c r="N48" s="4" t="s">
        <v>154</v>
      </c>
      <c r="O48" s="4" t="s">
        <v>155</v>
      </c>
    </row>
    <row r="49" customFormat="false" ht="15" hidden="false" customHeight="false" outlineLevel="0" collapsed="false">
      <c r="A49" s="4" t="n">
        <v>179</v>
      </c>
      <c r="B49" s="4" t="n">
        <v>46</v>
      </c>
      <c r="C49" s="18" t="n">
        <v>3</v>
      </c>
      <c r="D49" s="18" t="n">
        <v>2.69</v>
      </c>
      <c r="E49" s="18" t="n">
        <v>18.1</v>
      </c>
      <c r="F49" s="18" t="n">
        <v>3.1</v>
      </c>
      <c r="H49" s="4" t="n">
        <v>269</v>
      </c>
      <c r="I49" s="4" t="n">
        <v>46</v>
      </c>
      <c r="J49" s="4" t="s">
        <v>85</v>
      </c>
      <c r="K49" s="4" t="s">
        <v>82</v>
      </c>
      <c r="L49" s="4" t="s">
        <v>82</v>
      </c>
      <c r="M49" s="4" t="str">
        <f aca="false">IF(K49=L49,"=","DISTINTA")</f>
        <v>=</v>
      </c>
      <c r="N49" s="4" t="s">
        <v>156</v>
      </c>
      <c r="O49" s="4" t="s">
        <v>157</v>
      </c>
    </row>
    <row r="50" customFormat="false" ht="15" hidden="false" customHeight="false" outlineLevel="0" collapsed="false">
      <c r="A50" s="4" t="n">
        <v>180</v>
      </c>
      <c r="B50" s="4" t="n">
        <v>47</v>
      </c>
      <c r="C50" s="18" t="n">
        <v>3</v>
      </c>
      <c r="D50" s="18" t="n">
        <v>0</v>
      </c>
      <c r="E50" s="18" t="n">
        <v>18.38</v>
      </c>
      <c r="F50" s="18" t="n">
        <v>3.38</v>
      </c>
      <c r="H50" s="4" t="n">
        <v>270</v>
      </c>
      <c r="I50" s="4" t="n">
        <v>47</v>
      </c>
      <c r="J50" s="4" t="s">
        <v>63</v>
      </c>
      <c r="K50" s="4" t="s">
        <v>64</v>
      </c>
      <c r="L50" s="4" t="s">
        <v>64</v>
      </c>
      <c r="M50" s="4" t="str">
        <f aca="false">IF(K50=L50,"=","DISTINTA")</f>
        <v>=</v>
      </c>
      <c r="N50" s="4" t="s">
        <v>158</v>
      </c>
      <c r="O50" s="4" t="s">
        <v>159</v>
      </c>
    </row>
    <row r="51" customFormat="false" ht="15" hidden="false" customHeight="false" outlineLevel="0" collapsed="false">
      <c r="A51" s="4" t="n">
        <v>181</v>
      </c>
      <c r="B51" s="4" t="n">
        <v>48</v>
      </c>
      <c r="C51" s="18" t="n">
        <v>3</v>
      </c>
      <c r="D51" s="18" t="n">
        <v>2.69</v>
      </c>
      <c r="E51" s="18" t="n">
        <v>18.38</v>
      </c>
      <c r="F51" s="18" t="n">
        <v>3.38</v>
      </c>
      <c r="H51" s="4" t="n">
        <v>271</v>
      </c>
      <c r="I51" s="4" t="n">
        <v>48</v>
      </c>
      <c r="J51" s="4" t="s">
        <v>63</v>
      </c>
      <c r="K51" s="4" t="s">
        <v>64</v>
      </c>
      <c r="L51" s="4" t="s">
        <v>64</v>
      </c>
      <c r="M51" s="4" t="str">
        <f aca="false">IF(K51=L51,"=","DISTINTA")</f>
        <v>=</v>
      </c>
      <c r="N51" s="4" t="s">
        <v>160</v>
      </c>
      <c r="O51" s="4" t="s">
        <v>161</v>
      </c>
    </row>
    <row r="52" customFormat="false" ht="15" hidden="false" customHeight="false" outlineLevel="0" collapsed="false">
      <c r="A52" s="4" t="n">
        <v>182</v>
      </c>
      <c r="B52" s="4" t="n">
        <v>49</v>
      </c>
      <c r="C52" s="18" t="n">
        <v>3</v>
      </c>
      <c r="D52" s="18" t="n">
        <v>2.58</v>
      </c>
      <c r="E52" s="18" t="n">
        <v>15</v>
      </c>
      <c r="F52" s="18" t="n">
        <v>0</v>
      </c>
      <c r="H52" s="4" t="n">
        <v>272</v>
      </c>
      <c r="I52" s="4" t="n">
        <v>49</v>
      </c>
      <c r="J52" s="4" t="s">
        <v>63</v>
      </c>
      <c r="K52" s="4" t="s">
        <v>64</v>
      </c>
      <c r="L52" s="4" t="s">
        <v>64</v>
      </c>
      <c r="M52" s="4" t="str">
        <f aca="false">IF(K52=L52,"=","DISTINTA")</f>
        <v>=</v>
      </c>
      <c r="N52" s="4" t="s">
        <v>162</v>
      </c>
      <c r="O52" s="4" t="s">
        <v>163</v>
      </c>
    </row>
    <row r="53" customFormat="false" ht="15" hidden="false" customHeight="false" outlineLevel="0" collapsed="false">
      <c r="A53" s="4" t="n">
        <v>183</v>
      </c>
      <c r="B53" s="4" t="n">
        <v>50</v>
      </c>
      <c r="C53" s="18" t="n">
        <v>3</v>
      </c>
      <c r="D53" s="18" t="n">
        <v>2.58</v>
      </c>
      <c r="E53" s="18" t="n">
        <v>18.38</v>
      </c>
      <c r="F53" s="18" t="n">
        <v>3.38</v>
      </c>
      <c r="H53" s="4" t="n">
        <v>273</v>
      </c>
      <c r="I53" s="4" t="n">
        <v>50</v>
      </c>
      <c r="J53" s="4" t="s">
        <v>63</v>
      </c>
      <c r="K53" s="4" t="s">
        <v>64</v>
      </c>
      <c r="L53" s="4" t="s">
        <v>64</v>
      </c>
      <c r="M53" s="4" t="str">
        <f aca="false">IF(K53=L53,"=","DISTINTA")</f>
        <v>=</v>
      </c>
      <c r="N53" s="4" t="s">
        <v>164</v>
      </c>
      <c r="O53" s="4" t="s">
        <v>165</v>
      </c>
    </row>
    <row r="54" customFormat="false" ht="15" hidden="false" customHeight="false" outlineLevel="0" collapsed="false">
      <c r="A54" s="4" t="n">
        <v>184</v>
      </c>
      <c r="B54" s="4" t="n">
        <v>51</v>
      </c>
      <c r="C54" s="18" t="n">
        <v>3</v>
      </c>
      <c r="D54" s="18" t="n">
        <v>1.4</v>
      </c>
      <c r="E54" s="18" t="n">
        <v>15</v>
      </c>
      <c r="F54" s="18" t="n">
        <v>0</v>
      </c>
      <c r="H54" s="4" t="n">
        <v>274</v>
      </c>
      <c r="I54" s="4" t="n">
        <v>51</v>
      </c>
      <c r="J54" s="4" t="s">
        <v>63</v>
      </c>
      <c r="K54" s="4" t="s">
        <v>64</v>
      </c>
      <c r="L54" s="4" t="s">
        <v>64</v>
      </c>
      <c r="M54" s="4" t="str">
        <f aca="false">IF(K54=L54,"=","DISTINTA")</f>
        <v>=</v>
      </c>
      <c r="N54" s="4" t="s">
        <v>166</v>
      </c>
      <c r="O54" s="4" t="s">
        <v>167</v>
      </c>
    </row>
    <row r="55" customFormat="false" ht="15" hidden="false" customHeight="false" outlineLevel="0" collapsed="false">
      <c r="A55" s="4" t="n">
        <v>185</v>
      </c>
      <c r="B55" s="4" t="n">
        <v>52</v>
      </c>
      <c r="C55" s="18" t="n">
        <v>3</v>
      </c>
      <c r="D55" s="18" t="n">
        <v>1.4</v>
      </c>
      <c r="E55" s="18" t="n">
        <v>18.38</v>
      </c>
      <c r="F55" s="18" t="n">
        <v>3.38</v>
      </c>
      <c r="H55" s="4" t="n">
        <v>275</v>
      </c>
      <c r="I55" s="4" t="n">
        <v>52</v>
      </c>
      <c r="J55" s="4" t="s">
        <v>63</v>
      </c>
      <c r="K55" s="4" t="s">
        <v>64</v>
      </c>
      <c r="L55" s="4" t="s">
        <v>64</v>
      </c>
      <c r="M55" s="4" t="str">
        <f aca="false">IF(K55=L55,"=","DISTINTA")</f>
        <v>=</v>
      </c>
      <c r="N55" s="4" t="s">
        <v>168</v>
      </c>
      <c r="O55" s="4" t="s">
        <v>169</v>
      </c>
    </row>
    <row r="56" customFormat="false" ht="15" hidden="false" customHeight="false" outlineLevel="0" collapsed="false">
      <c r="A56" s="4" t="n">
        <v>186</v>
      </c>
      <c r="B56" s="4" t="n">
        <v>53</v>
      </c>
      <c r="C56" s="18" t="n">
        <v>3</v>
      </c>
      <c r="D56" s="18" t="n">
        <v>0</v>
      </c>
      <c r="E56" s="18" t="n">
        <v>15</v>
      </c>
      <c r="F56" s="18" t="n">
        <v>0</v>
      </c>
      <c r="H56" s="4" t="n">
        <v>276</v>
      </c>
      <c r="I56" s="4" t="n">
        <v>53</v>
      </c>
      <c r="J56" s="4" t="s">
        <v>63</v>
      </c>
      <c r="K56" s="4" t="s">
        <v>64</v>
      </c>
      <c r="L56" s="4" t="s">
        <v>64</v>
      </c>
      <c r="M56" s="4" t="str">
        <f aca="false">IF(K56=L56,"=","DISTINTA")</f>
        <v>=</v>
      </c>
      <c r="N56" s="4" t="s">
        <v>170</v>
      </c>
      <c r="O56" s="4" t="s">
        <v>171</v>
      </c>
    </row>
    <row r="57" customFormat="false" ht="15" hidden="false" customHeight="false" outlineLevel="0" collapsed="false">
      <c r="A57" s="4" t="n">
        <v>187</v>
      </c>
      <c r="B57" s="4" t="n">
        <v>54</v>
      </c>
      <c r="C57" s="18" t="n">
        <v>3</v>
      </c>
      <c r="D57" s="18" t="n">
        <v>2.58</v>
      </c>
      <c r="E57" s="18" t="n">
        <v>15.28</v>
      </c>
      <c r="F57" s="18" t="n">
        <v>0.28</v>
      </c>
      <c r="H57" s="4" t="n">
        <v>277</v>
      </c>
      <c r="I57" s="4" t="n">
        <v>54</v>
      </c>
      <c r="J57" s="4" t="s">
        <v>63</v>
      </c>
      <c r="K57" s="4" t="s">
        <v>64</v>
      </c>
      <c r="L57" s="4" t="s">
        <v>64</v>
      </c>
      <c r="M57" s="4" t="str">
        <f aca="false">IF(K57=L57,"=","DISTINTA")</f>
        <v>=</v>
      </c>
      <c r="N57" s="4" t="s">
        <v>172</v>
      </c>
      <c r="O57" s="4" t="s">
        <v>173</v>
      </c>
    </row>
    <row r="58" customFormat="false" ht="15" hidden="false" customHeight="false" outlineLevel="0" collapsed="false">
      <c r="A58" s="4" t="n">
        <v>188</v>
      </c>
      <c r="B58" s="4" t="n">
        <v>55</v>
      </c>
      <c r="C58" s="18" t="n">
        <v>3</v>
      </c>
      <c r="D58" s="18" t="n">
        <v>1.4</v>
      </c>
      <c r="E58" s="18" t="n">
        <v>15.28</v>
      </c>
      <c r="F58" s="18" t="n">
        <v>0.28</v>
      </c>
      <c r="H58" s="4" t="n">
        <v>278</v>
      </c>
      <c r="I58" s="4" t="n">
        <v>55</v>
      </c>
      <c r="J58" s="4" t="s">
        <v>81</v>
      </c>
      <c r="K58" s="4" t="s">
        <v>82</v>
      </c>
      <c r="L58" s="4" t="s">
        <v>82</v>
      </c>
      <c r="M58" s="4" t="str">
        <f aca="false">IF(K58=L58,"=","DISTINTA")</f>
        <v>=</v>
      </c>
      <c r="N58" s="4" t="s">
        <v>174</v>
      </c>
      <c r="O58" s="4" t="s">
        <v>175</v>
      </c>
    </row>
    <row r="59" customFormat="false" ht="15" hidden="false" customHeight="false" outlineLevel="0" collapsed="false">
      <c r="A59" s="4" t="n">
        <v>189</v>
      </c>
      <c r="B59" s="4" t="n">
        <v>56</v>
      </c>
      <c r="C59" s="18" t="n">
        <v>3</v>
      </c>
      <c r="D59" s="18" t="n">
        <v>2.58</v>
      </c>
      <c r="E59" s="18" t="n">
        <v>15.85</v>
      </c>
      <c r="F59" s="18" t="n">
        <v>0.85</v>
      </c>
      <c r="H59" s="4" t="n">
        <v>279</v>
      </c>
      <c r="I59" s="4" t="n">
        <v>56</v>
      </c>
      <c r="J59" s="4" t="s">
        <v>85</v>
      </c>
      <c r="K59" s="4" t="s">
        <v>82</v>
      </c>
      <c r="L59" s="4" t="s">
        <v>82</v>
      </c>
      <c r="M59" s="4" t="str">
        <f aca="false">IF(K59=L59,"=","DISTINTA")</f>
        <v>=</v>
      </c>
      <c r="N59" s="4" t="s">
        <v>176</v>
      </c>
      <c r="O59" s="4" t="s">
        <v>177</v>
      </c>
    </row>
    <row r="60" customFormat="false" ht="15" hidden="false" customHeight="false" outlineLevel="0" collapsed="false">
      <c r="A60" s="4" t="n">
        <v>190</v>
      </c>
      <c r="B60" s="4" t="n">
        <v>57</v>
      </c>
      <c r="C60" s="18" t="n">
        <v>3</v>
      </c>
      <c r="D60" s="18" t="n">
        <v>1.4</v>
      </c>
      <c r="E60" s="18" t="n">
        <v>15.85</v>
      </c>
      <c r="F60" s="18" t="n">
        <v>0.85</v>
      </c>
      <c r="H60" s="4" t="n">
        <v>280</v>
      </c>
      <c r="I60" s="4" t="n">
        <v>57</v>
      </c>
      <c r="J60" s="4" t="s">
        <v>85</v>
      </c>
      <c r="K60" s="4" t="s">
        <v>82</v>
      </c>
      <c r="L60" s="4" t="s">
        <v>82</v>
      </c>
      <c r="M60" s="4" t="str">
        <f aca="false">IF(K60=L60,"=","DISTINTA")</f>
        <v>=</v>
      </c>
      <c r="N60" s="4" t="s">
        <v>178</v>
      </c>
      <c r="O60" s="4" t="s">
        <v>179</v>
      </c>
    </row>
    <row r="61" customFormat="false" ht="15" hidden="false" customHeight="false" outlineLevel="0" collapsed="false">
      <c r="A61" s="4" t="n">
        <v>191</v>
      </c>
      <c r="B61" s="4" t="n">
        <v>58</v>
      </c>
      <c r="C61" s="18" t="n">
        <v>3</v>
      </c>
      <c r="D61" s="18" t="n">
        <v>2.58</v>
      </c>
      <c r="E61" s="18" t="n">
        <v>16.13</v>
      </c>
      <c r="F61" s="18" t="n">
        <v>1.13</v>
      </c>
      <c r="H61" s="4" t="n">
        <v>281</v>
      </c>
      <c r="I61" s="4" t="n">
        <v>58</v>
      </c>
      <c r="J61" s="4" t="s">
        <v>63</v>
      </c>
      <c r="K61" s="4" t="s">
        <v>64</v>
      </c>
      <c r="L61" s="4" t="s">
        <v>64</v>
      </c>
      <c r="M61" s="4" t="str">
        <f aca="false">IF(K61=L61,"=","DISTINTA")</f>
        <v>=</v>
      </c>
      <c r="N61" s="4" t="s">
        <v>180</v>
      </c>
      <c r="O61" s="4" t="s">
        <v>181</v>
      </c>
    </row>
    <row r="62" customFormat="false" ht="15" hidden="false" customHeight="false" outlineLevel="0" collapsed="false">
      <c r="A62" s="4" t="n">
        <v>192</v>
      </c>
      <c r="B62" s="4" t="n">
        <v>59</v>
      </c>
      <c r="C62" s="18" t="n">
        <v>3</v>
      </c>
      <c r="D62" s="18" t="n">
        <v>1.4</v>
      </c>
      <c r="E62" s="18" t="n">
        <v>16.13</v>
      </c>
      <c r="F62" s="18" t="n">
        <v>1.13</v>
      </c>
      <c r="H62" s="4" t="n">
        <v>282</v>
      </c>
      <c r="I62" s="4" t="n">
        <v>59</v>
      </c>
      <c r="J62" s="4" t="s">
        <v>63</v>
      </c>
      <c r="K62" s="4" t="s">
        <v>64</v>
      </c>
      <c r="L62" s="4" t="s">
        <v>64</v>
      </c>
      <c r="M62" s="4" t="str">
        <f aca="false">IF(K62=L62,"=","DISTINTA")</f>
        <v>=</v>
      </c>
      <c r="N62" s="4" t="s">
        <v>182</v>
      </c>
      <c r="O62" s="4" t="s">
        <v>183</v>
      </c>
    </row>
    <row r="63" customFormat="false" ht="15" hidden="false" customHeight="false" outlineLevel="0" collapsed="false">
      <c r="A63" s="4" t="n">
        <v>193</v>
      </c>
      <c r="B63" s="4" t="n">
        <v>60</v>
      </c>
      <c r="C63" s="18" t="n">
        <v>3</v>
      </c>
      <c r="D63" s="18" t="n">
        <v>2.58</v>
      </c>
      <c r="E63" s="18" t="n">
        <v>17.25</v>
      </c>
      <c r="F63" s="18" t="n">
        <v>2.25</v>
      </c>
      <c r="H63" s="4" t="n">
        <v>283</v>
      </c>
      <c r="I63" s="4" t="n">
        <v>60</v>
      </c>
      <c r="J63" s="4" t="s">
        <v>63</v>
      </c>
      <c r="K63" s="4" t="s">
        <v>64</v>
      </c>
      <c r="L63" s="4" t="s">
        <v>64</v>
      </c>
      <c r="M63" s="4" t="str">
        <f aca="false">IF(K63=L63,"=","DISTINTA")</f>
        <v>=</v>
      </c>
      <c r="N63" s="4" t="s">
        <v>184</v>
      </c>
      <c r="O63" s="4" t="s">
        <v>185</v>
      </c>
    </row>
    <row r="64" customFormat="false" ht="15" hidden="false" customHeight="false" outlineLevel="0" collapsed="false">
      <c r="A64" s="4" t="n">
        <v>194</v>
      </c>
      <c r="B64" s="4" t="n">
        <v>61</v>
      </c>
      <c r="C64" s="18" t="n">
        <v>3</v>
      </c>
      <c r="D64" s="18" t="n">
        <v>1.4</v>
      </c>
      <c r="E64" s="18" t="n">
        <v>17.25</v>
      </c>
      <c r="F64" s="18" t="n">
        <v>2.25</v>
      </c>
      <c r="H64" s="4" t="n">
        <v>284</v>
      </c>
      <c r="I64" s="4" t="n">
        <v>61</v>
      </c>
      <c r="J64" s="4" t="s">
        <v>63</v>
      </c>
      <c r="K64" s="4" t="s">
        <v>64</v>
      </c>
      <c r="L64" s="4" t="s">
        <v>64</v>
      </c>
      <c r="M64" s="4" t="str">
        <f aca="false">IF(K64=L64,"=","DISTINTA")</f>
        <v>=</v>
      </c>
      <c r="N64" s="4" t="s">
        <v>186</v>
      </c>
      <c r="O64" s="4" t="s">
        <v>187</v>
      </c>
    </row>
    <row r="65" customFormat="false" ht="15" hidden="false" customHeight="false" outlineLevel="0" collapsed="false">
      <c r="A65" s="4" t="n">
        <v>195</v>
      </c>
      <c r="B65" s="4" t="n">
        <v>62</v>
      </c>
      <c r="C65" s="18" t="n">
        <v>3</v>
      </c>
      <c r="D65" s="18" t="n">
        <v>2.58</v>
      </c>
      <c r="E65" s="18" t="n">
        <v>17.53</v>
      </c>
      <c r="F65" s="18" t="n">
        <v>2.53</v>
      </c>
      <c r="H65" s="4" t="n">
        <v>285</v>
      </c>
      <c r="I65" s="4" t="n">
        <v>62</v>
      </c>
      <c r="J65" s="4" t="s">
        <v>63</v>
      </c>
      <c r="K65" s="4" t="s">
        <v>64</v>
      </c>
      <c r="L65" s="4" t="s">
        <v>64</v>
      </c>
      <c r="M65" s="4" t="str">
        <f aca="false">IF(K65=L65,"=","DISTINTA")</f>
        <v>=</v>
      </c>
      <c r="N65" s="4" t="s">
        <v>188</v>
      </c>
      <c r="O65" s="4" t="s">
        <v>189</v>
      </c>
    </row>
    <row r="66" customFormat="false" ht="15" hidden="false" customHeight="false" outlineLevel="0" collapsed="false">
      <c r="A66" s="4" t="n">
        <v>196</v>
      </c>
      <c r="B66" s="4" t="n">
        <v>63</v>
      </c>
      <c r="C66" s="18" t="n">
        <v>3</v>
      </c>
      <c r="D66" s="18" t="n">
        <v>1.4</v>
      </c>
      <c r="E66" s="18" t="n">
        <v>17.53</v>
      </c>
      <c r="F66" s="18" t="n">
        <v>2.53</v>
      </c>
      <c r="H66" s="4" t="n">
        <v>286</v>
      </c>
      <c r="I66" s="4" t="n">
        <v>63</v>
      </c>
      <c r="J66" s="4" t="s">
        <v>63</v>
      </c>
      <c r="K66" s="4" t="s">
        <v>64</v>
      </c>
      <c r="L66" s="4" t="s">
        <v>64</v>
      </c>
      <c r="M66" s="4" t="str">
        <f aca="false">IF(K66=L66,"=","DISTINTA")</f>
        <v>=</v>
      </c>
      <c r="N66" s="4" t="s">
        <v>190</v>
      </c>
      <c r="O66" s="4" t="s">
        <v>191</v>
      </c>
    </row>
    <row r="67" customFormat="false" ht="15" hidden="false" customHeight="false" outlineLevel="0" collapsed="false">
      <c r="A67" s="4" t="n">
        <v>197</v>
      </c>
      <c r="B67" s="4" t="n">
        <v>64</v>
      </c>
      <c r="C67" s="18" t="n">
        <v>3</v>
      </c>
      <c r="D67" s="18" t="n">
        <v>2.58</v>
      </c>
      <c r="E67" s="18" t="n">
        <v>18.1</v>
      </c>
      <c r="F67" s="18" t="n">
        <v>3.1</v>
      </c>
      <c r="H67" s="4" t="n">
        <v>287</v>
      </c>
      <c r="I67" s="4" t="n">
        <v>64</v>
      </c>
      <c r="J67" s="4" t="s">
        <v>63</v>
      </c>
      <c r="K67" s="4" t="s">
        <v>64</v>
      </c>
      <c r="L67" s="4" t="s">
        <v>64</v>
      </c>
      <c r="M67" s="4" t="str">
        <f aca="false">IF(K67=L67,"=","DISTINTA")</f>
        <v>=</v>
      </c>
      <c r="N67" s="4" t="s">
        <v>192</v>
      </c>
      <c r="O67" s="4" t="s">
        <v>193</v>
      </c>
    </row>
    <row r="68" customFormat="false" ht="15" hidden="false" customHeight="false" outlineLevel="0" collapsed="false">
      <c r="A68" s="4" t="n">
        <v>198</v>
      </c>
      <c r="B68" s="4" t="n">
        <v>65</v>
      </c>
      <c r="C68" s="18" t="n">
        <v>3</v>
      </c>
      <c r="D68" s="18" t="n">
        <v>1.4</v>
      </c>
      <c r="E68" s="18" t="n">
        <v>18.1</v>
      </c>
      <c r="F68" s="18" t="n">
        <v>3.1</v>
      </c>
      <c r="H68" s="4" t="n">
        <v>288</v>
      </c>
      <c r="I68" s="4" t="n">
        <v>65</v>
      </c>
      <c r="J68" s="4" t="s">
        <v>63</v>
      </c>
      <c r="K68" s="4" t="s">
        <v>64</v>
      </c>
      <c r="L68" s="4" t="s">
        <v>64</v>
      </c>
      <c r="M68" s="4" t="str">
        <f aca="false">IF(K68=L68,"=","DISTINTA")</f>
        <v>=</v>
      </c>
      <c r="N68" s="4" t="s">
        <v>194</v>
      </c>
      <c r="O68" s="4" t="s">
        <v>195</v>
      </c>
    </row>
    <row r="69" customFormat="false" ht="15" hidden="false" customHeight="false" outlineLevel="0" collapsed="false">
      <c r="A69" s="4" t="n">
        <v>199</v>
      </c>
      <c r="B69" s="4" t="n">
        <v>66</v>
      </c>
      <c r="C69" s="18" t="n">
        <v>-3</v>
      </c>
      <c r="D69" s="18" t="n">
        <v>2.69</v>
      </c>
      <c r="E69" s="18" t="n">
        <v>15</v>
      </c>
      <c r="F69" s="18" t="n">
        <v>0</v>
      </c>
      <c r="H69" s="4" t="n">
        <v>289</v>
      </c>
      <c r="I69" s="4" t="n">
        <v>66</v>
      </c>
      <c r="J69" s="4" t="s">
        <v>63</v>
      </c>
      <c r="K69" s="4" t="s">
        <v>64</v>
      </c>
      <c r="L69" s="4" t="s">
        <v>64</v>
      </c>
      <c r="M69" s="4" t="str">
        <f aca="false">IF(K69=L69,"=","DISTINTA")</f>
        <v>=</v>
      </c>
      <c r="N69" s="4" t="s">
        <v>196</v>
      </c>
      <c r="O69" s="4" t="s">
        <v>197</v>
      </c>
    </row>
    <row r="70" customFormat="false" ht="15" hidden="false" customHeight="false" outlineLevel="0" collapsed="false">
      <c r="A70" s="4" t="n">
        <v>200</v>
      </c>
      <c r="B70" s="4" t="n">
        <v>67</v>
      </c>
      <c r="C70" s="18" t="n">
        <v>-3</v>
      </c>
      <c r="D70" s="18" t="n">
        <v>0</v>
      </c>
      <c r="E70" s="18" t="n">
        <v>15.28</v>
      </c>
      <c r="F70" s="18" t="n">
        <v>0.28</v>
      </c>
      <c r="H70" s="4" t="n">
        <v>290</v>
      </c>
      <c r="I70" s="4" t="n">
        <v>67</v>
      </c>
      <c r="J70" s="4" t="s">
        <v>63</v>
      </c>
      <c r="K70" s="4" t="s">
        <v>64</v>
      </c>
      <c r="L70" s="4" t="s">
        <v>64</v>
      </c>
      <c r="M70" s="4" t="str">
        <f aca="false">IF(K70=L70,"=","DISTINTA")</f>
        <v>=</v>
      </c>
      <c r="N70" s="4" t="s">
        <v>198</v>
      </c>
      <c r="O70" s="4" t="s">
        <v>199</v>
      </c>
    </row>
    <row r="71" customFormat="false" ht="15" hidden="false" customHeight="false" outlineLevel="0" collapsed="false">
      <c r="A71" s="4" t="n">
        <v>201</v>
      </c>
      <c r="B71" s="4" t="n">
        <v>68</v>
      </c>
      <c r="C71" s="18" t="n">
        <v>-3</v>
      </c>
      <c r="D71" s="18" t="n">
        <v>2.69</v>
      </c>
      <c r="E71" s="18" t="n">
        <v>15.28</v>
      </c>
      <c r="F71" s="18" t="n">
        <v>0.28</v>
      </c>
      <c r="H71" s="4" t="n">
        <v>291</v>
      </c>
      <c r="I71" s="4" t="n">
        <v>68</v>
      </c>
      <c r="J71" s="4" t="s">
        <v>63</v>
      </c>
      <c r="K71" s="4" t="s">
        <v>64</v>
      </c>
      <c r="L71" s="4" t="s">
        <v>64</v>
      </c>
      <c r="M71" s="4" t="str">
        <f aca="false">IF(K71=L71,"=","DISTINTA")</f>
        <v>=</v>
      </c>
      <c r="N71" s="4" t="s">
        <v>200</v>
      </c>
      <c r="O71" s="4" t="s">
        <v>201</v>
      </c>
    </row>
    <row r="72" customFormat="false" ht="15" hidden="false" customHeight="false" outlineLevel="0" collapsed="false">
      <c r="A72" s="4" t="n">
        <v>202</v>
      </c>
      <c r="B72" s="4" t="n">
        <v>69</v>
      </c>
      <c r="C72" s="18" t="n">
        <v>-3</v>
      </c>
      <c r="D72" s="18" t="n">
        <v>0</v>
      </c>
      <c r="E72" s="18" t="n">
        <v>15.85</v>
      </c>
      <c r="F72" s="18" t="n">
        <v>0.85</v>
      </c>
      <c r="H72" s="4" t="n">
        <v>292</v>
      </c>
      <c r="I72" s="4" t="n">
        <v>69</v>
      </c>
      <c r="J72" s="4" t="s">
        <v>63</v>
      </c>
      <c r="K72" s="4" t="s">
        <v>64</v>
      </c>
      <c r="L72" s="4" t="s">
        <v>64</v>
      </c>
      <c r="M72" s="4" t="str">
        <f aca="false">IF(K72=L72,"=","DISTINTA")</f>
        <v>=</v>
      </c>
      <c r="N72" s="4" t="s">
        <v>202</v>
      </c>
      <c r="O72" s="4" t="s">
        <v>203</v>
      </c>
    </row>
    <row r="73" customFormat="false" ht="15" hidden="false" customHeight="false" outlineLevel="0" collapsed="false">
      <c r="A73" s="4" t="n">
        <v>203</v>
      </c>
      <c r="B73" s="4" t="n">
        <v>70</v>
      </c>
      <c r="C73" s="18" t="n">
        <v>-3</v>
      </c>
      <c r="D73" s="18" t="n">
        <v>2.69</v>
      </c>
      <c r="E73" s="18" t="n">
        <v>15.85</v>
      </c>
      <c r="F73" s="18" t="n">
        <v>0.85</v>
      </c>
      <c r="H73" s="4" t="n">
        <v>293</v>
      </c>
      <c r="I73" s="4" t="n">
        <v>70</v>
      </c>
      <c r="J73" s="4" t="s">
        <v>63</v>
      </c>
      <c r="K73" s="4" t="s">
        <v>64</v>
      </c>
      <c r="L73" s="4" t="s">
        <v>64</v>
      </c>
      <c r="M73" s="4" t="str">
        <f aca="false">IF(K73=L73,"=","DISTINTA")</f>
        <v>=</v>
      </c>
      <c r="N73" s="4" t="s">
        <v>204</v>
      </c>
      <c r="O73" s="4" t="s">
        <v>205</v>
      </c>
    </row>
    <row r="74" customFormat="false" ht="15" hidden="false" customHeight="false" outlineLevel="0" collapsed="false">
      <c r="A74" s="4" t="n">
        <v>204</v>
      </c>
      <c r="B74" s="4" t="n">
        <v>71</v>
      </c>
      <c r="C74" s="18" t="n">
        <v>-3</v>
      </c>
      <c r="D74" s="18" t="n">
        <v>0</v>
      </c>
      <c r="E74" s="18" t="n">
        <v>16.13</v>
      </c>
      <c r="F74" s="18" t="n">
        <v>1.13</v>
      </c>
      <c r="H74" s="4" t="n">
        <v>294</v>
      </c>
      <c r="I74" s="4" t="n">
        <v>71</v>
      </c>
      <c r="J74" s="4" t="s">
        <v>63</v>
      </c>
      <c r="K74" s="4" t="s">
        <v>64</v>
      </c>
      <c r="L74" s="4" t="s">
        <v>64</v>
      </c>
      <c r="M74" s="4" t="str">
        <f aca="false">IF(K74=L74,"=","DISTINTA")</f>
        <v>=</v>
      </c>
      <c r="N74" s="4" t="s">
        <v>206</v>
      </c>
      <c r="O74" s="4" t="s">
        <v>207</v>
      </c>
    </row>
    <row r="75" customFormat="false" ht="15" hidden="false" customHeight="false" outlineLevel="0" collapsed="false">
      <c r="A75" s="4" t="n">
        <v>205</v>
      </c>
      <c r="B75" s="4" t="n">
        <v>72</v>
      </c>
      <c r="C75" s="18" t="n">
        <v>-3</v>
      </c>
      <c r="D75" s="18" t="n">
        <v>2.69</v>
      </c>
      <c r="E75" s="18" t="n">
        <v>16.13</v>
      </c>
      <c r="F75" s="18" t="n">
        <v>1.13</v>
      </c>
      <c r="H75" s="4" t="n">
        <v>295</v>
      </c>
      <c r="I75" s="4" t="n">
        <v>72</v>
      </c>
      <c r="J75" s="4" t="s">
        <v>63</v>
      </c>
      <c r="K75" s="4" t="s">
        <v>64</v>
      </c>
      <c r="L75" s="4" t="s">
        <v>64</v>
      </c>
      <c r="M75" s="4" t="str">
        <f aca="false">IF(K75=L75,"=","DISTINTA")</f>
        <v>=</v>
      </c>
      <c r="N75" s="4" t="s">
        <v>208</v>
      </c>
      <c r="O75" s="4" t="s">
        <v>209</v>
      </c>
    </row>
    <row r="76" customFormat="false" ht="15" hidden="false" customHeight="false" outlineLevel="0" collapsed="false">
      <c r="A76" s="4" t="n">
        <v>206</v>
      </c>
      <c r="B76" s="4" t="n">
        <v>73</v>
      </c>
      <c r="C76" s="18" t="n">
        <v>-3</v>
      </c>
      <c r="D76" s="18" t="n">
        <v>0</v>
      </c>
      <c r="E76" s="18" t="n">
        <v>17.25</v>
      </c>
      <c r="F76" s="18" t="n">
        <v>2.25</v>
      </c>
      <c r="H76" s="4" t="n">
        <v>296</v>
      </c>
      <c r="I76" s="4" t="n">
        <v>73</v>
      </c>
      <c r="J76" s="4" t="s">
        <v>63</v>
      </c>
      <c r="K76" s="4" t="s">
        <v>64</v>
      </c>
      <c r="L76" s="4" t="s">
        <v>64</v>
      </c>
      <c r="M76" s="4" t="str">
        <f aca="false">IF(K76=L76,"=","DISTINTA")</f>
        <v>=</v>
      </c>
      <c r="N76" s="4" t="s">
        <v>210</v>
      </c>
      <c r="O76" s="4" t="s">
        <v>211</v>
      </c>
    </row>
    <row r="77" customFormat="false" ht="15" hidden="false" customHeight="false" outlineLevel="0" collapsed="false">
      <c r="A77" s="4" t="n">
        <v>207</v>
      </c>
      <c r="B77" s="4" t="n">
        <v>74</v>
      </c>
      <c r="C77" s="18" t="n">
        <v>-3</v>
      </c>
      <c r="D77" s="18" t="n">
        <v>2.69</v>
      </c>
      <c r="E77" s="18" t="n">
        <v>17.25</v>
      </c>
      <c r="F77" s="18" t="n">
        <v>2.25</v>
      </c>
      <c r="H77" s="4" t="n">
        <v>297</v>
      </c>
      <c r="I77" s="4" t="n">
        <v>74</v>
      </c>
      <c r="J77" s="4" t="s">
        <v>81</v>
      </c>
      <c r="K77" s="4" t="s">
        <v>82</v>
      </c>
      <c r="L77" s="4" t="s">
        <v>82</v>
      </c>
      <c r="M77" s="4" t="str">
        <f aca="false">IF(K77=L77,"=","DISTINTA")</f>
        <v>=</v>
      </c>
      <c r="N77" s="4" t="s">
        <v>212</v>
      </c>
      <c r="O77" s="4" t="s">
        <v>213</v>
      </c>
    </row>
    <row r="78" customFormat="false" ht="15" hidden="false" customHeight="false" outlineLevel="0" collapsed="false">
      <c r="A78" s="4" t="n">
        <v>208</v>
      </c>
      <c r="B78" s="4" t="n">
        <v>75</v>
      </c>
      <c r="C78" s="18" t="n">
        <v>-3</v>
      </c>
      <c r="D78" s="18" t="n">
        <v>0</v>
      </c>
      <c r="E78" s="18" t="n">
        <v>17.53</v>
      </c>
      <c r="F78" s="18" t="n">
        <v>2.53</v>
      </c>
      <c r="H78" s="4" t="n">
        <v>298</v>
      </c>
      <c r="I78" s="4" t="n">
        <v>75</v>
      </c>
      <c r="J78" s="4" t="s">
        <v>81</v>
      </c>
      <c r="K78" s="4" t="s">
        <v>82</v>
      </c>
      <c r="L78" s="4" t="s">
        <v>82</v>
      </c>
      <c r="M78" s="4" t="str">
        <f aca="false">IF(K78=L78,"=","DISTINTA")</f>
        <v>=</v>
      </c>
      <c r="N78" s="4" t="s">
        <v>214</v>
      </c>
      <c r="O78" s="4" t="s">
        <v>215</v>
      </c>
    </row>
    <row r="79" customFormat="false" ht="15" hidden="false" customHeight="false" outlineLevel="0" collapsed="false">
      <c r="A79" s="4" t="n">
        <v>209</v>
      </c>
      <c r="B79" s="4" t="n">
        <v>76</v>
      </c>
      <c r="C79" s="18" t="n">
        <v>-3</v>
      </c>
      <c r="D79" s="18" t="n">
        <v>2.69</v>
      </c>
      <c r="E79" s="18" t="n">
        <v>17.53</v>
      </c>
      <c r="F79" s="18" t="n">
        <v>2.53</v>
      </c>
      <c r="H79" s="4" t="n">
        <v>299</v>
      </c>
      <c r="I79" s="4" t="n">
        <v>76</v>
      </c>
      <c r="J79" s="4" t="s">
        <v>81</v>
      </c>
      <c r="K79" s="4" t="s">
        <v>82</v>
      </c>
      <c r="L79" s="4" t="s">
        <v>82</v>
      </c>
      <c r="M79" s="4" t="str">
        <f aca="false">IF(K79=L79,"=","DISTINTA")</f>
        <v>=</v>
      </c>
      <c r="N79" s="4" t="s">
        <v>216</v>
      </c>
      <c r="O79" s="4" t="s">
        <v>217</v>
      </c>
    </row>
    <row r="80" customFormat="false" ht="15" hidden="false" customHeight="false" outlineLevel="0" collapsed="false">
      <c r="A80" s="4" t="n">
        <v>210</v>
      </c>
      <c r="B80" s="4" t="n">
        <v>77</v>
      </c>
      <c r="C80" s="18" t="n">
        <v>-3</v>
      </c>
      <c r="D80" s="18" t="n">
        <v>0</v>
      </c>
      <c r="E80" s="18" t="n">
        <v>18.1</v>
      </c>
      <c r="F80" s="18" t="n">
        <v>3.1</v>
      </c>
      <c r="H80" s="4" t="n">
        <v>300</v>
      </c>
      <c r="I80" s="4" t="n">
        <v>77</v>
      </c>
      <c r="J80" s="4" t="s">
        <v>81</v>
      </c>
      <c r="K80" s="4" t="s">
        <v>82</v>
      </c>
      <c r="L80" s="4" t="s">
        <v>82</v>
      </c>
      <c r="M80" s="4" t="str">
        <f aca="false">IF(K80=L80,"=","DISTINTA")</f>
        <v>=</v>
      </c>
      <c r="N80" s="4" t="s">
        <v>218</v>
      </c>
      <c r="O80" s="4" t="s">
        <v>219</v>
      </c>
    </row>
    <row r="81" customFormat="false" ht="15" hidden="false" customHeight="false" outlineLevel="0" collapsed="false">
      <c r="A81" s="4" t="n">
        <v>211</v>
      </c>
      <c r="B81" s="4" t="n">
        <v>78</v>
      </c>
      <c r="C81" s="18" t="n">
        <v>-3</v>
      </c>
      <c r="D81" s="18" t="n">
        <v>2.69</v>
      </c>
      <c r="E81" s="18" t="n">
        <v>18.1</v>
      </c>
      <c r="F81" s="18" t="n">
        <v>3.1</v>
      </c>
      <c r="H81" s="4" t="n">
        <v>301</v>
      </c>
      <c r="I81" s="4" t="n">
        <v>78</v>
      </c>
      <c r="J81" s="4" t="s">
        <v>81</v>
      </c>
      <c r="K81" s="4" t="s">
        <v>82</v>
      </c>
      <c r="L81" s="4" t="s">
        <v>82</v>
      </c>
      <c r="M81" s="4" t="str">
        <f aca="false">IF(K81=L81,"=","DISTINTA")</f>
        <v>=</v>
      </c>
      <c r="N81" s="4" t="s">
        <v>220</v>
      </c>
      <c r="O81" s="4" t="s">
        <v>221</v>
      </c>
    </row>
    <row r="82" customFormat="false" ht="15" hidden="false" customHeight="false" outlineLevel="0" collapsed="false">
      <c r="A82" s="4" t="n">
        <v>212</v>
      </c>
      <c r="B82" s="4" t="n">
        <v>79</v>
      </c>
      <c r="C82" s="18" t="n">
        <v>-3</v>
      </c>
      <c r="D82" s="18" t="n">
        <v>0</v>
      </c>
      <c r="E82" s="18" t="n">
        <v>18.38</v>
      </c>
      <c r="F82" s="18" t="n">
        <v>3.38</v>
      </c>
      <c r="H82" s="4" t="n">
        <v>302</v>
      </c>
      <c r="I82" s="4" t="n">
        <v>79</v>
      </c>
      <c r="J82" s="4" t="s">
        <v>81</v>
      </c>
      <c r="K82" s="4" t="s">
        <v>82</v>
      </c>
      <c r="L82" s="4" t="s">
        <v>82</v>
      </c>
      <c r="M82" s="4" t="str">
        <f aca="false">IF(K82=L82,"=","DISTINTA")</f>
        <v>=</v>
      </c>
      <c r="N82" s="4" t="s">
        <v>222</v>
      </c>
      <c r="O82" s="4" t="s">
        <v>223</v>
      </c>
    </row>
    <row r="83" customFormat="false" ht="15" hidden="false" customHeight="false" outlineLevel="0" collapsed="false">
      <c r="A83" s="4" t="n">
        <v>213</v>
      </c>
      <c r="B83" s="4" t="n">
        <v>80</v>
      </c>
      <c r="C83" s="18" t="n">
        <v>-3</v>
      </c>
      <c r="D83" s="18" t="n">
        <v>2.69</v>
      </c>
      <c r="E83" s="18" t="n">
        <v>18.38</v>
      </c>
      <c r="F83" s="18" t="n">
        <v>3.38</v>
      </c>
      <c r="H83" s="4" t="n">
        <v>303</v>
      </c>
      <c r="I83" s="4" t="n">
        <v>80</v>
      </c>
      <c r="J83" s="4" t="s">
        <v>85</v>
      </c>
      <c r="K83" s="4" t="s">
        <v>82</v>
      </c>
      <c r="L83" s="4" t="s">
        <v>82</v>
      </c>
      <c r="M83" s="4" t="str">
        <f aca="false">IF(K83=L83,"=","DISTINTA")</f>
        <v>=</v>
      </c>
      <c r="N83" s="4" t="s">
        <v>224</v>
      </c>
      <c r="O83" s="4" t="s">
        <v>225</v>
      </c>
    </row>
    <row r="84" customFormat="false" ht="15" hidden="false" customHeight="false" outlineLevel="0" collapsed="false">
      <c r="A84" s="4" t="n">
        <v>214</v>
      </c>
      <c r="B84" s="4" t="n">
        <v>81</v>
      </c>
      <c r="C84" s="18" t="n">
        <v>-3</v>
      </c>
      <c r="D84" s="18" t="n">
        <v>2.58</v>
      </c>
      <c r="E84" s="18" t="n">
        <v>15</v>
      </c>
      <c r="F84" s="18" t="n">
        <v>0</v>
      </c>
      <c r="H84" s="4" t="n">
        <v>304</v>
      </c>
      <c r="I84" s="4" t="n">
        <v>81</v>
      </c>
      <c r="J84" s="4" t="s">
        <v>85</v>
      </c>
      <c r="K84" s="4" t="s">
        <v>82</v>
      </c>
      <c r="L84" s="4" t="s">
        <v>82</v>
      </c>
      <c r="M84" s="4" t="str">
        <f aca="false">IF(K84=L84,"=","DISTINTA")</f>
        <v>=</v>
      </c>
      <c r="N84" s="4" t="s">
        <v>226</v>
      </c>
      <c r="O84" s="4" t="s">
        <v>227</v>
      </c>
    </row>
    <row r="85" customFormat="false" ht="15" hidden="false" customHeight="false" outlineLevel="0" collapsed="false">
      <c r="A85" s="4" t="n">
        <v>215</v>
      </c>
      <c r="B85" s="4" t="n">
        <v>82</v>
      </c>
      <c r="C85" s="18" t="n">
        <v>-3</v>
      </c>
      <c r="D85" s="18" t="n">
        <v>2.58</v>
      </c>
      <c r="E85" s="18" t="n">
        <v>18.38</v>
      </c>
      <c r="F85" s="18" t="n">
        <v>3.38</v>
      </c>
      <c r="H85" s="4" t="n">
        <v>305</v>
      </c>
      <c r="I85" s="4" t="n">
        <v>82</v>
      </c>
      <c r="J85" s="4" t="s">
        <v>85</v>
      </c>
      <c r="K85" s="4" t="s">
        <v>82</v>
      </c>
      <c r="L85" s="4" t="s">
        <v>82</v>
      </c>
      <c r="M85" s="4" t="str">
        <f aca="false">IF(K85=L85,"=","DISTINTA")</f>
        <v>=</v>
      </c>
      <c r="N85" s="4" t="s">
        <v>228</v>
      </c>
      <c r="O85" s="4" t="s">
        <v>229</v>
      </c>
    </row>
    <row r="86" customFormat="false" ht="15" hidden="false" customHeight="false" outlineLevel="0" collapsed="false">
      <c r="A86" s="4" t="n">
        <v>216</v>
      </c>
      <c r="B86" s="4" t="n">
        <v>83</v>
      </c>
      <c r="C86" s="18" t="n">
        <v>-3</v>
      </c>
      <c r="D86" s="18" t="n">
        <v>1.4</v>
      </c>
      <c r="E86" s="18" t="n">
        <v>15</v>
      </c>
      <c r="F86" s="18" t="n">
        <v>0</v>
      </c>
      <c r="H86" s="4" t="n">
        <v>306</v>
      </c>
      <c r="I86" s="4" t="n">
        <v>83</v>
      </c>
      <c r="J86" s="4" t="s">
        <v>85</v>
      </c>
      <c r="K86" s="4" t="s">
        <v>82</v>
      </c>
      <c r="L86" s="4" t="s">
        <v>82</v>
      </c>
      <c r="M86" s="4" t="str">
        <f aca="false">IF(K86=L86,"=","DISTINTA")</f>
        <v>=</v>
      </c>
      <c r="N86" s="4" t="s">
        <v>230</v>
      </c>
      <c r="O86" s="4" t="s">
        <v>231</v>
      </c>
    </row>
    <row r="87" customFormat="false" ht="15" hidden="false" customHeight="false" outlineLevel="0" collapsed="false">
      <c r="A87" s="4" t="n">
        <v>217</v>
      </c>
      <c r="B87" s="4" t="n">
        <v>84</v>
      </c>
      <c r="C87" s="18" t="n">
        <v>-3</v>
      </c>
      <c r="D87" s="18" t="n">
        <v>1.4</v>
      </c>
      <c r="E87" s="18" t="n">
        <v>18.38</v>
      </c>
      <c r="F87" s="18" t="n">
        <v>3.38</v>
      </c>
      <c r="H87" s="4" t="n">
        <v>307</v>
      </c>
      <c r="I87" s="4" t="n">
        <v>84</v>
      </c>
      <c r="J87" s="4" t="s">
        <v>85</v>
      </c>
      <c r="K87" s="4" t="s">
        <v>82</v>
      </c>
      <c r="L87" s="4" t="s">
        <v>82</v>
      </c>
      <c r="M87" s="4" t="str">
        <f aca="false">IF(K87=L87,"=","DISTINTA")</f>
        <v>=</v>
      </c>
      <c r="N87" s="4" t="s">
        <v>232</v>
      </c>
      <c r="O87" s="4" t="s">
        <v>233</v>
      </c>
    </row>
    <row r="88" customFormat="false" ht="15" hidden="false" customHeight="false" outlineLevel="0" collapsed="false">
      <c r="A88" s="4" t="n">
        <v>218</v>
      </c>
      <c r="B88" s="4" t="n">
        <v>85</v>
      </c>
      <c r="C88" s="18" t="n">
        <v>-3</v>
      </c>
      <c r="D88" s="18" t="n">
        <v>0</v>
      </c>
      <c r="E88" s="18" t="n">
        <v>15</v>
      </c>
      <c r="F88" s="18" t="n">
        <v>0</v>
      </c>
      <c r="H88" s="4" t="n">
        <v>308</v>
      </c>
      <c r="I88" s="4" t="n">
        <v>85</v>
      </c>
      <c r="J88" s="4" t="s">
        <v>85</v>
      </c>
      <c r="K88" s="4" t="s">
        <v>82</v>
      </c>
      <c r="L88" s="4" t="s">
        <v>82</v>
      </c>
      <c r="M88" s="4" t="str">
        <f aca="false">IF(K88=L88,"=","DISTINTA")</f>
        <v>=</v>
      </c>
      <c r="N88" s="4" t="s">
        <v>234</v>
      </c>
      <c r="O88" s="4" t="s">
        <v>235</v>
      </c>
    </row>
    <row r="89" customFormat="false" ht="15" hidden="false" customHeight="false" outlineLevel="0" collapsed="false">
      <c r="A89" s="4" t="n">
        <v>219</v>
      </c>
      <c r="B89" s="4" t="n">
        <v>86</v>
      </c>
      <c r="C89" s="18" t="n">
        <v>-3</v>
      </c>
      <c r="D89" s="18" t="n">
        <v>2.58</v>
      </c>
      <c r="E89" s="18" t="n">
        <v>15.28</v>
      </c>
      <c r="F89" s="18" t="n">
        <v>0.28</v>
      </c>
      <c r="H89" s="4" t="n">
        <v>309</v>
      </c>
      <c r="I89" s="4" t="n">
        <v>86</v>
      </c>
      <c r="J89" s="4" t="s">
        <v>85</v>
      </c>
      <c r="K89" s="4" t="s">
        <v>82</v>
      </c>
      <c r="L89" s="4" t="s">
        <v>82</v>
      </c>
      <c r="M89" s="4" t="str">
        <f aca="false">IF(K89=L89,"=","DISTINTA")</f>
        <v>=</v>
      </c>
      <c r="N89" s="4" t="s">
        <v>236</v>
      </c>
      <c r="O89" s="4" t="s">
        <v>237</v>
      </c>
    </row>
    <row r="90" customFormat="false" ht="15" hidden="false" customHeight="false" outlineLevel="0" collapsed="false">
      <c r="A90" s="4" t="n">
        <v>220</v>
      </c>
      <c r="B90" s="4" t="n">
        <v>87</v>
      </c>
      <c r="C90" s="18" t="n">
        <v>-3</v>
      </c>
      <c r="D90" s="18" t="n">
        <v>1.4</v>
      </c>
      <c r="E90" s="18" t="n">
        <v>15.28</v>
      </c>
      <c r="F90" s="18" t="n">
        <v>0.28</v>
      </c>
      <c r="H90" s="4" t="n">
        <v>310</v>
      </c>
      <c r="I90" s="4" t="n">
        <v>87</v>
      </c>
      <c r="J90" s="4" t="s">
        <v>85</v>
      </c>
      <c r="K90" s="4" t="s">
        <v>82</v>
      </c>
      <c r="L90" s="4" t="s">
        <v>82</v>
      </c>
      <c r="M90" s="4" t="str">
        <f aca="false">IF(K90=L90,"=","DISTINTA")</f>
        <v>=</v>
      </c>
      <c r="N90" s="4" t="s">
        <v>238</v>
      </c>
      <c r="O90" s="4" t="s">
        <v>239</v>
      </c>
    </row>
    <row r="91" customFormat="false" ht="15" hidden="false" customHeight="false" outlineLevel="0" collapsed="false">
      <c r="A91" s="4" t="n">
        <v>221</v>
      </c>
      <c r="B91" s="4" t="n">
        <v>88</v>
      </c>
      <c r="C91" s="18" t="n">
        <v>-3</v>
      </c>
      <c r="D91" s="18" t="n">
        <v>2.58</v>
      </c>
      <c r="E91" s="18" t="n">
        <v>15.85</v>
      </c>
      <c r="F91" s="18" t="n">
        <v>0.85</v>
      </c>
      <c r="H91" s="4" t="n">
        <v>311</v>
      </c>
      <c r="I91" s="4" t="n">
        <v>88</v>
      </c>
      <c r="J91" s="4" t="s">
        <v>85</v>
      </c>
      <c r="K91" s="4" t="s">
        <v>82</v>
      </c>
      <c r="L91" s="4" t="s">
        <v>82</v>
      </c>
      <c r="M91" s="4" t="str">
        <f aca="false">IF(K91=L91,"=","DISTINTA")</f>
        <v>=</v>
      </c>
      <c r="N91" s="4" t="s">
        <v>240</v>
      </c>
      <c r="O91" s="4" t="s">
        <v>241</v>
      </c>
    </row>
    <row r="92" customFormat="false" ht="15" hidden="false" customHeight="false" outlineLevel="0" collapsed="false">
      <c r="A92" s="4" t="n">
        <v>222</v>
      </c>
      <c r="B92" s="4" t="n">
        <v>89</v>
      </c>
      <c r="C92" s="18" t="n">
        <v>-3</v>
      </c>
      <c r="D92" s="18" t="n">
        <v>1.4</v>
      </c>
      <c r="E92" s="18" t="n">
        <v>15.85</v>
      </c>
      <c r="F92" s="18" t="n">
        <v>0.85</v>
      </c>
      <c r="H92" s="4" t="n">
        <v>312</v>
      </c>
      <c r="I92" s="4" t="n">
        <v>89</v>
      </c>
      <c r="J92" s="4" t="s">
        <v>85</v>
      </c>
      <c r="K92" s="4" t="s">
        <v>82</v>
      </c>
      <c r="L92" s="4" t="s">
        <v>82</v>
      </c>
      <c r="M92" s="4" t="str">
        <f aca="false">IF(K92=L92,"=","DISTINTA")</f>
        <v>=</v>
      </c>
      <c r="N92" s="4" t="s">
        <v>242</v>
      </c>
      <c r="O92" s="4" t="s">
        <v>243</v>
      </c>
    </row>
    <row r="93" customFormat="false" ht="15" hidden="false" customHeight="false" outlineLevel="0" collapsed="false">
      <c r="A93" s="4" t="n">
        <v>223</v>
      </c>
      <c r="B93" s="4" t="n">
        <v>90</v>
      </c>
      <c r="C93" s="18" t="n">
        <v>-3</v>
      </c>
      <c r="D93" s="18" t="n">
        <v>2.58</v>
      </c>
      <c r="E93" s="18" t="n">
        <v>16.13</v>
      </c>
      <c r="F93" s="18" t="n">
        <v>1.13</v>
      </c>
      <c r="H93" s="4" t="n">
        <v>313</v>
      </c>
      <c r="I93" s="4" t="n">
        <v>90</v>
      </c>
      <c r="J93" s="4" t="s">
        <v>85</v>
      </c>
      <c r="K93" s="4" t="s">
        <v>82</v>
      </c>
      <c r="L93" s="4" t="s">
        <v>82</v>
      </c>
      <c r="M93" s="4" t="str">
        <f aca="false">IF(K93=L93,"=","DISTINTA")</f>
        <v>=</v>
      </c>
      <c r="N93" s="4" t="s">
        <v>244</v>
      </c>
      <c r="O93" s="4" t="s">
        <v>245</v>
      </c>
    </row>
    <row r="94" customFormat="false" ht="15" hidden="false" customHeight="false" outlineLevel="0" collapsed="false">
      <c r="A94" s="4" t="n">
        <v>224</v>
      </c>
      <c r="B94" s="4" t="n">
        <v>91</v>
      </c>
      <c r="C94" s="18" t="n">
        <v>-3</v>
      </c>
      <c r="D94" s="18" t="n">
        <v>1.4</v>
      </c>
      <c r="E94" s="18" t="n">
        <v>16.13</v>
      </c>
      <c r="F94" s="18" t="n">
        <v>1.13</v>
      </c>
      <c r="H94" s="4" t="n">
        <v>314</v>
      </c>
      <c r="I94" s="4" t="n">
        <v>91</v>
      </c>
      <c r="J94" s="4" t="s">
        <v>85</v>
      </c>
      <c r="K94" s="4" t="s">
        <v>82</v>
      </c>
      <c r="L94" s="4" t="s">
        <v>82</v>
      </c>
      <c r="M94" s="4" t="str">
        <f aca="false">IF(K94=L94,"=","DISTINTA")</f>
        <v>=</v>
      </c>
      <c r="N94" s="4" t="s">
        <v>246</v>
      </c>
      <c r="O94" s="4" t="s">
        <v>247</v>
      </c>
    </row>
    <row r="95" customFormat="false" ht="15" hidden="false" customHeight="false" outlineLevel="0" collapsed="false">
      <c r="A95" s="4" t="n">
        <v>225</v>
      </c>
      <c r="B95" s="4" t="n">
        <v>92</v>
      </c>
      <c r="C95" s="18" t="n">
        <v>-3</v>
      </c>
      <c r="D95" s="18" t="n">
        <v>2.58</v>
      </c>
      <c r="E95" s="18" t="n">
        <v>17.25</v>
      </c>
      <c r="F95" s="18" t="n">
        <v>2.25</v>
      </c>
      <c r="H95" s="4" t="n">
        <v>315</v>
      </c>
      <c r="I95" s="4" t="n">
        <v>92</v>
      </c>
      <c r="J95" s="4" t="s">
        <v>63</v>
      </c>
      <c r="K95" s="4" t="s">
        <v>64</v>
      </c>
      <c r="L95" s="4" t="s">
        <v>64</v>
      </c>
      <c r="M95" s="4" t="str">
        <f aca="false">IF(K95=L95,"=","DISTINTA")</f>
        <v>=</v>
      </c>
      <c r="N95" s="4" t="s">
        <v>248</v>
      </c>
      <c r="O95" s="4" t="s">
        <v>249</v>
      </c>
    </row>
    <row r="96" customFormat="false" ht="15" hidden="false" customHeight="false" outlineLevel="0" collapsed="false">
      <c r="A96" s="4" t="n">
        <v>226</v>
      </c>
      <c r="B96" s="4" t="n">
        <v>93</v>
      </c>
      <c r="C96" s="18" t="n">
        <v>-3</v>
      </c>
      <c r="D96" s="18" t="n">
        <v>1.4</v>
      </c>
      <c r="E96" s="18" t="n">
        <v>17.25</v>
      </c>
      <c r="F96" s="18" t="n">
        <v>2.25</v>
      </c>
      <c r="H96" s="4" t="n">
        <v>316</v>
      </c>
      <c r="I96" s="4" t="n">
        <v>93</v>
      </c>
      <c r="J96" s="4" t="s">
        <v>63</v>
      </c>
      <c r="K96" s="4" t="s">
        <v>64</v>
      </c>
      <c r="L96" s="4" t="s">
        <v>64</v>
      </c>
      <c r="M96" s="4" t="str">
        <f aca="false">IF(K96=L96,"=","DISTINTA")</f>
        <v>=</v>
      </c>
      <c r="N96" s="4" t="s">
        <v>250</v>
      </c>
      <c r="O96" s="4" t="s">
        <v>251</v>
      </c>
    </row>
    <row r="97" customFormat="false" ht="15" hidden="false" customHeight="false" outlineLevel="0" collapsed="false">
      <c r="A97" s="4" t="n">
        <v>227</v>
      </c>
      <c r="B97" s="4" t="n">
        <v>94</v>
      </c>
      <c r="C97" s="18" t="n">
        <v>-3</v>
      </c>
      <c r="D97" s="18" t="n">
        <v>2.58</v>
      </c>
      <c r="E97" s="18" t="n">
        <v>17.53</v>
      </c>
      <c r="F97" s="18" t="n">
        <v>2.53</v>
      </c>
      <c r="H97" s="4" t="n">
        <v>317</v>
      </c>
      <c r="I97" s="4" t="n">
        <v>94</v>
      </c>
      <c r="J97" s="4" t="s">
        <v>63</v>
      </c>
      <c r="K97" s="4" t="s">
        <v>64</v>
      </c>
      <c r="L97" s="4" t="s">
        <v>64</v>
      </c>
      <c r="M97" s="4" t="str">
        <f aca="false">IF(K97=L97,"=","DISTINTA")</f>
        <v>=</v>
      </c>
      <c r="N97" s="4" t="s">
        <v>252</v>
      </c>
      <c r="O97" s="4" t="s">
        <v>253</v>
      </c>
    </row>
    <row r="98" customFormat="false" ht="15" hidden="false" customHeight="false" outlineLevel="0" collapsed="false">
      <c r="A98" s="4" t="n">
        <v>228</v>
      </c>
      <c r="B98" s="4" t="n">
        <v>95</v>
      </c>
      <c r="C98" s="18" t="n">
        <v>-3</v>
      </c>
      <c r="D98" s="18" t="n">
        <v>1.4</v>
      </c>
      <c r="E98" s="18" t="n">
        <v>17.53</v>
      </c>
      <c r="F98" s="18" t="n">
        <v>2.53</v>
      </c>
      <c r="H98" s="4" t="n">
        <v>318</v>
      </c>
      <c r="I98" s="4" t="n">
        <v>95</v>
      </c>
      <c r="J98" s="4" t="s">
        <v>63</v>
      </c>
      <c r="K98" s="4" t="s">
        <v>64</v>
      </c>
      <c r="L98" s="4" t="s">
        <v>64</v>
      </c>
      <c r="M98" s="4" t="str">
        <f aca="false">IF(K98=L98,"=","DISTINTA")</f>
        <v>=</v>
      </c>
      <c r="N98" s="4" t="s">
        <v>254</v>
      </c>
      <c r="O98" s="4" t="s">
        <v>255</v>
      </c>
    </row>
    <row r="99" customFormat="false" ht="15" hidden="false" customHeight="false" outlineLevel="0" collapsed="false">
      <c r="A99" s="4" t="n">
        <v>229</v>
      </c>
      <c r="B99" s="4" t="n">
        <v>96</v>
      </c>
      <c r="C99" s="18" t="n">
        <v>-3</v>
      </c>
      <c r="D99" s="18" t="n">
        <v>2.58</v>
      </c>
      <c r="E99" s="18" t="n">
        <v>18.1</v>
      </c>
      <c r="F99" s="18" t="n">
        <v>3.1</v>
      </c>
      <c r="H99" s="4" t="n">
        <v>319</v>
      </c>
      <c r="I99" s="4" t="n">
        <v>96</v>
      </c>
      <c r="J99" s="4" t="s">
        <v>63</v>
      </c>
      <c r="K99" s="4" t="s">
        <v>64</v>
      </c>
      <c r="L99" s="4" t="s">
        <v>64</v>
      </c>
      <c r="M99" s="4" t="str">
        <f aca="false">IF(K99=L99,"=","DISTINTA")</f>
        <v>=</v>
      </c>
      <c r="N99" s="4" t="s">
        <v>256</v>
      </c>
      <c r="O99" s="4" t="s">
        <v>257</v>
      </c>
    </row>
    <row r="100" customFormat="false" ht="15" hidden="false" customHeight="false" outlineLevel="0" collapsed="false">
      <c r="A100" s="4" t="n">
        <v>230</v>
      </c>
      <c r="B100" s="4" t="n">
        <v>97</v>
      </c>
      <c r="C100" s="18" t="n">
        <v>-3</v>
      </c>
      <c r="D100" s="18" t="n">
        <v>1.4</v>
      </c>
      <c r="E100" s="18" t="n">
        <v>18.1</v>
      </c>
      <c r="F100" s="18" t="n">
        <v>3.1</v>
      </c>
      <c r="H100" s="4" t="n">
        <v>320</v>
      </c>
      <c r="I100" s="4" t="n">
        <v>97</v>
      </c>
      <c r="J100" s="4" t="s">
        <v>63</v>
      </c>
      <c r="K100" s="4" t="s">
        <v>64</v>
      </c>
      <c r="L100" s="4" t="s">
        <v>64</v>
      </c>
      <c r="M100" s="4" t="str">
        <f aca="false">IF(K100=L100,"=","DISTINTA")</f>
        <v>=</v>
      </c>
      <c r="N100" s="4" t="s">
        <v>258</v>
      </c>
      <c r="O100" s="4" t="s">
        <v>259</v>
      </c>
    </row>
    <row r="101" customFormat="false" ht="15" hidden="false" customHeight="false" outlineLevel="0" collapsed="false">
      <c r="A101" s="4" t="n">
        <v>231</v>
      </c>
      <c r="B101" s="4" t="n">
        <v>98</v>
      </c>
      <c r="C101" s="18" t="n">
        <v>3</v>
      </c>
      <c r="D101" s="18" t="n">
        <v>-1.5</v>
      </c>
      <c r="E101" s="18" t="n">
        <v>15</v>
      </c>
      <c r="F101" s="18" t="n">
        <v>0</v>
      </c>
      <c r="H101" s="4" t="n">
        <v>321</v>
      </c>
      <c r="I101" s="4" t="n">
        <v>98</v>
      </c>
      <c r="J101" s="4" t="s">
        <v>63</v>
      </c>
      <c r="K101" s="4" t="s">
        <v>64</v>
      </c>
      <c r="L101" s="4" t="s">
        <v>64</v>
      </c>
      <c r="M101" s="4" t="str">
        <f aca="false">IF(K101=L101,"=","DISTINTA")</f>
        <v>=</v>
      </c>
      <c r="N101" s="4" t="s">
        <v>260</v>
      </c>
      <c r="O101" s="4" t="s">
        <v>261</v>
      </c>
    </row>
    <row r="102" customFormat="false" ht="15" hidden="false" customHeight="false" outlineLevel="0" collapsed="false">
      <c r="A102" s="4" t="n">
        <v>232</v>
      </c>
      <c r="B102" s="4" t="n">
        <v>99</v>
      </c>
      <c r="C102" s="18" t="n">
        <v>0</v>
      </c>
      <c r="D102" s="18" t="n">
        <v>-1.5</v>
      </c>
      <c r="E102" s="18" t="n">
        <v>15</v>
      </c>
      <c r="F102" s="18" t="n">
        <v>0</v>
      </c>
      <c r="H102" s="4" t="n">
        <v>322</v>
      </c>
      <c r="I102" s="4" t="n">
        <v>99</v>
      </c>
      <c r="J102" s="4" t="s">
        <v>63</v>
      </c>
      <c r="K102" s="4" t="s">
        <v>64</v>
      </c>
      <c r="L102" s="4" t="s">
        <v>64</v>
      </c>
      <c r="M102" s="4" t="str">
        <f aca="false">IF(K102=L102,"=","DISTINTA")</f>
        <v>=</v>
      </c>
      <c r="N102" s="4" t="s">
        <v>262</v>
      </c>
      <c r="O102" s="4" t="s">
        <v>263</v>
      </c>
    </row>
    <row r="103" customFormat="false" ht="15" hidden="false" customHeight="false" outlineLevel="0" collapsed="false">
      <c r="A103" s="4" t="n">
        <v>233</v>
      </c>
      <c r="B103" s="4" t="n">
        <v>100</v>
      </c>
      <c r="C103" s="18" t="n">
        <v>-3</v>
      </c>
      <c r="D103" s="18" t="n">
        <v>-1.5</v>
      </c>
      <c r="E103" s="18" t="n">
        <v>15</v>
      </c>
      <c r="F103" s="18" t="n">
        <v>0</v>
      </c>
      <c r="H103" s="4" t="n">
        <v>323</v>
      </c>
      <c r="I103" s="4" t="n">
        <v>100</v>
      </c>
      <c r="J103" s="4" t="s">
        <v>81</v>
      </c>
      <c r="K103" s="4" t="s">
        <v>82</v>
      </c>
      <c r="L103" s="4" t="s">
        <v>82</v>
      </c>
      <c r="M103" s="4" t="str">
        <f aca="false">IF(K103=L103,"=","DISTINTA")</f>
        <v>=</v>
      </c>
      <c r="N103" s="4" t="s">
        <v>264</v>
      </c>
      <c r="O103" s="4" t="s">
        <v>265</v>
      </c>
    </row>
    <row r="104" customFormat="false" ht="15" hidden="false" customHeight="false" outlineLevel="0" collapsed="false">
      <c r="A104" s="4" t="n">
        <v>234</v>
      </c>
      <c r="B104" s="4" t="n">
        <v>101</v>
      </c>
      <c r="C104" s="18" t="n">
        <v>-3</v>
      </c>
      <c r="D104" s="18" t="n">
        <v>-1.5</v>
      </c>
      <c r="E104" s="18" t="n">
        <v>18.38</v>
      </c>
      <c r="F104" s="18" t="n">
        <v>3.38</v>
      </c>
      <c r="H104" s="4" t="n">
        <v>324</v>
      </c>
      <c r="I104" s="4" t="n">
        <v>101</v>
      </c>
      <c r="J104" s="4" t="s">
        <v>85</v>
      </c>
      <c r="K104" s="4" t="s">
        <v>82</v>
      </c>
      <c r="L104" s="4" t="s">
        <v>82</v>
      </c>
      <c r="M104" s="4" t="str">
        <f aca="false">IF(K104=L104,"=","DISTINTA")</f>
        <v>=</v>
      </c>
      <c r="N104" s="4" t="s">
        <v>266</v>
      </c>
      <c r="O104" s="4" t="s">
        <v>267</v>
      </c>
    </row>
    <row r="105" customFormat="false" ht="15" hidden="false" customHeight="false" outlineLevel="0" collapsed="false">
      <c r="A105" s="4" t="n">
        <v>235</v>
      </c>
      <c r="B105" s="4" t="n">
        <v>102</v>
      </c>
      <c r="C105" s="18" t="n">
        <v>3</v>
      </c>
      <c r="D105" s="18" t="n">
        <v>-1.5</v>
      </c>
      <c r="E105" s="18" t="n">
        <v>18.38</v>
      </c>
      <c r="F105" s="18" t="n">
        <v>3.38</v>
      </c>
      <c r="H105" s="4" t="n">
        <v>325</v>
      </c>
      <c r="I105" s="4" t="n">
        <v>102</v>
      </c>
      <c r="J105" s="4" t="s">
        <v>85</v>
      </c>
      <c r="K105" s="4" t="s">
        <v>82</v>
      </c>
      <c r="L105" s="4" t="s">
        <v>82</v>
      </c>
      <c r="M105" s="4" t="str">
        <f aca="false">IF(K105=L105,"=","DISTINTA")</f>
        <v>=</v>
      </c>
      <c r="N105" s="4" t="s">
        <v>268</v>
      </c>
      <c r="O105" s="4" t="s">
        <v>269</v>
      </c>
    </row>
    <row r="106" customFormat="false" ht="15" hidden="false" customHeight="false" outlineLevel="0" collapsed="false">
      <c r="A106" s="4" t="n">
        <v>236</v>
      </c>
      <c r="B106" s="4" t="n">
        <v>103</v>
      </c>
      <c r="C106" s="18" t="n">
        <v>0</v>
      </c>
      <c r="D106" s="18" t="n">
        <v>-1.5</v>
      </c>
      <c r="E106" s="18" t="n">
        <v>18.38</v>
      </c>
      <c r="F106" s="18" t="n">
        <v>3.38</v>
      </c>
      <c r="H106" s="4" t="n">
        <v>326</v>
      </c>
      <c r="I106" s="4" t="n">
        <v>103</v>
      </c>
      <c r="J106" s="4" t="s">
        <v>63</v>
      </c>
      <c r="K106" s="4" t="s">
        <v>64</v>
      </c>
      <c r="L106" s="4" t="s">
        <v>64</v>
      </c>
      <c r="M106" s="4" t="str">
        <f aca="false">IF(K106=L106,"=","DISTINTA")</f>
        <v>=</v>
      </c>
      <c r="N106" s="4" t="s">
        <v>270</v>
      </c>
      <c r="O106" s="4" t="s">
        <v>271</v>
      </c>
    </row>
    <row r="107" customFormat="false" ht="15" hidden="false" customHeight="false" outlineLevel="0" collapsed="false">
      <c r="A107" s="4" t="n">
        <v>237</v>
      </c>
      <c r="B107" s="4" t="n">
        <v>105</v>
      </c>
      <c r="C107" s="18" t="n">
        <v>-3</v>
      </c>
      <c r="D107" s="18" t="n">
        <v>2.58</v>
      </c>
      <c r="E107" s="18" t="n">
        <v>18.24</v>
      </c>
      <c r="F107" s="18" t="n">
        <v>3.24</v>
      </c>
      <c r="H107" s="4" t="n">
        <v>327</v>
      </c>
      <c r="I107" s="4" t="n">
        <v>104</v>
      </c>
      <c r="J107" s="4" t="s">
        <v>63</v>
      </c>
      <c r="K107" s="4" t="s">
        <v>64</v>
      </c>
      <c r="L107" s="4" t="s">
        <v>64</v>
      </c>
      <c r="M107" s="4" t="str">
        <f aca="false">IF(K107=L107,"=","DISTINTA")</f>
        <v>=</v>
      </c>
      <c r="N107" s="4" t="s">
        <v>272</v>
      </c>
      <c r="O107" s="4" t="s">
        <v>273</v>
      </c>
    </row>
    <row r="108" customFormat="false" ht="15" hidden="false" customHeight="false" outlineLevel="0" collapsed="false">
      <c r="A108" s="4" t="n">
        <v>238</v>
      </c>
      <c r="B108" s="4" t="n">
        <v>106</v>
      </c>
      <c r="C108" s="18" t="n">
        <v>3</v>
      </c>
      <c r="D108" s="18" t="n">
        <v>2.58</v>
      </c>
      <c r="E108" s="18" t="n">
        <v>18.24</v>
      </c>
      <c r="F108" s="18" t="n">
        <v>3.24</v>
      </c>
      <c r="H108" s="4" t="n">
        <v>328</v>
      </c>
      <c r="I108" s="4" t="n">
        <v>105</v>
      </c>
      <c r="J108" s="4" t="s">
        <v>63</v>
      </c>
      <c r="K108" s="4" t="s">
        <v>64</v>
      </c>
      <c r="L108" s="4" t="s">
        <v>64</v>
      </c>
      <c r="M108" s="4" t="str">
        <f aca="false">IF(K108=L108,"=","DISTINTA")</f>
        <v>=</v>
      </c>
      <c r="N108" s="4" t="s">
        <v>274</v>
      </c>
      <c r="O108" s="4" t="s">
        <v>275</v>
      </c>
    </row>
    <row r="109" customFormat="false" ht="15" hidden="false" customHeight="false" outlineLevel="0" collapsed="false">
      <c r="A109" s="4" t="n">
        <v>239</v>
      </c>
      <c r="B109" s="4" t="n">
        <v>107</v>
      </c>
      <c r="C109" s="18" t="n">
        <v>-3</v>
      </c>
      <c r="D109" s="18" t="n">
        <v>2.58</v>
      </c>
      <c r="E109" s="18" t="n">
        <v>17.39</v>
      </c>
      <c r="F109" s="18" t="n">
        <v>2.39</v>
      </c>
      <c r="H109" s="4" t="n">
        <v>329</v>
      </c>
      <c r="I109" s="4" t="n">
        <v>106</v>
      </c>
      <c r="J109" s="4" t="s">
        <v>63</v>
      </c>
      <c r="K109" s="4" t="s">
        <v>64</v>
      </c>
      <c r="L109" s="4" t="s">
        <v>64</v>
      </c>
      <c r="M109" s="4" t="str">
        <f aca="false">IF(K109=L109,"=","DISTINTA")</f>
        <v>=</v>
      </c>
      <c r="N109" s="4" t="s">
        <v>276</v>
      </c>
      <c r="O109" s="4" t="s">
        <v>277</v>
      </c>
    </row>
    <row r="110" customFormat="false" ht="15" hidden="false" customHeight="false" outlineLevel="0" collapsed="false">
      <c r="A110" s="4" t="n">
        <v>240</v>
      </c>
      <c r="B110" s="4" t="n">
        <v>108</v>
      </c>
      <c r="C110" s="18" t="n">
        <v>3</v>
      </c>
      <c r="D110" s="18" t="n">
        <v>2.58</v>
      </c>
      <c r="E110" s="18" t="n">
        <v>17.39</v>
      </c>
      <c r="F110" s="18" t="n">
        <v>2.39</v>
      </c>
      <c r="H110" s="4" t="n">
        <v>330</v>
      </c>
      <c r="I110" s="4" t="n">
        <v>107</v>
      </c>
      <c r="J110" s="4" t="s">
        <v>63</v>
      </c>
      <c r="K110" s="4" t="s">
        <v>64</v>
      </c>
      <c r="L110" s="4" t="s">
        <v>64</v>
      </c>
      <c r="M110" s="4" t="str">
        <f aca="false">IF(K110=L110,"=","DISTINTA")</f>
        <v>=</v>
      </c>
      <c r="N110" s="4" t="s">
        <v>278</v>
      </c>
      <c r="O110" s="4" t="s">
        <v>279</v>
      </c>
    </row>
    <row r="111" customFormat="false" ht="15" hidden="false" customHeight="false" outlineLevel="0" collapsed="false">
      <c r="A111" s="4" t="n">
        <v>241</v>
      </c>
      <c r="B111" s="4" t="n">
        <v>109</v>
      </c>
      <c r="C111" s="18" t="n">
        <v>-3</v>
      </c>
      <c r="D111" s="18" t="n">
        <v>2.58</v>
      </c>
      <c r="E111" s="18" t="n">
        <v>15.99</v>
      </c>
      <c r="F111" s="18" t="n">
        <v>0.99</v>
      </c>
      <c r="H111" s="4" t="n">
        <v>331</v>
      </c>
      <c r="I111" s="4" t="n">
        <v>108</v>
      </c>
      <c r="J111" s="4" t="s">
        <v>63</v>
      </c>
      <c r="K111" s="4" t="s">
        <v>64</v>
      </c>
      <c r="L111" s="4" t="s">
        <v>64</v>
      </c>
      <c r="M111" s="4" t="str">
        <f aca="false">IF(K111=L111,"=","DISTINTA")</f>
        <v>=</v>
      </c>
      <c r="N111" s="4" t="s">
        <v>280</v>
      </c>
      <c r="O111" s="4" t="s">
        <v>281</v>
      </c>
    </row>
    <row r="112" customFormat="false" ht="15" hidden="false" customHeight="false" outlineLevel="0" collapsed="false">
      <c r="A112" s="4" t="n">
        <v>242</v>
      </c>
      <c r="B112" s="4" t="n">
        <v>110</v>
      </c>
      <c r="C112" s="18" t="n">
        <v>3</v>
      </c>
      <c r="D112" s="18" t="n">
        <v>2.58</v>
      </c>
      <c r="E112" s="18" t="n">
        <v>15.99</v>
      </c>
      <c r="F112" s="18" t="n">
        <v>0.99</v>
      </c>
      <c r="H112" s="4" t="n">
        <v>332</v>
      </c>
      <c r="I112" s="4" t="n">
        <v>109</v>
      </c>
      <c r="J112" s="4" t="s">
        <v>63</v>
      </c>
      <c r="K112" s="4" t="s">
        <v>64</v>
      </c>
      <c r="L112" s="4" t="s">
        <v>64</v>
      </c>
      <c r="M112" s="4" t="str">
        <f aca="false">IF(K112=L112,"=","DISTINTA")</f>
        <v>=</v>
      </c>
      <c r="N112" s="4" t="s">
        <v>282</v>
      </c>
      <c r="O112" s="4" t="s">
        <v>283</v>
      </c>
    </row>
    <row r="113" customFormat="false" ht="15" hidden="false" customHeight="false" outlineLevel="0" collapsed="false">
      <c r="A113" s="4" t="n">
        <v>243</v>
      </c>
      <c r="B113" s="4" t="n">
        <v>111</v>
      </c>
      <c r="C113" s="18" t="n">
        <v>-3</v>
      </c>
      <c r="D113" s="18" t="n">
        <v>2.58</v>
      </c>
      <c r="E113" s="18" t="n">
        <v>15.14</v>
      </c>
      <c r="F113" s="18" t="n">
        <v>0.14</v>
      </c>
      <c r="H113" s="4" t="n">
        <v>333</v>
      </c>
      <c r="I113" s="4" t="n">
        <v>110</v>
      </c>
      <c r="J113" s="4" t="s">
        <v>63</v>
      </c>
      <c r="K113" s="4" t="s">
        <v>64</v>
      </c>
      <c r="L113" s="4" t="s">
        <v>64</v>
      </c>
      <c r="M113" s="4" t="str">
        <f aca="false">IF(K113=L113,"=","DISTINTA")</f>
        <v>=</v>
      </c>
      <c r="N113" s="4" t="s">
        <v>284</v>
      </c>
      <c r="O113" s="4" t="s">
        <v>285</v>
      </c>
    </row>
    <row r="114" customFormat="false" ht="15" hidden="false" customHeight="false" outlineLevel="0" collapsed="false">
      <c r="A114" s="4" t="n">
        <v>244</v>
      </c>
      <c r="B114" s="4" t="n">
        <v>112</v>
      </c>
      <c r="C114" s="18" t="n">
        <v>3</v>
      </c>
      <c r="D114" s="18" t="n">
        <v>2.58</v>
      </c>
      <c r="E114" s="18" t="n">
        <v>15.14</v>
      </c>
      <c r="F114" s="18" t="n">
        <v>0.14</v>
      </c>
      <c r="H114" s="4" t="n">
        <v>334</v>
      </c>
      <c r="I114" s="4" t="n">
        <v>111</v>
      </c>
      <c r="J114" s="4" t="s">
        <v>63</v>
      </c>
      <c r="K114" s="4" t="s">
        <v>64</v>
      </c>
      <c r="L114" s="4" t="s">
        <v>64</v>
      </c>
      <c r="M114" s="4" t="str">
        <f aca="false">IF(K114=L114,"=","DISTINTA")</f>
        <v>=</v>
      </c>
      <c r="N114" s="4" t="s">
        <v>286</v>
      </c>
      <c r="O114" s="4" t="s">
        <v>287</v>
      </c>
    </row>
    <row r="115" customFormat="false" ht="15" hidden="false" customHeight="false" outlineLevel="0" collapsed="false">
      <c r="A115" s="4" t="n">
        <v>245</v>
      </c>
      <c r="B115" s="4" t="n">
        <v>114</v>
      </c>
      <c r="C115" s="18" t="n">
        <v>5.3</v>
      </c>
      <c r="D115" s="18" t="n">
        <v>2.58</v>
      </c>
      <c r="E115" s="18" t="n">
        <v>18.38</v>
      </c>
      <c r="F115" s="18" t="n">
        <v>3.38</v>
      </c>
      <c r="H115" s="4" t="n">
        <v>335</v>
      </c>
      <c r="I115" s="4" t="n">
        <v>112</v>
      </c>
      <c r="J115" s="4" t="s">
        <v>63</v>
      </c>
      <c r="K115" s="4" t="s">
        <v>64</v>
      </c>
      <c r="L115" s="4" t="s">
        <v>64</v>
      </c>
      <c r="M115" s="4" t="str">
        <f aca="false">IF(K115=L115,"=","DISTINTA")</f>
        <v>=</v>
      </c>
      <c r="N115" s="4" t="s">
        <v>288</v>
      </c>
      <c r="O115" s="4" t="s">
        <v>289</v>
      </c>
    </row>
    <row r="116" customFormat="false" ht="15" hidden="false" customHeight="false" outlineLevel="0" collapsed="false">
      <c r="A116" s="4" t="n">
        <v>246</v>
      </c>
      <c r="B116" s="4" t="n">
        <v>116</v>
      </c>
      <c r="C116" s="18" t="n">
        <v>5.3</v>
      </c>
      <c r="D116" s="18" t="n">
        <v>2.58</v>
      </c>
      <c r="E116" s="18" t="n">
        <v>18.1</v>
      </c>
      <c r="F116" s="18" t="n">
        <v>3.1</v>
      </c>
      <c r="H116" s="4" t="n">
        <v>336</v>
      </c>
      <c r="I116" s="4" t="n">
        <v>113</v>
      </c>
      <c r="J116" s="4" t="s">
        <v>63</v>
      </c>
      <c r="K116" s="4" t="s">
        <v>64</v>
      </c>
      <c r="L116" s="4" t="s">
        <v>64</v>
      </c>
      <c r="M116" s="4" t="str">
        <f aca="false">IF(K116=L116,"=","DISTINTA")</f>
        <v>=</v>
      </c>
      <c r="N116" s="4" t="s">
        <v>290</v>
      </c>
      <c r="O116" s="4" t="s">
        <v>291</v>
      </c>
    </row>
    <row r="117" customFormat="false" ht="15" hidden="false" customHeight="false" outlineLevel="0" collapsed="false">
      <c r="A117" s="4" t="n">
        <v>247</v>
      </c>
      <c r="B117" s="4" t="n">
        <v>117</v>
      </c>
      <c r="C117" s="18" t="n">
        <v>5.3</v>
      </c>
      <c r="D117" s="18" t="n">
        <v>2.58</v>
      </c>
      <c r="E117" s="18" t="n">
        <v>17.53</v>
      </c>
      <c r="F117" s="18" t="n">
        <v>2.53</v>
      </c>
      <c r="H117" s="4" t="n">
        <v>337</v>
      </c>
      <c r="I117" s="4" t="n">
        <v>114</v>
      </c>
      <c r="J117" s="4" t="s">
        <v>63</v>
      </c>
      <c r="K117" s="4" t="s">
        <v>64</v>
      </c>
      <c r="L117" s="4" t="s">
        <v>64</v>
      </c>
      <c r="M117" s="4" t="str">
        <f aca="false">IF(K117=L117,"=","DISTINTA")</f>
        <v>=</v>
      </c>
      <c r="N117" s="4" t="s">
        <v>292</v>
      </c>
      <c r="O117" s="4" t="s">
        <v>293</v>
      </c>
    </row>
    <row r="118" customFormat="false" ht="15" hidden="false" customHeight="false" outlineLevel="0" collapsed="false">
      <c r="A118" s="4" t="n">
        <v>248</v>
      </c>
      <c r="B118" s="4" t="n">
        <v>118</v>
      </c>
      <c r="C118" s="18" t="n">
        <v>5.3</v>
      </c>
      <c r="D118" s="18" t="n">
        <v>2.58</v>
      </c>
      <c r="E118" s="18" t="n">
        <v>17.25</v>
      </c>
      <c r="F118" s="18" t="n">
        <v>2.25</v>
      </c>
      <c r="H118" s="4" t="n">
        <v>338</v>
      </c>
      <c r="I118" s="4" t="n">
        <v>115</v>
      </c>
      <c r="J118" s="4" t="s">
        <v>63</v>
      </c>
      <c r="K118" s="4" t="s">
        <v>64</v>
      </c>
      <c r="L118" s="4" t="s">
        <v>64</v>
      </c>
      <c r="M118" s="4" t="str">
        <f aca="false">IF(K118=L118,"=","DISTINTA")</f>
        <v>=</v>
      </c>
      <c r="N118" s="4" t="s">
        <v>294</v>
      </c>
      <c r="O118" s="4" t="s">
        <v>295</v>
      </c>
    </row>
    <row r="119" customFormat="false" ht="15" hidden="false" customHeight="false" outlineLevel="0" collapsed="false">
      <c r="A119" s="4" t="n">
        <v>249</v>
      </c>
      <c r="B119" s="4" t="n">
        <v>119</v>
      </c>
      <c r="C119" s="18" t="n">
        <v>5.3</v>
      </c>
      <c r="D119" s="18" t="n">
        <v>2.58</v>
      </c>
      <c r="E119" s="18" t="n">
        <v>16.13</v>
      </c>
      <c r="F119" s="18" t="n">
        <v>1.13</v>
      </c>
      <c r="H119" s="4" t="n">
        <v>339</v>
      </c>
      <c r="I119" s="4" t="n">
        <v>116</v>
      </c>
      <c r="J119" s="4" t="s">
        <v>63</v>
      </c>
      <c r="K119" s="4" t="s">
        <v>64</v>
      </c>
      <c r="L119" s="4" t="s">
        <v>64</v>
      </c>
      <c r="M119" s="4" t="str">
        <f aca="false">IF(K119=L119,"=","DISTINTA")</f>
        <v>=</v>
      </c>
      <c r="N119" s="4" t="s">
        <v>296</v>
      </c>
      <c r="O119" s="4" t="s">
        <v>297</v>
      </c>
    </row>
    <row r="120" customFormat="false" ht="15" hidden="false" customHeight="false" outlineLevel="0" collapsed="false">
      <c r="A120" s="4" t="n">
        <v>250</v>
      </c>
      <c r="B120" s="4" t="n">
        <v>120</v>
      </c>
      <c r="C120" s="18" t="n">
        <v>5.3</v>
      </c>
      <c r="D120" s="18" t="n">
        <v>2.58</v>
      </c>
      <c r="E120" s="18" t="n">
        <v>15.85</v>
      </c>
      <c r="F120" s="18" t="n">
        <v>0.85</v>
      </c>
      <c r="H120" s="4" t="n">
        <v>340</v>
      </c>
      <c r="I120" s="4" t="n">
        <v>117</v>
      </c>
      <c r="J120" s="4" t="s">
        <v>63</v>
      </c>
      <c r="K120" s="4" t="s">
        <v>64</v>
      </c>
      <c r="L120" s="4" t="s">
        <v>64</v>
      </c>
      <c r="M120" s="4" t="str">
        <f aca="false">IF(K120=L120,"=","DISTINTA")</f>
        <v>=</v>
      </c>
      <c r="N120" s="4" t="s">
        <v>298</v>
      </c>
      <c r="O120" s="4" t="s">
        <v>299</v>
      </c>
    </row>
    <row r="121" customFormat="false" ht="15" hidden="false" customHeight="false" outlineLevel="0" collapsed="false">
      <c r="A121" s="4" t="n">
        <v>251</v>
      </c>
      <c r="B121" s="4" t="n">
        <v>121</v>
      </c>
      <c r="C121" s="18" t="n">
        <v>5.3</v>
      </c>
      <c r="D121" s="18" t="n">
        <v>2.58</v>
      </c>
      <c r="E121" s="18" t="n">
        <v>15.28</v>
      </c>
      <c r="F121" s="18" t="n">
        <v>0.28</v>
      </c>
      <c r="H121" s="4" t="n">
        <v>341</v>
      </c>
      <c r="I121" s="4" t="n">
        <v>118</v>
      </c>
      <c r="J121" s="4" t="s">
        <v>63</v>
      </c>
      <c r="K121" s="4" t="s">
        <v>64</v>
      </c>
      <c r="L121" s="4" t="s">
        <v>64</v>
      </c>
      <c r="M121" s="4" t="str">
        <f aca="false">IF(K121=L121,"=","DISTINTA")</f>
        <v>=</v>
      </c>
      <c r="N121" s="4" t="s">
        <v>300</v>
      </c>
      <c r="O121" s="4" t="s">
        <v>301</v>
      </c>
    </row>
    <row r="122" customFormat="false" ht="15" hidden="false" customHeight="false" outlineLevel="0" collapsed="false">
      <c r="A122" s="4" t="n">
        <v>252</v>
      </c>
      <c r="B122" s="4" t="n">
        <v>122</v>
      </c>
      <c r="C122" s="18" t="n">
        <v>5.3</v>
      </c>
      <c r="D122" s="18" t="n">
        <v>2.58</v>
      </c>
      <c r="E122" s="18" t="n">
        <v>15</v>
      </c>
      <c r="F122" s="18" t="n">
        <v>0</v>
      </c>
      <c r="H122" s="4" t="n">
        <v>342</v>
      </c>
      <c r="I122" s="4" t="n">
        <v>119</v>
      </c>
      <c r="J122" s="4" t="s">
        <v>81</v>
      </c>
      <c r="K122" s="4" t="s">
        <v>82</v>
      </c>
      <c r="L122" s="4" t="s">
        <v>82</v>
      </c>
      <c r="M122" s="4" t="str">
        <f aca="false">IF(K122=L122,"=","DISTINTA")</f>
        <v>=</v>
      </c>
      <c r="N122" s="4" t="s">
        <v>302</v>
      </c>
      <c r="O122" s="4" t="s">
        <v>303</v>
      </c>
    </row>
    <row r="123" customFormat="false" ht="15" hidden="false" customHeight="false" outlineLevel="0" collapsed="false">
      <c r="A123" s="4" t="n">
        <v>253</v>
      </c>
      <c r="B123" s="4" t="n">
        <v>123</v>
      </c>
      <c r="C123" s="18" t="n">
        <v>0</v>
      </c>
      <c r="D123" s="18" t="n">
        <v>2.58</v>
      </c>
      <c r="E123" s="18" t="n">
        <v>15.14</v>
      </c>
      <c r="F123" s="18" t="n">
        <v>0.14</v>
      </c>
      <c r="H123" s="4" t="n">
        <v>343</v>
      </c>
      <c r="I123" s="4" t="n">
        <v>120</v>
      </c>
      <c r="J123" s="4" t="s">
        <v>81</v>
      </c>
      <c r="K123" s="4" t="s">
        <v>82</v>
      </c>
      <c r="L123" s="4" t="s">
        <v>82</v>
      </c>
      <c r="M123" s="4" t="str">
        <f aca="false">IF(K123=L123,"=","DISTINTA")</f>
        <v>=</v>
      </c>
      <c r="N123" s="4" t="s">
        <v>304</v>
      </c>
      <c r="O123" s="4" t="s">
        <v>305</v>
      </c>
    </row>
    <row r="124" customFormat="false" ht="15" hidden="false" customHeight="false" outlineLevel="0" collapsed="false">
      <c r="A124" s="4" t="n">
        <v>254</v>
      </c>
      <c r="B124" s="4" t="n">
        <v>124</v>
      </c>
      <c r="C124" s="18" t="n">
        <v>0</v>
      </c>
      <c r="D124" s="18" t="n">
        <v>2.58</v>
      </c>
      <c r="E124" s="18" t="n">
        <v>15.99</v>
      </c>
      <c r="F124" s="18" t="n">
        <v>0.99</v>
      </c>
      <c r="H124" s="4" t="n">
        <v>344</v>
      </c>
      <c r="I124" s="4" t="n">
        <v>121</v>
      </c>
      <c r="J124" s="4" t="s">
        <v>81</v>
      </c>
      <c r="K124" s="4" t="s">
        <v>82</v>
      </c>
      <c r="L124" s="4" t="s">
        <v>82</v>
      </c>
      <c r="M124" s="4" t="str">
        <f aca="false">IF(K124=L124,"=","DISTINTA")</f>
        <v>=</v>
      </c>
      <c r="N124" s="4" t="s">
        <v>306</v>
      </c>
      <c r="O124" s="4" t="s">
        <v>307</v>
      </c>
    </row>
    <row r="125" customFormat="false" ht="15" hidden="false" customHeight="false" outlineLevel="0" collapsed="false">
      <c r="A125" s="4" t="n">
        <v>255</v>
      </c>
      <c r="B125" s="4" t="n">
        <v>125</v>
      </c>
      <c r="C125" s="18" t="n">
        <v>0</v>
      </c>
      <c r="D125" s="18" t="n">
        <v>2.58</v>
      </c>
      <c r="E125" s="18" t="n">
        <v>17.39</v>
      </c>
      <c r="F125" s="18" t="n">
        <v>2.39</v>
      </c>
      <c r="H125" s="4" t="n">
        <v>345</v>
      </c>
      <c r="I125" s="4" t="n">
        <v>122</v>
      </c>
      <c r="J125" s="4" t="s">
        <v>81</v>
      </c>
      <c r="K125" s="4" t="s">
        <v>82</v>
      </c>
      <c r="L125" s="4" t="s">
        <v>82</v>
      </c>
      <c r="M125" s="4" t="str">
        <f aca="false">IF(K125=L125,"=","DISTINTA")</f>
        <v>=</v>
      </c>
      <c r="N125" s="4" t="s">
        <v>308</v>
      </c>
      <c r="O125" s="4" t="s">
        <v>309</v>
      </c>
    </row>
    <row r="126" customFormat="false" ht="15" hidden="false" customHeight="false" outlineLevel="0" collapsed="false">
      <c r="A126" s="4" t="n">
        <v>256</v>
      </c>
      <c r="B126" s="4" t="n">
        <v>126</v>
      </c>
      <c r="C126" s="18" t="n">
        <v>0</v>
      </c>
      <c r="D126" s="18" t="n">
        <v>2.58</v>
      </c>
      <c r="E126" s="18" t="n">
        <v>18.24</v>
      </c>
      <c r="F126" s="18" t="n">
        <v>3.24</v>
      </c>
      <c r="H126" s="4" t="n">
        <v>346</v>
      </c>
      <c r="I126" s="4" t="n">
        <v>123</v>
      </c>
      <c r="J126" s="4" t="s">
        <v>81</v>
      </c>
      <c r="K126" s="4" t="s">
        <v>82</v>
      </c>
      <c r="L126" s="4" t="s">
        <v>82</v>
      </c>
      <c r="M126" s="4" t="str">
        <f aca="false">IF(K126=L126,"=","DISTINTA")</f>
        <v>=</v>
      </c>
      <c r="N126" s="4" t="s">
        <v>310</v>
      </c>
      <c r="O126" s="4" t="s">
        <v>311</v>
      </c>
    </row>
    <row r="127" customFormat="false" ht="15" hidden="false" customHeight="false" outlineLevel="0" collapsed="false">
      <c r="A127" s="4" t="n">
        <v>257</v>
      </c>
      <c r="B127" s="4" t="n">
        <v>127</v>
      </c>
      <c r="C127" s="18" t="n">
        <v>4.15</v>
      </c>
      <c r="D127" s="18" t="n">
        <v>1.29</v>
      </c>
      <c r="E127" s="18" t="n">
        <v>18.38</v>
      </c>
      <c r="F127" s="18" t="n">
        <v>3.38</v>
      </c>
      <c r="H127" s="4" t="n">
        <v>347</v>
      </c>
      <c r="I127" s="4" t="n">
        <v>124</v>
      </c>
      <c r="J127" s="4" t="s">
        <v>81</v>
      </c>
      <c r="K127" s="4" t="s">
        <v>82</v>
      </c>
      <c r="L127" s="4" t="s">
        <v>82</v>
      </c>
      <c r="M127" s="4" t="str">
        <f aca="false">IF(K127=L127,"=","DISTINTA")</f>
        <v>=</v>
      </c>
      <c r="N127" s="4" t="s">
        <v>312</v>
      </c>
      <c r="O127" s="4" t="s">
        <v>313</v>
      </c>
    </row>
    <row r="128" customFormat="false" ht="15" hidden="false" customHeight="false" outlineLevel="0" collapsed="false">
      <c r="A128" s="4" t="n">
        <v>258</v>
      </c>
      <c r="B128" s="4" t="n">
        <v>128</v>
      </c>
      <c r="C128" s="18" t="n">
        <v>4.15</v>
      </c>
      <c r="D128" s="18" t="n">
        <v>1.29</v>
      </c>
      <c r="E128" s="18" t="n">
        <v>18.1</v>
      </c>
      <c r="F128" s="18" t="n">
        <v>3.1</v>
      </c>
      <c r="H128" s="4" t="n">
        <v>348</v>
      </c>
      <c r="I128" s="4" t="n">
        <v>125</v>
      </c>
      <c r="J128" s="4" t="s">
        <v>85</v>
      </c>
      <c r="K128" s="4" t="s">
        <v>82</v>
      </c>
      <c r="L128" s="4" t="s">
        <v>82</v>
      </c>
      <c r="M128" s="4" t="str">
        <f aca="false">IF(K128=L128,"=","DISTINTA")</f>
        <v>=</v>
      </c>
      <c r="N128" s="4" t="s">
        <v>314</v>
      </c>
      <c r="O128" s="4" t="s">
        <v>315</v>
      </c>
    </row>
    <row r="129" customFormat="false" ht="15" hidden="false" customHeight="false" outlineLevel="0" collapsed="false">
      <c r="A129" s="4" t="n">
        <v>259</v>
      </c>
      <c r="B129" s="4" t="n">
        <v>129</v>
      </c>
      <c r="C129" s="18" t="n">
        <v>4.15</v>
      </c>
      <c r="D129" s="18" t="n">
        <v>1.29</v>
      </c>
      <c r="E129" s="18" t="n">
        <v>17.53</v>
      </c>
      <c r="F129" s="18" t="n">
        <v>2.53</v>
      </c>
      <c r="H129" s="4" t="n">
        <v>349</v>
      </c>
      <c r="I129" s="4" t="n">
        <v>126</v>
      </c>
      <c r="J129" s="4" t="s">
        <v>85</v>
      </c>
      <c r="K129" s="4" t="s">
        <v>82</v>
      </c>
      <c r="L129" s="4" t="s">
        <v>82</v>
      </c>
      <c r="M129" s="4" t="str">
        <f aca="false">IF(K129=L129,"=","DISTINTA")</f>
        <v>=</v>
      </c>
      <c r="N129" s="4" t="s">
        <v>316</v>
      </c>
      <c r="O129" s="4" t="s">
        <v>317</v>
      </c>
    </row>
    <row r="130" customFormat="false" ht="15" hidden="false" customHeight="false" outlineLevel="0" collapsed="false">
      <c r="A130" s="4" t="n">
        <v>260</v>
      </c>
      <c r="B130" s="4" t="n">
        <v>130</v>
      </c>
      <c r="C130" s="18" t="n">
        <v>4.15</v>
      </c>
      <c r="D130" s="18" t="n">
        <v>1.29</v>
      </c>
      <c r="E130" s="18" t="n">
        <v>17.25</v>
      </c>
      <c r="F130" s="18" t="n">
        <v>2.25</v>
      </c>
      <c r="H130" s="4" t="n">
        <v>350</v>
      </c>
      <c r="I130" s="4" t="n">
        <v>127</v>
      </c>
      <c r="J130" s="4" t="s">
        <v>85</v>
      </c>
      <c r="K130" s="4" t="s">
        <v>82</v>
      </c>
      <c r="L130" s="4" t="s">
        <v>82</v>
      </c>
      <c r="M130" s="4" t="str">
        <f aca="false">IF(K130=L130,"=","DISTINTA")</f>
        <v>=</v>
      </c>
      <c r="N130" s="4" t="s">
        <v>318</v>
      </c>
      <c r="O130" s="4" t="s">
        <v>319</v>
      </c>
    </row>
    <row r="131" customFormat="false" ht="15" hidden="false" customHeight="false" outlineLevel="0" collapsed="false">
      <c r="A131" s="4" t="n">
        <v>261</v>
      </c>
      <c r="B131" s="4" t="n">
        <v>131</v>
      </c>
      <c r="C131" s="18" t="n">
        <v>4.15</v>
      </c>
      <c r="D131" s="18" t="n">
        <v>1.29</v>
      </c>
      <c r="E131" s="18" t="n">
        <v>16.13</v>
      </c>
      <c r="F131" s="18" t="n">
        <v>1.13</v>
      </c>
      <c r="H131" s="4" t="n">
        <v>351</v>
      </c>
      <c r="I131" s="4" t="n">
        <v>128</v>
      </c>
      <c r="J131" s="4" t="s">
        <v>85</v>
      </c>
      <c r="K131" s="4" t="s">
        <v>82</v>
      </c>
      <c r="L131" s="4" t="s">
        <v>82</v>
      </c>
      <c r="M131" s="4" t="str">
        <f aca="false">IF(K131=L131,"=","DISTINTA")</f>
        <v>=</v>
      </c>
      <c r="N131" s="4" t="s">
        <v>320</v>
      </c>
      <c r="O131" s="4" t="s">
        <v>321</v>
      </c>
    </row>
    <row r="132" customFormat="false" ht="15" hidden="false" customHeight="false" outlineLevel="0" collapsed="false">
      <c r="A132" s="4" t="n">
        <v>262</v>
      </c>
      <c r="B132" s="4" t="n">
        <v>132</v>
      </c>
      <c r="C132" s="18" t="n">
        <v>4.15</v>
      </c>
      <c r="D132" s="18" t="n">
        <v>1.29</v>
      </c>
      <c r="E132" s="18" t="n">
        <v>15.85</v>
      </c>
      <c r="F132" s="18" t="n">
        <v>0.85</v>
      </c>
      <c r="H132" s="4" t="n">
        <v>352</v>
      </c>
      <c r="I132" s="4" t="n">
        <v>129</v>
      </c>
      <c r="J132" s="4" t="s">
        <v>85</v>
      </c>
      <c r="K132" s="4" t="s">
        <v>82</v>
      </c>
      <c r="L132" s="4" t="s">
        <v>82</v>
      </c>
      <c r="M132" s="4" t="str">
        <f aca="false">IF(K132=L132,"=","DISTINTA")</f>
        <v>=</v>
      </c>
      <c r="N132" s="4" t="s">
        <v>322</v>
      </c>
      <c r="O132" s="4" t="s">
        <v>323</v>
      </c>
    </row>
    <row r="133" customFormat="false" ht="15" hidden="false" customHeight="false" outlineLevel="0" collapsed="false">
      <c r="A133" s="4" t="n">
        <v>263</v>
      </c>
      <c r="B133" s="4" t="n">
        <v>133</v>
      </c>
      <c r="C133" s="18" t="n">
        <v>4.15</v>
      </c>
      <c r="D133" s="18" t="n">
        <v>1.29</v>
      </c>
      <c r="E133" s="18" t="n">
        <v>15.28</v>
      </c>
      <c r="F133" s="18" t="n">
        <v>0.28</v>
      </c>
      <c r="H133" s="4" t="n">
        <v>353</v>
      </c>
      <c r="I133" s="4" t="n">
        <v>130</v>
      </c>
      <c r="J133" s="4" t="s">
        <v>85</v>
      </c>
      <c r="K133" s="4" t="s">
        <v>82</v>
      </c>
      <c r="L133" s="4" t="s">
        <v>82</v>
      </c>
      <c r="M133" s="4" t="str">
        <f aca="false">IF(K133=L133,"=","DISTINTA")</f>
        <v>=</v>
      </c>
      <c r="N133" s="4" t="s">
        <v>324</v>
      </c>
      <c r="O133" s="4" t="s">
        <v>325</v>
      </c>
    </row>
    <row r="134" customFormat="false" ht="15" hidden="false" customHeight="false" outlineLevel="0" collapsed="false">
      <c r="A134" s="4" t="n">
        <v>264</v>
      </c>
      <c r="B134" s="4" t="n">
        <v>134</v>
      </c>
      <c r="C134" s="18" t="n">
        <v>4.15</v>
      </c>
      <c r="D134" s="18" t="n">
        <v>1.29</v>
      </c>
      <c r="E134" s="18" t="n">
        <v>15</v>
      </c>
      <c r="F134" s="18" t="n">
        <v>0</v>
      </c>
      <c r="H134" s="4" t="n">
        <v>354</v>
      </c>
      <c r="I134" s="4" t="n">
        <v>131</v>
      </c>
      <c r="J134" s="4" t="s">
        <v>85</v>
      </c>
      <c r="K134" s="4" t="s">
        <v>82</v>
      </c>
      <c r="L134" s="4" t="s">
        <v>82</v>
      </c>
      <c r="M134" s="4" t="str">
        <f aca="false">IF(K134=L134,"=","DISTINTA")</f>
        <v>=</v>
      </c>
      <c r="N134" s="4" t="s">
        <v>326</v>
      </c>
      <c r="O134" s="4" t="s">
        <v>327</v>
      </c>
    </row>
    <row r="135" customFormat="false" ht="15" hidden="false" customHeight="false" outlineLevel="0" collapsed="false">
      <c r="H135" s="4" t="n">
        <v>355</v>
      </c>
      <c r="I135" s="4" t="n">
        <v>132</v>
      </c>
      <c r="J135" s="4" t="s">
        <v>85</v>
      </c>
      <c r="K135" s="4" t="s">
        <v>82</v>
      </c>
      <c r="L135" s="4" t="s">
        <v>82</v>
      </c>
      <c r="M135" s="4" t="str">
        <f aca="false">IF(K135=L135,"=","DISTINTA")</f>
        <v>=</v>
      </c>
      <c r="N135" s="4" t="s">
        <v>328</v>
      </c>
      <c r="O135" s="4" t="s">
        <v>329</v>
      </c>
    </row>
    <row r="136" customFormat="false" ht="15" hidden="false" customHeight="false" outlineLevel="0" collapsed="false">
      <c r="H136" s="4" t="n">
        <v>356</v>
      </c>
      <c r="I136" s="4" t="n">
        <v>133</v>
      </c>
      <c r="J136" s="4" t="s">
        <v>85</v>
      </c>
      <c r="K136" s="4" t="s">
        <v>82</v>
      </c>
      <c r="L136" s="4" t="s">
        <v>82</v>
      </c>
      <c r="M136" s="4" t="str">
        <f aca="false">IF(K136=L136,"=","DISTINTA")</f>
        <v>=</v>
      </c>
      <c r="N136" s="4" t="s">
        <v>330</v>
      </c>
      <c r="O136" s="4" t="s">
        <v>331</v>
      </c>
    </row>
    <row r="137" customFormat="false" ht="15" hidden="false" customHeight="false" outlineLevel="0" collapsed="false">
      <c r="H137" s="4" t="n">
        <v>357</v>
      </c>
      <c r="I137" s="4" t="n">
        <v>134</v>
      </c>
      <c r="J137" s="4" t="s">
        <v>85</v>
      </c>
      <c r="K137" s="4" t="s">
        <v>82</v>
      </c>
      <c r="L137" s="4" t="s">
        <v>82</v>
      </c>
      <c r="M137" s="4" t="str">
        <f aca="false">IF(K137=L137,"=","DISTINTA")</f>
        <v>=</v>
      </c>
      <c r="N137" s="4" t="s">
        <v>332</v>
      </c>
      <c r="O137" s="4" t="s">
        <v>333</v>
      </c>
    </row>
    <row r="138" customFormat="false" ht="15" hidden="false" customHeight="false" outlineLevel="0" collapsed="false">
      <c r="H138" s="4" t="n">
        <v>358</v>
      </c>
      <c r="I138" s="4" t="n">
        <v>135</v>
      </c>
      <c r="J138" s="4" t="s">
        <v>85</v>
      </c>
      <c r="K138" s="4" t="s">
        <v>82</v>
      </c>
      <c r="L138" s="4" t="s">
        <v>82</v>
      </c>
      <c r="M138" s="4" t="str">
        <f aca="false">IF(K138=L138,"=","DISTINTA")</f>
        <v>=</v>
      </c>
      <c r="N138" s="4" t="s">
        <v>334</v>
      </c>
      <c r="O138" s="4" t="s">
        <v>335</v>
      </c>
    </row>
    <row r="139" customFormat="false" ht="15" hidden="false" customHeight="false" outlineLevel="0" collapsed="false">
      <c r="H139" s="4" t="n">
        <v>359</v>
      </c>
      <c r="I139" s="4" t="n">
        <v>136</v>
      </c>
      <c r="J139" s="4" t="s">
        <v>85</v>
      </c>
      <c r="K139" s="4" t="s">
        <v>82</v>
      </c>
      <c r="L139" s="4" t="s">
        <v>82</v>
      </c>
      <c r="M139" s="4" t="str">
        <f aca="false">IF(K139=L139,"=","DISTINTA")</f>
        <v>=</v>
      </c>
      <c r="N139" s="4" t="s">
        <v>336</v>
      </c>
      <c r="O139" s="4" t="s">
        <v>337</v>
      </c>
    </row>
    <row r="140" customFormat="false" ht="15" hidden="false" customHeight="false" outlineLevel="0" collapsed="false">
      <c r="H140" s="4" t="n">
        <v>360</v>
      </c>
      <c r="I140" s="4" t="n">
        <v>137</v>
      </c>
      <c r="J140" s="4" t="s">
        <v>338</v>
      </c>
      <c r="K140" s="4" t="s">
        <v>339</v>
      </c>
      <c r="L140" s="4" t="s">
        <v>339</v>
      </c>
      <c r="M140" s="4" t="str">
        <f aca="false">IF(K140=L140,"=","DISTINTA")</f>
        <v>=</v>
      </c>
      <c r="N140" s="4" t="s">
        <v>340</v>
      </c>
      <c r="O140" s="4" t="s">
        <v>341</v>
      </c>
    </row>
    <row r="141" customFormat="false" ht="15" hidden="false" customHeight="false" outlineLevel="0" collapsed="false">
      <c r="H141" s="4" t="n">
        <v>361</v>
      </c>
      <c r="I141" s="4" t="n">
        <v>138</v>
      </c>
      <c r="J141" s="4" t="s">
        <v>338</v>
      </c>
      <c r="K141" s="4" t="s">
        <v>339</v>
      </c>
      <c r="L141" s="4" t="s">
        <v>339</v>
      </c>
      <c r="M141" s="4" t="str">
        <f aca="false">IF(K141=L141,"=","DISTINTA")</f>
        <v>=</v>
      </c>
      <c r="N141" s="4" t="s">
        <v>342</v>
      </c>
      <c r="O141" s="4" t="s">
        <v>343</v>
      </c>
    </row>
    <row r="142" customFormat="false" ht="15" hidden="false" customHeight="false" outlineLevel="0" collapsed="false">
      <c r="H142" s="4" t="n">
        <v>362</v>
      </c>
      <c r="I142" s="4" t="n">
        <v>139</v>
      </c>
      <c r="J142" s="4" t="s">
        <v>338</v>
      </c>
      <c r="K142" s="4" t="s">
        <v>339</v>
      </c>
      <c r="L142" s="4" t="s">
        <v>339</v>
      </c>
      <c r="M142" s="4" t="str">
        <f aca="false">IF(K142=L142,"=","DISTINTA")</f>
        <v>=</v>
      </c>
      <c r="N142" s="4" t="s">
        <v>344</v>
      </c>
      <c r="O142" s="4" t="s">
        <v>345</v>
      </c>
    </row>
    <row r="143" customFormat="false" ht="15" hidden="false" customHeight="false" outlineLevel="0" collapsed="false">
      <c r="H143" s="4" t="n">
        <v>363</v>
      </c>
      <c r="I143" s="4" t="n">
        <v>140</v>
      </c>
      <c r="J143" s="4" t="s">
        <v>338</v>
      </c>
      <c r="K143" s="4" t="s">
        <v>339</v>
      </c>
      <c r="L143" s="4" t="s">
        <v>339</v>
      </c>
      <c r="M143" s="4" t="str">
        <f aca="false">IF(K143=L143,"=","DISTINTA")</f>
        <v>=</v>
      </c>
      <c r="N143" s="4" t="s">
        <v>346</v>
      </c>
      <c r="O143" s="4" t="s">
        <v>347</v>
      </c>
    </row>
    <row r="144" customFormat="false" ht="15" hidden="false" customHeight="false" outlineLevel="0" collapsed="false">
      <c r="H144" s="4" t="n">
        <v>364</v>
      </c>
      <c r="I144" s="4" t="n">
        <v>141</v>
      </c>
      <c r="J144" s="4" t="s">
        <v>348</v>
      </c>
      <c r="K144" s="4" t="s">
        <v>349</v>
      </c>
      <c r="L144" s="4" t="s">
        <v>349</v>
      </c>
      <c r="M144" s="4" t="str">
        <f aca="false">IF(K144=L144,"=","DISTINTA")</f>
        <v>=</v>
      </c>
      <c r="N144" s="4" t="s">
        <v>350</v>
      </c>
      <c r="O144" s="4" t="s">
        <v>351</v>
      </c>
    </row>
    <row r="145" customFormat="false" ht="15" hidden="false" customHeight="false" outlineLevel="0" collapsed="false">
      <c r="H145" s="4" t="n">
        <v>365</v>
      </c>
      <c r="I145" s="4" t="n">
        <v>142</v>
      </c>
      <c r="J145" s="4" t="s">
        <v>348</v>
      </c>
      <c r="K145" s="4" t="s">
        <v>349</v>
      </c>
      <c r="L145" s="4" t="s">
        <v>349</v>
      </c>
      <c r="M145" s="4" t="str">
        <f aca="false">IF(K145=L145,"=","DISTINTA")</f>
        <v>=</v>
      </c>
      <c r="N145" s="4" t="s">
        <v>352</v>
      </c>
      <c r="O145" s="4" t="s">
        <v>353</v>
      </c>
    </row>
    <row r="146" customFormat="false" ht="15" hidden="false" customHeight="false" outlineLevel="0" collapsed="false">
      <c r="H146" s="4" t="n">
        <v>366</v>
      </c>
      <c r="I146" s="4" t="n">
        <v>143</v>
      </c>
      <c r="J146" s="4" t="s">
        <v>348</v>
      </c>
      <c r="K146" s="4" t="s">
        <v>349</v>
      </c>
      <c r="L146" s="4" t="s">
        <v>349</v>
      </c>
      <c r="M146" s="4" t="str">
        <f aca="false">IF(K146=L146,"=","DISTINTA")</f>
        <v>=</v>
      </c>
      <c r="N146" s="4" t="s">
        <v>354</v>
      </c>
      <c r="O146" s="4" t="s">
        <v>355</v>
      </c>
    </row>
    <row r="147" customFormat="false" ht="15" hidden="false" customHeight="false" outlineLevel="0" collapsed="false">
      <c r="H147" s="4" t="n">
        <v>367</v>
      </c>
      <c r="I147" s="4" t="n">
        <v>144</v>
      </c>
      <c r="J147" s="4" t="s">
        <v>348</v>
      </c>
      <c r="K147" s="4" t="s">
        <v>349</v>
      </c>
      <c r="L147" s="4" t="s">
        <v>349</v>
      </c>
      <c r="M147" s="4" t="str">
        <f aca="false">IF(K147=L147,"=","DISTINTA")</f>
        <v>=</v>
      </c>
      <c r="N147" s="4" t="s">
        <v>356</v>
      </c>
      <c r="O147" s="4" t="s">
        <v>357</v>
      </c>
    </row>
    <row r="148" customFormat="false" ht="15" hidden="false" customHeight="false" outlineLevel="0" collapsed="false">
      <c r="H148" s="4" t="n">
        <v>368</v>
      </c>
      <c r="I148" s="4" t="n">
        <v>145</v>
      </c>
      <c r="J148" s="4" t="s">
        <v>348</v>
      </c>
      <c r="K148" s="4" t="s">
        <v>349</v>
      </c>
      <c r="L148" s="4" t="s">
        <v>349</v>
      </c>
      <c r="M148" s="4" t="str">
        <f aca="false">IF(K148=L148,"=","DISTINTA")</f>
        <v>=</v>
      </c>
      <c r="N148" s="4" t="s">
        <v>358</v>
      </c>
      <c r="O148" s="4" t="s">
        <v>359</v>
      </c>
    </row>
    <row r="149" customFormat="false" ht="15" hidden="false" customHeight="false" outlineLevel="0" collapsed="false">
      <c r="H149" s="4" t="n">
        <v>369</v>
      </c>
      <c r="I149" s="4" t="n">
        <v>146</v>
      </c>
      <c r="J149" s="4" t="s">
        <v>348</v>
      </c>
      <c r="K149" s="4" t="s">
        <v>349</v>
      </c>
      <c r="L149" s="4" t="s">
        <v>349</v>
      </c>
      <c r="M149" s="4" t="str">
        <f aca="false">IF(K149=L149,"=","DISTINTA")</f>
        <v>=</v>
      </c>
      <c r="N149" s="4" t="s">
        <v>360</v>
      </c>
      <c r="O149" s="4" t="s">
        <v>361</v>
      </c>
    </row>
    <row r="150" customFormat="false" ht="15" hidden="false" customHeight="false" outlineLevel="0" collapsed="false">
      <c r="H150" s="4" t="n">
        <v>370</v>
      </c>
      <c r="I150" s="4" t="n">
        <v>147</v>
      </c>
      <c r="J150" s="4" t="s">
        <v>362</v>
      </c>
      <c r="K150" s="4" t="s">
        <v>363</v>
      </c>
      <c r="L150" s="4" t="s">
        <v>363</v>
      </c>
      <c r="M150" s="4" t="str">
        <f aca="false">IF(K150=L150,"=","DISTINTA")</f>
        <v>=</v>
      </c>
      <c r="N150" s="4" t="s">
        <v>364</v>
      </c>
      <c r="O150" s="4" t="s">
        <v>365</v>
      </c>
    </row>
    <row r="151" customFormat="false" ht="15" hidden="false" customHeight="false" outlineLevel="0" collapsed="false">
      <c r="H151" s="4" t="n">
        <v>371</v>
      </c>
      <c r="I151" s="4" t="n">
        <v>150</v>
      </c>
      <c r="J151" s="4" t="s">
        <v>362</v>
      </c>
      <c r="K151" s="4" t="s">
        <v>363</v>
      </c>
      <c r="L151" s="4" t="s">
        <v>363</v>
      </c>
      <c r="M151" s="4" t="str">
        <f aca="false">IF(K151=L151,"=","DISTINTA")</f>
        <v>=</v>
      </c>
      <c r="N151" s="4" t="s">
        <v>366</v>
      </c>
      <c r="O151" s="4" t="s">
        <v>367</v>
      </c>
    </row>
    <row r="152" customFormat="false" ht="15" hidden="false" customHeight="false" outlineLevel="0" collapsed="false">
      <c r="H152" s="4" t="n">
        <v>372</v>
      </c>
      <c r="I152" s="4" t="n">
        <v>151</v>
      </c>
      <c r="J152" s="4" t="s">
        <v>362</v>
      </c>
      <c r="K152" s="4" t="s">
        <v>363</v>
      </c>
      <c r="L152" s="4" t="s">
        <v>363</v>
      </c>
      <c r="M152" s="4" t="str">
        <f aca="false">IF(K152=L152,"=","DISTINTA")</f>
        <v>=</v>
      </c>
      <c r="N152" s="4" t="s">
        <v>368</v>
      </c>
      <c r="O152" s="4" t="s">
        <v>369</v>
      </c>
    </row>
    <row r="153" customFormat="false" ht="15" hidden="false" customHeight="false" outlineLevel="0" collapsed="false">
      <c r="H153" s="4" t="n">
        <v>373</v>
      </c>
      <c r="I153" s="4" t="n">
        <v>152</v>
      </c>
      <c r="J153" s="4" t="s">
        <v>362</v>
      </c>
      <c r="K153" s="4" t="s">
        <v>363</v>
      </c>
      <c r="L153" s="4" t="s">
        <v>363</v>
      </c>
      <c r="M153" s="4" t="str">
        <f aca="false">IF(K153=L153,"=","DISTINTA")</f>
        <v>=</v>
      </c>
      <c r="N153" s="4" t="s">
        <v>370</v>
      </c>
      <c r="O153" s="4" t="s">
        <v>371</v>
      </c>
    </row>
    <row r="154" customFormat="false" ht="15" hidden="false" customHeight="false" outlineLevel="0" collapsed="false">
      <c r="H154" s="4" t="n">
        <v>374</v>
      </c>
      <c r="I154" s="4" t="n">
        <v>153</v>
      </c>
      <c r="J154" s="4" t="s">
        <v>362</v>
      </c>
      <c r="K154" s="4" t="s">
        <v>363</v>
      </c>
      <c r="L154" s="4" t="s">
        <v>363</v>
      </c>
      <c r="M154" s="4" t="str">
        <f aca="false">IF(K154=L154,"=","DISTINTA")</f>
        <v>=</v>
      </c>
      <c r="N154" s="4" t="s">
        <v>372</v>
      </c>
      <c r="O154" s="4" t="s">
        <v>373</v>
      </c>
    </row>
    <row r="155" customFormat="false" ht="15" hidden="false" customHeight="false" outlineLevel="0" collapsed="false">
      <c r="H155" s="4" t="n">
        <v>375</v>
      </c>
      <c r="I155" s="4" t="n">
        <v>154</v>
      </c>
      <c r="J155" s="4" t="s">
        <v>362</v>
      </c>
      <c r="K155" s="4" t="s">
        <v>363</v>
      </c>
      <c r="L155" s="4" t="s">
        <v>363</v>
      </c>
      <c r="M155" s="4" t="str">
        <f aca="false">IF(K155=L155,"=","DISTINTA")</f>
        <v>=</v>
      </c>
      <c r="N155" s="4" t="s">
        <v>374</v>
      </c>
      <c r="O155" s="4" t="s">
        <v>375</v>
      </c>
    </row>
    <row r="156" customFormat="false" ht="15" hidden="false" customHeight="false" outlineLevel="0" collapsed="false">
      <c r="H156" s="4" t="n">
        <v>376</v>
      </c>
      <c r="I156" s="4" t="n">
        <v>155</v>
      </c>
      <c r="J156" s="4" t="s">
        <v>362</v>
      </c>
      <c r="K156" s="4" t="s">
        <v>363</v>
      </c>
      <c r="L156" s="4" t="s">
        <v>363</v>
      </c>
      <c r="M156" s="4" t="str">
        <f aca="false">IF(K156=L156,"=","DISTINTA")</f>
        <v>=</v>
      </c>
      <c r="N156" s="4" t="s">
        <v>376</v>
      </c>
      <c r="O156" s="4" t="s">
        <v>377</v>
      </c>
    </row>
    <row r="157" customFormat="false" ht="15" hidden="false" customHeight="false" outlineLevel="0" collapsed="false">
      <c r="H157" s="4" t="n">
        <v>377</v>
      </c>
      <c r="I157" s="4" t="n">
        <v>156</v>
      </c>
      <c r="J157" s="4" t="s">
        <v>362</v>
      </c>
      <c r="K157" s="4" t="s">
        <v>363</v>
      </c>
      <c r="L157" s="4" t="s">
        <v>363</v>
      </c>
      <c r="M157" s="4" t="str">
        <f aca="false">IF(K157=L157,"=","DISTINTA")</f>
        <v>=</v>
      </c>
      <c r="N157" s="4" t="s">
        <v>378</v>
      </c>
      <c r="O157" s="4" t="s">
        <v>379</v>
      </c>
    </row>
    <row r="158" customFormat="false" ht="15" hidden="false" customHeight="false" outlineLevel="0" collapsed="false">
      <c r="H158" s="4" t="n">
        <v>378</v>
      </c>
      <c r="I158" s="4" t="n">
        <v>157</v>
      </c>
      <c r="J158" s="4" t="s">
        <v>362</v>
      </c>
      <c r="K158" s="4" t="s">
        <v>363</v>
      </c>
      <c r="L158" s="4" t="s">
        <v>363</v>
      </c>
      <c r="M158" s="4" t="str">
        <f aca="false">IF(K158=L158,"=","DISTINTA")</f>
        <v>=</v>
      </c>
      <c r="N158" s="4" t="s">
        <v>380</v>
      </c>
      <c r="O158" s="4" t="s">
        <v>381</v>
      </c>
    </row>
    <row r="159" customFormat="false" ht="15" hidden="false" customHeight="false" outlineLevel="0" collapsed="false">
      <c r="H159" s="4" t="n">
        <v>379</v>
      </c>
      <c r="I159" s="4" t="n">
        <v>158</v>
      </c>
      <c r="J159" s="4" t="s">
        <v>362</v>
      </c>
      <c r="K159" s="4" t="s">
        <v>363</v>
      </c>
      <c r="L159" s="4" t="s">
        <v>363</v>
      </c>
      <c r="M159" s="4" t="str">
        <f aca="false">IF(K159=L159,"=","DISTINTA")</f>
        <v>=</v>
      </c>
      <c r="N159" s="4" t="s">
        <v>382</v>
      </c>
      <c r="O159" s="4" t="s">
        <v>383</v>
      </c>
    </row>
    <row r="160" customFormat="false" ht="15" hidden="false" customHeight="false" outlineLevel="0" collapsed="false">
      <c r="H160" s="4" t="n">
        <v>380</v>
      </c>
      <c r="I160" s="4" t="n">
        <v>159</v>
      </c>
      <c r="J160" s="4" t="s">
        <v>362</v>
      </c>
      <c r="K160" s="4" t="s">
        <v>363</v>
      </c>
      <c r="L160" s="4" t="s">
        <v>363</v>
      </c>
      <c r="M160" s="4" t="str">
        <f aca="false">IF(K160=L160,"=","DISTINTA")</f>
        <v>=</v>
      </c>
      <c r="N160" s="4" t="s">
        <v>384</v>
      </c>
      <c r="O160" s="4" t="s">
        <v>385</v>
      </c>
    </row>
    <row r="161" customFormat="false" ht="15" hidden="false" customHeight="false" outlineLevel="0" collapsed="false">
      <c r="H161" s="4" t="n">
        <v>381</v>
      </c>
      <c r="I161" s="4" t="n">
        <v>160</v>
      </c>
      <c r="J161" s="4" t="s">
        <v>362</v>
      </c>
      <c r="K161" s="4" t="s">
        <v>363</v>
      </c>
      <c r="L161" s="4" t="s">
        <v>363</v>
      </c>
      <c r="M161" s="4" t="str">
        <f aca="false">IF(K161=L161,"=","DISTINTA")</f>
        <v>=</v>
      </c>
      <c r="N161" s="4" t="s">
        <v>386</v>
      </c>
      <c r="O161" s="4" t="s">
        <v>387</v>
      </c>
    </row>
    <row r="162" customFormat="false" ht="15" hidden="false" customHeight="false" outlineLevel="0" collapsed="false">
      <c r="H162" s="4" t="n">
        <v>382</v>
      </c>
      <c r="I162" s="4" t="n">
        <v>161</v>
      </c>
      <c r="J162" s="4" t="s">
        <v>362</v>
      </c>
      <c r="K162" s="4" t="s">
        <v>363</v>
      </c>
      <c r="L162" s="4" t="s">
        <v>363</v>
      </c>
      <c r="M162" s="4" t="str">
        <f aca="false">IF(K162=L162,"=","DISTINTA")</f>
        <v>=</v>
      </c>
      <c r="N162" s="4" t="s">
        <v>388</v>
      </c>
      <c r="O162" s="4" t="s">
        <v>389</v>
      </c>
    </row>
    <row r="163" customFormat="false" ht="15" hidden="false" customHeight="false" outlineLevel="0" collapsed="false">
      <c r="H163" s="4" t="n">
        <v>383</v>
      </c>
      <c r="I163" s="4" t="n">
        <v>162</v>
      </c>
      <c r="J163" s="4" t="s">
        <v>362</v>
      </c>
      <c r="K163" s="4" t="s">
        <v>363</v>
      </c>
      <c r="L163" s="4" t="s">
        <v>363</v>
      </c>
      <c r="M163" s="4" t="str">
        <f aca="false">IF(K163=L163,"=","DISTINTA")</f>
        <v>=</v>
      </c>
      <c r="N163" s="4" t="s">
        <v>390</v>
      </c>
      <c r="O163" s="4" t="s">
        <v>391</v>
      </c>
    </row>
    <row r="164" customFormat="false" ht="15" hidden="false" customHeight="false" outlineLevel="0" collapsed="false">
      <c r="H164" s="4" t="n">
        <v>384</v>
      </c>
      <c r="I164" s="4" t="n">
        <v>163</v>
      </c>
      <c r="J164" s="4" t="s">
        <v>362</v>
      </c>
      <c r="K164" s="4" t="s">
        <v>363</v>
      </c>
      <c r="L164" s="4" t="s">
        <v>363</v>
      </c>
      <c r="M164" s="4" t="str">
        <f aca="false">IF(K164=L164,"=","DISTINTA")</f>
        <v>=</v>
      </c>
      <c r="N164" s="4" t="s">
        <v>392</v>
      </c>
      <c r="O164" s="4" t="s">
        <v>393</v>
      </c>
    </row>
    <row r="165" customFormat="false" ht="15" hidden="false" customHeight="false" outlineLevel="0" collapsed="false">
      <c r="H165" s="4" t="n">
        <v>385</v>
      </c>
      <c r="I165" s="4" t="n">
        <v>164</v>
      </c>
      <c r="J165" s="4" t="s">
        <v>362</v>
      </c>
      <c r="K165" s="4" t="s">
        <v>363</v>
      </c>
      <c r="L165" s="4" t="s">
        <v>363</v>
      </c>
      <c r="M165" s="4" t="str">
        <f aca="false">IF(K165=L165,"=","DISTINTA")</f>
        <v>=</v>
      </c>
      <c r="N165" s="4" t="s">
        <v>394</v>
      </c>
      <c r="O165" s="4" t="s">
        <v>395</v>
      </c>
    </row>
    <row r="166" customFormat="false" ht="15" hidden="false" customHeight="false" outlineLevel="0" collapsed="false">
      <c r="H166" s="4" t="n">
        <v>386</v>
      </c>
      <c r="I166" s="4" t="n">
        <v>173</v>
      </c>
      <c r="J166" s="4" t="s">
        <v>396</v>
      </c>
      <c r="K166" s="4" t="s">
        <v>82</v>
      </c>
      <c r="L166" s="4" t="s">
        <v>82</v>
      </c>
      <c r="M166" s="4" t="str">
        <f aca="false">IF(K166=L166,"=","DISTINTA")</f>
        <v>=</v>
      </c>
      <c r="N166" s="4" t="s">
        <v>397</v>
      </c>
      <c r="O166" s="4" t="s">
        <v>398</v>
      </c>
    </row>
    <row r="167" customFormat="false" ht="15" hidden="false" customHeight="false" outlineLevel="0" collapsed="false">
      <c r="H167" s="4" t="n">
        <v>387</v>
      </c>
      <c r="I167" s="4" t="n">
        <v>174</v>
      </c>
      <c r="J167" s="4" t="s">
        <v>396</v>
      </c>
      <c r="K167" s="4" t="s">
        <v>82</v>
      </c>
      <c r="L167" s="4" t="s">
        <v>82</v>
      </c>
      <c r="M167" s="4" t="str">
        <f aca="false">IF(K167=L167,"=","DISTINTA")</f>
        <v>=</v>
      </c>
      <c r="N167" s="4" t="s">
        <v>399</v>
      </c>
      <c r="O167" s="4" t="s">
        <v>400</v>
      </c>
    </row>
    <row r="168" customFormat="false" ht="15" hidden="false" customHeight="false" outlineLevel="0" collapsed="false">
      <c r="H168" s="4" t="n">
        <v>388</v>
      </c>
      <c r="I168" s="4" t="n">
        <v>175</v>
      </c>
      <c r="J168" s="4" t="s">
        <v>396</v>
      </c>
      <c r="K168" s="4" t="s">
        <v>82</v>
      </c>
      <c r="L168" s="4" t="s">
        <v>82</v>
      </c>
      <c r="M168" s="4" t="str">
        <f aca="false">IF(K168=L168,"=","DISTINTA")</f>
        <v>=</v>
      </c>
      <c r="N168" s="4" t="s">
        <v>401</v>
      </c>
      <c r="O168" s="4" t="s">
        <v>402</v>
      </c>
    </row>
    <row r="169" customFormat="false" ht="15" hidden="false" customHeight="false" outlineLevel="0" collapsed="false">
      <c r="H169" s="4" t="n">
        <v>389</v>
      </c>
      <c r="I169" s="4" t="n">
        <v>176</v>
      </c>
      <c r="J169" s="4" t="s">
        <v>396</v>
      </c>
      <c r="K169" s="4" t="s">
        <v>82</v>
      </c>
      <c r="L169" s="4" t="s">
        <v>82</v>
      </c>
      <c r="M169" s="4" t="str">
        <f aca="false">IF(K169=L169,"=","DISTINTA")</f>
        <v>=</v>
      </c>
      <c r="N169" s="4" t="s">
        <v>403</v>
      </c>
      <c r="O169" s="4" t="s">
        <v>404</v>
      </c>
    </row>
    <row r="170" customFormat="false" ht="15" hidden="false" customHeight="false" outlineLevel="0" collapsed="false">
      <c r="H170" s="4" t="n">
        <v>390</v>
      </c>
      <c r="I170" s="4" t="n">
        <v>177</v>
      </c>
      <c r="J170" s="4" t="s">
        <v>405</v>
      </c>
      <c r="K170" s="4" t="s">
        <v>363</v>
      </c>
      <c r="L170" s="4" t="s">
        <v>363</v>
      </c>
      <c r="M170" s="4" t="str">
        <f aca="false">IF(K170=L170,"=","DISTINTA")</f>
        <v>=</v>
      </c>
      <c r="N170" s="4" t="s">
        <v>406</v>
      </c>
      <c r="O170" s="4" t="s">
        <v>407</v>
      </c>
    </row>
    <row r="171" customFormat="false" ht="15" hidden="false" customHeight="false" outlineLevel="0" collapsed="false">
      <c r="H171" s="4" t="n">
        <v>391</v>
      </c>
      <c r="I171" s="4" t="n">
        <v>179</v>
      </c>
      <c r="J171" s="4" t="s">
        <v>405</v>
      </c>
      <c r="K171" s="4" t="s">
        <v>363</v>
      </c>
      <c r="L171" s="4" t="s">
        <v>363</v>
      </c>
      <c r="M171" s="4" t="str">
        <f aca="false">IF(K171=L171,"=","DISTINTA")</f>
        <v>=</v>
      </c>
      <c r="N171" s="4" t="s">
        <v>408</v>
      </c>
      <c r="O171" s="4" t="s">
        <v>409</v>
      </c>
    </row>
    <row r="172" customFormat="false" ht="15" hidden="false" customHeight="false" outlineLevel="0" collapsed="false">
      <c r="H172" s="4" t="n">
        <v>392</v>
      </c>
      <c r="I172" s="4" t="n">
        <v>180</v>
      </c>
      <c r="J172" s="4" t="s">
        <v>405</v>
      </c>
      <c r="K172" s="4" t="s">
        <v>363</v>
      </c>
      <c r="L172" s="4" t="s">
        <v>363</v>
      </c>
      <c r="M172" s="4" t="str">
        <f aca="false">IF(K172=L172,"=","DISTINTA")</f>
        <v>=</v>
      </c>
      <c r="N172" s="4" t="s">
        <v>410</v>
      </c>
      <c r="O172" s="4" t="s">
        <v>411</v>
      </c>
    </row>
    <row r="173" customFormat="false" ht="15" hidden="false" customHeight="false" outlineLevel="0" collapsed="false">
      <c r="H173" s="4" t="n">
        <v>393</v>
      </c>
      <c r="I173" s="4" t="n">
        <v>181</v>
      </c>
      <c r="J173" s="4" t="s">
        <v>405</v>
      </c>
      <c r="K173" s="4" t="s">
        <v>363</v>
      </c>
      <c r="L173" s="4" t="s">
        <v>363</v>
      </c>
      <c r="M173" s="4" t="str">
        <f aca="false">IF(K173=L173,"=","DISTINTA")</f>
        <v>=</v>
      </c>
      <c r="N173" s="4" t="s">
        <v>412</v>
      </c>
      <c r="O173" s="4" t="s">
        <v>413</v>
      </c>
    </row>
    <row r="174" customFormat="false" ht="15" hidden="false" customHeight="false" outlineLevel="0" collapsed="false">
      <c r="H174" s="4" t="n">
        <v>394</v>
      </c>
      <c r="I174" s="4" t="n">
        <v>182</v>
      </c>
      <c r="J174" s="4" t="s">
        <v>405</v>
      </c>
      <c r="K174" s="4" t="s">
        <v>363</v>
      </c>
      <c r="L174" s="4" t="s">
        <v>363</v>
      </c>
      <c r="M174" s="4" t="str">
        <f aca="false">IF(K174=L174,"=","DISTINTA")</f>
        <v>=</v>
      </c>
      <c r="N174" s="4" t="s">
        <v>414</v>
      </c>
      <c r="O174" s="4" t="s">
        <v>415</v>
      </c>
    </row>
    <row r="175" customFormat="false" ht="15" hidden="false" customHeight="false" outlineLevel="0" collapsed="false">
      <c r="H175" s="4" t="n">
        <v>395</v>
      </c>
      <c r="I175" s="4" t="n">
        <v>183</v>
      </c>
      <c r="J175" s="4" t="s">
        <v>405</v>
      </c>
      <c r="K175" s="4" t="s">
        <v>363</v>
      </c>
      <c r="L175" s="4" t="s">
        <v>363</v>
      </c>
      <c r="M175" s="4" t="str">
        <f aca="false">IF(K175=L175,"=","DISTINTA")</f>
        <v>=</v>
      </c>
      <c r="N175" s="4" t="s">
        <v>416</v>
      </c>
      <c r="O175" s="4" t="s">
        <v>417</v>
      </c>
    </row>
    <row r="176" customFormat="false" ht="15" hidden="false" customHeight="false" outlineLevel="0" collapsed="false">
      <c r="H176" s="4" t="n">
        <v>396</v>
      </c>
      <c r="I176" s="4" t="n">
        <v>184</v>
      </c>
      <c r="J176" s="4" t="s">
        <v>405</v>
      </c>
      <c r="K176" s="4" t="s">
        <v>363</v>
      </c>
      <c r="L176" s="4" t="s">
        <v>363</v>
      </c>
      <c r="M176" s="4" t="str">
        <f aca="false">IF(K176=L176,"=","DISTINTA")</f>
        <v>=</v>
      </c>
      <c r="N176" s="4" t="s">
        <v>418</v>
      </c>
      <c r="O176" s="4" t="s">
        <v>419</v>
      </c>
    </row>
    <row r="177" customFormat="false" ht="15" hidden="false" customHeight="false" outlineLevel="0" collapsed="false">
      <c r="H177" s="4" t="n">
        <v>397</v>
      </c>
      <c r="I177" s="4" t="n">
        <v>185</v>
      </c>
      <c r="J177" s="4" t="s">
        <v>405</v>
      </c>
      <c r="K177" s="4" t="s">
        <v>363</v>
      </c>
      <c r="L177" s="4" t="s">
        <v>363</v>
      </c>
      <c r="M177" s="4" t="str">
        <f aca="false">IF(K177=L177,"=","DISTINTA")</f>
        <v>=</v>
      </c>
      <c r="N177" s="4" t="s">
        <v>420</v>
      </c>
      <c r="O177" s="4" t="s">
        <v>421</v>
      </c>
    </row>
    <row r="178" customFormat="false" ht="15" hidden="false" customHeight="false" outlineLevel="0" collapsed="false">
      <c r="H178" s="4" t="n">
        <v>398</v>
      </c>
      <c r="I178" s="4" t="n">
        <v>186</v>
      </c>
      <c r="J178" s="4" t="s">
        <v>422</v>
      </c>
      <c r="K178" s="4" t="s">
        <v>423</v>
      </c>
      <c r="L178" s="4" t="s">
        <v>423</v>
      </c>
      <c r="M178" s="4" t="str">
        <f aca="false">IF(K178=L178,"=","DISTINTA")</f>
        <v>=</v>
      </c>
      <c r="N178" s="4" t="s">
        <v>424</v>
      </c>
      <c r="O178" s="4" t="s">
        <v>425</v>
      </c>
    </row>
    <row r="179" customFormat="false" ht="15" hidden="false" customHeight="false" outlineLevel="0" collapsed="false">
      <c r="H179" s="4" t="n">
        <v>399</v>
      </c>
      <c r="I179" s="4" t="n">
        <v>187</v>
      </c>
      <c r="J179" s="4" t="s">
        <v>81</v>
      </c>
      <c r="K179" s="4" t="s">
        <v>82</v>
      </c>
      <c r="L179" s="4" t="s">
        <v>82</v>
      </c>
      <c r="M179" s="4" t="str">
        <f aca="false">IF(K179=L179,"=","DISTINTA")</f>
        <v>=</v>
      </c>
      <c r="N179" s="4" t="s">
        <v>426</v>
      </c>
      <c r="O179" s="4" t="s">
        <v>427</v>
      </c>
    </row>
    <row r="180" customFormat="false" ht="15" hidden="false" customHeight="false" outlineLevel="0" collapsed="false">
      <c r="H180" s="4" t="n">
        <v>400</v>
      </c>
      <c r="I180" s="4" t="n">
        <v>188</v>
      </c>
      <c r="J180" s="4" t="s">
        <v>81</v>
      </c>
      <c r="K180" s="4" t="s">
        <v>82</v>
      </c>
      <c r="L180" s="4" t="s">
        <v>82</v>
      </c>
      <c r="M180" s="4" t="str">
        <f aca="false">IF(K180=L180,"=","DISTINTA")</f>
        <v>=</v>
      </c>
      <c r="N180" s="4" t="s">
        <v>428</v>
      </c>
      <c r="O180" s="4" t="s">
        <v>429</v>
      </c>
    </row>
    <row r="181" customFormat="false" ht="15" hidden="false" customHeight="false" outlineLevel="0" collapsed="false">
      <c r="H181" s="4" t="n">
        <v>401</v>
      </c>
      <c r="I181" s="4" t="n">
        <v>189</v>
      </c>
      <c r="J181" s="4" t="s">
        <v>81</v>
      </c>
      <c r="K181" s="4" t="s">
        <v>82</v>
      </c>
      <c r="L181" s="4" t="s">
        <v>82</v>
      </c>
      <c r="M181" s="4" t="str">
        <f aca="false">IF(K181=L181,"=","DISTINTA")</f>
        <v>=</v>
      </c>
      <c r="N181" s="4" t="s">
        <v>430</v>
      </c>
      <c r="O181" s="4" t="s">
        <v>431</v>
      </c>
    </row>
    <row r="182" customFormat="false" ht="15" hidden="false" customHeight="false" outlineLevel="0" collapsed="false">
      <c r="H182" s="4" t="n">
        <v>402</v>
      </c>
      <c r="I182" s="4" t="n">
        <v>190</v>
      </c>
      <c r="J182" s="4" t="s">
        <v>81</v>
      </c>
      <c r="K182" s="4" t="s">
        <v>82</v>
      </c>
      <c r="L182" s="4" t="s">
        <v>82</v>
      </c>
      <c r="M182" s="4" t="str">
        <f aca="false">IF(K182=L182,"=","DISTINTA")</f>
        <v>=</v>
      </c>
      <c r="N182" s="4" t="s">
        <v>432</v>
      </c>
      <c r="O182" s="4" t="s">
        <v>433</v>
      </c>
    </row>
    <row r="183" customFormat="false" ht="15" hidden="false" customHeight="false" outlineLevel="0" collapsed="false">
      <c r="H183" s="4" t="n">
        <v>403</v>
      </c>
      <c r="I183" s="4" t="n">
        <v>191</v>
      </c>
      <c r="J183" s="4" t="s">
        <v>81</v>
      </c>
      <c r="K183" s="4" t="s">
        <v>82</v>
      </c>
      <c r="L183" s="4" t="s">
        <v>82</v>
      </c>
      <c r="M183" s="4" t="str">
        <f aca="false">IF(K183=L183,"=","DISTINTA")</f>
        <v>=</v>
      </c>
      <c r="N183" s="4" t="s">
        <v>434</v>
      </c>
      <c r="O183" s="4" t="s">
        <v>435</v>
      </c>
    </row>
    <row r="184" customFormat="false" ht="15" hidden="false" customHeight="false" outlineLevel="0" collapsed="false">
      <c r="H184" s="4" t="n">
        <v>404</v>
      </c>
      <c r="I184" s="4" t="n">
        <v>192</v>
      </c>
      <c r="J184" s="4" t="s">
        <v>81</v>
      </c>
      <c r="K184" s="4" t="s">
        <v>82</v>
      </c>
      <c r="L184" s="4" t="s">
        <v>82</v>
      </c>
      <c r="M184" s="4" t="str">
        <f aca="false">IF(K184=L184,"=","DISTINTA")</f>
        <v>=</v>
      </c>
      <c r="N184" s="4" t="s">
        <v>436</v>
      </c>
      <c r="O184" s="4" t="s">
        <v>437</v>
      </c>
    </row>
    <row r="185" customFormat="false" ht="15" hidden="false" customHeight="false" outlineLevel="0" collapsed="false">
      <c r="H185" s="4" t="n">
        <v>405</v>
      </c>
      <c r="I185" s="4" t="n">
        <v>193</v>
      </c>
      <c r="J185" s="4" t="s">
        <v>81</v>
      </c>
      <c r="K185" s="4" t="s">
        <v>82</v>
      </c>
      <c r="L185" s="4" t="s">
        <v>82</v>
      </c>
      <c r="M185" s="4" t="str">
        <f aca="false">IF(K185=L185,"=","DISTINTA")</f>
        <v>=</v>
      </c>
      <c r="N185" s="4" t="s">
        <v>438</v>
      </c>
      <c r="O185" s="4" t="s">
        <v>439</v>
      </c>
    </row>
    <row r="186" customFormat="false" ht="15" hidden="false" customHeight="false" outlineLevel="0" collapsed="false">
      <c r="H186" s="4" t="n">
        <v>406</v>
      </c>
      <c r="I186" s="4" t="n">
        <v>194</v>
      </c>
      <c r="J186" s="4" t="s">
        <v>81</v>
      </c>
      <c r="K186" s="4" t="s">
        <v>82</v>
      </c>
      <c r="L186" s="4" t="s">
        <v>82</v>
      </c>
      <c r="M186" s="4" t="str">
        <f aca="false">IF(K186=L186,"=","DISTINTA")</f>
        <v>=</v>
      </c>
      <c r="N186" s="4" t="s">
        <v>440</v>
      </c>
      <c r="O186" s="4" t="s">
        <v>441</v>
      </c>
    </row>
    <row r="187" customFormat="false" ht="15" hidden="false" customHeight="false" outlineLevel="0" collapsed="false">
      <c r="H187" s="4" t="n">
        <v>407</v>
      </c>
      <c r="I187" s="4" t="n">
        <v>195</v>
      </c>
      <c r="J187" s="4" t="s">
        <v>81</v>
      </c>
      <c r="K187" s="4" t="s">
        <v>82</v>
      </c>
      <c r="L187" s="4" t="s">
        <v>82</v>
      </c>
      <c r="M187" s="4" t="str">
        <f aca="false">IF(K187=L187,"=","DISTINTA")</f>
        <v>=</v>
      </c>
      <c r="N187" s="4" t="s">
        <v>442</v>
      </c>
      <c r="O187" s="4" t="s">
        <v>443</v>
      </c>
    </row>
    <row r="188" customFormat="false" ht="15" hidden="false" customHeight="false" outlineLevel="0" collapsed="false">
      <c r="H188" s="4" t="n">
        <v>408</v>
      </c>
      <c r="I188" s="4" t="n">
        <v>196</v>
      </c>
      <c r="J188" s="4" t="s">
        <v>81</v>
      </c>
      <c r="K188" s="4" t="s">
        <v>82</v>
      </c>
      <c r="L188" s="4" t="s">
        <v>82</v>
      </c>
      <c r="M188" s="4" t="str">
        <f aca="false">IF(K188=L188,"=","DISTINTA")</f>
        <v>=</v>
      </c>
      <c r="N188" s="4" t="s">
        <v>444</v>
      </c>
      <c r="O188" s="4" t="s">
        <v>445</v>
      </c>
    </row>
    <row r="189" customFormat="false" ht="15" hidden="false" customHeight="false" outlineLevel="0" collapsed="false">
      <c r="H189" s="4" t="n">
        <v>409</v>
      </c>
      <c r="I189" s="4" t="n">
        <v>197</v>
      </c>
      <c r="J189" s="4" t="s">
        <v>81</v>
      </c>
      <c r="K189" s="4" t="s">
        <v>82</v>
      </c>
      <c r="L189" s="4" t="s">
        <v>82</v>
      </c>
      <c r="M189" s="4" t="str">
        <f aca="false">IF(K189=L189,"=","DISTINTA")</f>
        <v>=</v>
      </c>
      <c r="N189" s="4" t="s">
        <v>446</v>
      </c>
      <c r="O189" s="4" t="s">
        <v>447</v>
      </c>
    </row>
    <row r="190" customFormat="false" ht="15" hidden="false" customHeight="false" outlineLevel="0" collapsed="false">
      <c r="H190" s="4" t="n">
        <v>410</v>
      </c>
      <c r="I190" s="4" t="n">
        <v>198</v>
      </c>
      <c r="J190" s="4" t="s">
        <v>81</v>
      </c>
      <c r="K190" s="4" t="s">
        <v>82</v>
      </c>
      <c r="L190" s="4" t="s">
        <v>82</v>
      </c>
      <c r="M190" s="4" t="str">
        <f aca="false">IF(K190=L190,"=","DISTINTA")</f>
        <v>=</v>
      </c>
      <c r="N190" s="4" t="s">
        <v>448</v>
      </c>
      <c r="O190" s="4" t="s">
        <v>449</v>
      </c>
    </row>
    <row r="191" customFormat="false" ht="15" hidden="false" customHeight="false" outlineLevel="0" collapsed="false">
      <c r="H191" s="4" t="n">
        <v>411</v>
      </c>
      <c r="I191" s="4" t="n">
        <v>199</v>
      </c>
      <c r="J191" s="4" t="s">
        <v>396</v>
      </c>
      <c r="K191" s="4" t="s">
        <v>82</v>
      </c>
      <c r="L191" s="4" t="s">
        <v>82</v>
      </c>
      <c r="M191" s="4" t="str">
        <f aca="false">IF(K191=L191,"=","DISTINTA")</f>
        <v>=</v>
      </c>
      <c r="N191" s="4" t="s">
        <v>450</v>
      </c>
      <c r="O191" s="4" t="s">
        <v>451</v>
      </c>
    </row>
    <row r="192" customFormat="false" ht="15" hidden="false" customHeight="false" outlineLevel="0" collapsed="false">
      <c r="H192" s="4" t="n">
        <v>412</v>
      </c>
      <c r="I192" s="4" t="n">
        <v>200</v>
      </c>
      <c r="J192" s="4" t="s">
        <v>396</v>
      </c>
      <c r="K192" s="4" t="s">
        <v>82</v>
      </c>
      <c r="L192" s="4" t="s">
        <v>82</v>
      </c>
      <c r="M192" s="4" t="str">
        <f aca="false">IF(K192=L192,"=","DISTINTA")</f>
        <v>=</v>
      </c>
      <c r="N192" s="4" t="s">
        <v>452</v>
      </c>
      <c r="O192" s="4" t="s">
        <v>453</v>
      </c>
    </row>
    <row r="193" customFormat="false" ht="15" hidden="false" customHeight="false" outlineLevel="0" collapsed="false">
      <c r="H193" s="4" t="n">
        <v>413</v>
      </c>
      <c r="I193" s="4" t="n">
        <v>201</v>
      </c>
      <c r="J193" s="4" t="s">
        <v>396</v>
      </c>
      <c r="K193" s="4" t="s">
        <v>82</v>
      </c>
      <c r="L193" s="4" t="s">
        <v>82</v>
      </c>
      <c r="M193" s="4" t="str">
        <f aca="false">IF(K193=L193,"=","DISTINTA")</f>
        <v>=</v>
      </c>
      <c r="N193" s="4" t="s">
        <v>454</v>
      </c>
      <c r="O193" s="4" t="s">
        <v>455</v>
      </c>
    </row>
    <row r="194" customFormat="false" ht="15" hidden="false" customHeight="false" outlineLevel="0" collapsed="false">
      <c r="H194" s="4" t="n">
        <v>414</v>
      </c>
      <c r="I194" s="4" t="n">
        <v>202</v>
      </c>
      <c r="J194" s="4" t="s">
        <v>396</v>
      </c>
      <c r="K194" s="4" t="s">
        <v>82</v>
      </c>
      <c r="L194" s="4" t="s">
        <v>82</v>
      </c>
      <c r="M194" s="4" t="str">
        <f aca="false">IF(K194=L194,"=","DISTINTA")</f>
        <v>=</v>
      </c>
      <c r="N194" s="4" t="s">
        <v>456</v>
      </c>
      <c r="O194" s="4" t="s">
        <v>457</v>
      </c>
    </row>
    <row r="195" customFormat="false" ht="15" hidden="false" customHeight="false" outlineLevel="0" collapsed="false">
      <c r="H195" s="4" t="n">
        <v>415</v>
      </c>
      <c r="I195" s="4" t="n">
        <v>203</v>
      </c>
      <c r="J195" s="4" t="s">
        <v>422</v>
      </c>
      <c r="K195" s="4" t="s">
        <v>423</v>
      </c>
      <c r="L195" s="4" t="s">
        <v>423</v>
      </c>
      <c r="M195" s="4" t="str">
        <f aca="false">IF(K195=L195,"=","DISTINTA")</f>
        <v>=</v>
      </c>
      <c r="N195" s="4" t="s">
        <v>458</v>
      </c>
      <c r="O195" s="4" t="s">
        <v>459</v>
      </c>
    </row>
    <row r="196" customFormat="false" ht="15" hidden="false" customHeight="false" outlineLevel="0" collapsed="false">
      <c r="H196" s="4" t="n">
        <v>416</v>
      </c>
      <c r="I196" s="4" t="n">
        <v>204</v>
      </c>
      <c r="J196" s="4" t="s">
        <v>422</v>
      </c>
      <c r="K196" s="4" t="s">
        <v>423</v>
      </c>
      <c r="L196" s="4" t="s">
        <v>423</v>
      </c>
      <c r="M196" s="4" t="str">
        <f aca="false">IF(K196=L196,"=","DISTINTA")</f>
        <v>=</v>
      </c>
      <c r="N196" s="4" t="s">
        <v>460</v>
      </c>
      <c r="O196" s="4" t="s">
        <v>461</v>
      </c>
    </row>
    <row r="197" customFormat="false" ht="15" hidden="false" customHeight="false" outlineLevel="0" collapsed="false">
      <c r="H197" s="4" t="n">
        <v>417</v>
      </c>
      <c r="I197" s="4" t="n">
        <v>205</v>
      </c>
      <c r="J197" s="4" t="s">
        <v>422</v>
      </c>
      <c r="K197" s="4" t="s">
        <v>423</v>
      </c>
      <c r="L197" s="4" t="s">
        <v>423</v>
      </c>
      <c r="M197" s="4" t="str">
        <f aca="false">IF(K197=L197,"=","DISTINTA")</f>
        <v>=</v>
      </c>
      <c r="N197" s="4" t="s">
        <v>462</v>
      </c>
      <c r="O197" s="4" t="s">
        <v>463</v>
      </c>
    </row>
    <row r="198" customFormat="false" ht="15" hidden="false" customHeight="false" outlineLevel="0" collapsed="false">
      <c r="H198" s="4" t="n">
        <v>418</v>
      </c>
      <c r="I198" s="4" t="n">
        <v>206</v>
      </c>
      <c r="J198" s="4" t="s">
        <v>422</v>
      </c>
      <c r="K198" s="4" t="s">
        <v>423</v>
      </c>
      <c r="L198" s="4" t="s">
        <v>423</v>
      </c>
      <c r="M198" s="4" t="str">
        <f aca="false">IF(K198=L198,"=","DISTINTA")</f>
        <v>=</v>
      </c>
      <c r="N198" s="4" t="s">
        <v>464</v>
      </c>
      <c r="O198" s="4" t="s">
        <v>465</v>
      </c>
    </row>
    <row r="199" customFormat="false" ht="15" hidden="false" customHeight="false" outlineLevel="0" collapsed="false">
      <c r="H199" s="4" t="n">
        <v>419</v>
      </c>
      <c r="I199" s="4" t="n">
        <v>207</v>
      </c>
      <c r="J199" s="4" t="s">
        <v>422</v>
      </c>
      <c r="K199" s="4" t="s">
        <v>423</v>
      </c>
      <c r="L199" s="4" t="s">
        <v>423</v>
      </c>
      <c r="M199" s="4" t="str">
        <f aca="false">IF(K199=L199,"=","DISTINTA")</f>
        <v>=</v>
      </c>
      <c r="N199" s="4" t="s">
        <v>466</v>
      </c>
      <c r="O199" s="4" t="s">
        <v>467</v>
      </c>
    </row>
    <row r="200" customFormat="false" ht="15" hidden="false" customHeight="false" outlineLevel="0" collapsed="false">
      <c r="H200" s="4" t="n">
        <v>420</v>
      </c>
      <c r="I200" s="4" t="n">
        <v>208</v>
      </c>
      <c r="J200" s="4" t="s">
        <v>422</v>
      </c>
      <c r="K200" s="4" t="s">
        <v>423</v>
      </c>
      <c r="L200" s="4" t="s">
        <v>423</v>
      </c>
      <c r="M200" s="4" t="str">
        <f aca="false">IF(K200=L200,"=","DISTINTA")</f>
        <v>=</v>
      </c>
      <c r="N200" s="4" t="s">
        <v>468</v>
      </c>
      <c r="O200" s="4" t="s">
        <v>469</v>
      </c>
    </row>
    <row r="201" customFormat="false" ht="15" hidden="false" customHeight="false" outlineLevel="0" collapsed="false">
      <c r="H201" s="4" t="n">
        <v>421</v>
      </c>
      <c r="I201" s="4" t="n">
        <v>209</v>
      </c>
      <c r="J201" s="4" t="s">
        <v>405</v>
      </c>
      <c r="K201" s="4" t="s">
        <v>363</v>
      </c>
      <c r="L201" s="4" t="s">
        <v>363</v>
      </c>
      <c r="M201" s="4" t="str">
        <f aca="false">IF(K201=L201,"=","DISTINTA")</f>
        <v>=</v>
      </c>
      <c r="N201" s="4" t="s">
        <v>470</v>
      </c>
      <c r="O201" s="4" t="s">
        <v>471</v>
      </c>
    </row>
    <row r="202" customFormat="false" ht="15" hidden="false" customHeight="false" outlineLevel="0" collapsed="false">
      <c r="H202" s="4" t="n">
        <v>422</v>
      </c>
      <c r="I202" s="4" t="n">
        <v>210</v>
      </c>
      <c r="J202" s="4" t="s">
        <v>405</v>
      </c>
      <c r="K202" s="4" t="s">
        <v>363</v>
      </c>
      <c r="L202" s="4" t="s">
        <v>363</v>
      </c>
      <c r="M202" s="4" t="str">
        <f aca="false">IF(K202=L202,"=","DISTINTA")</f>
        <v>=</v>
      </c>
      <c r="N202" s="4" t="s">
        <v>472</v>
      </c>
      <c r="O202" s="4" t="s">
        <v>473</v>
      </c>
    </row>
    <row r="203" customFormat="false" ht="15" hidden="false" customHeight="false" outlineLevel="0" collapsed="false">
      <c r="H203" s="4" t="n">
        <v>423</v>
      </c>
      <c r="I203" s="4" t="n">
        <v>211</v>
      </c>
      <c r="J203" s="4" t="s">
        <v>405</v>
      </c>
      <c r="K203" s="4" t="s">
        <v>363</v>
      </c>
      <c r="L203" s="4" t="s">
        <v>363</v>
      </c>
      <c r="M203" s="4" t="str">
        <f aca="false">IF(K203=L203,"=","DISTINTA")</f>
        <v>=</v>
      </c>
      <c r="N203" s="4" t="s">
        <v>474</v>
      </c>
      <c r="O203" s="4" t="s">
        <v>475</v>
      </c>
    </row>
    <row r="204" customFormat="false" ht="15" hidden="false" customHeight="false" outlineLevel="0" collapsed="false">
      <c r="H204" s="4" t="n">
        <v>424</v>
      </c>
      <c r="I204" s="4" t="n">
        <v>212</v>
      </c>
      <c r="J204" s="4" t="s">
        <v>405</v>
      </c>
      <c r="K204" s="4" t="s">
        <v>363</v>
      </c>
      <c r="L204" s="4" t="s">
        <v>363</v>
      </c>
      <c r="M204" s="4" t="str">
        <f aca="false">IF(K204=L204,"=","DISTINTA")</f>
        <v>=</v>
      </c>
      <c r="N204" s="4" t="s">
        <v>476</v>
      </c>
      <c r="O204" s="4" t="s">
        <v>477</v>
      </c>
    </row>
    <row r="205" customFormat="false" ht="15" hidden="false" customHeight="false" outlineLevel="0" collapsed="false">
      <c r="H205" s="4" t="n">
        <v>425</v>
      </c>
      <c r="I205" s="4" t="n">
        <v>213</v>
      </c>
      <c r="J205" s="4" t="s">
        <v>405</v>
      </c>
      <c r="K205" s="4" t="s">
        <v>363</v>
      </c>
      <c r="L205" s="4" t="s">
        <v>363</v>
      </c>
      <c r="M205" s="4" t="str">
        <f aca="false">IF(K205=L205,"=","DISTINTA")</f>
        <v>=</v>
      </c>
      <c r="N205" s="4" t="s">
        <v>478</v>
      </c>
      <c r="O205" s="4" t="s">
        <v>479</v>
      </c>
    </row>
    <row r="206" customFormat="false" ht="15" hidden="false" customHeight="false" outlineLevel="0" collapsed="false">
      <c r="H206" s="4" t="n">
        <v>426</v>
      </c>
      <c r="I206" s="4" t="n">
        <v>214</v>
      </c>
      <c r="J206" s="4" t="s">
        <v>405</v>
      </c>
      <c r="K206" s="4" t="s">
        <v>363</v>
      </c>
      <c r="L206" s="4" t="s">
        <v>363</v>
      </c>
      <c r="M206" s="4" t="str">
        <f aca="false">IF(K206=L206,"=","DISTINTA")</f>
        <v>=</v>
      </c>
      <c r="N206" s="4" t="s">
        <v>480</v>
      </c>
      <c r="O206" s="4" t="s">
        <v>481</v>
      </c>
    </row>
    <row r="207" customFormat="false" ht="15" hidden="false" customHeight="false" outlineLevel="0" collapsed="false">
      <c r="H207" s="4" t="n">
        <v>427</v>
      </c>
      <c r="I207" s="4" t="n">
        <v>215</v>
      </c>
      <c r="J207" s="4" t="s">
        <v>405</v>
      </c>
      <c r="K207" s="4" t="s">
        <v>363</v>
      </c>
      <c r="L207" s="4" t="s">
        <v>363</v>
      </c>
      <c r="M207" s="4" t="str">
        <f aca="false">IF(K207=L207,"=","DISTINTA")</f>
        <v>=</v>
      </c>
      <c r="N207" s="4" t="s">
        <v>482</v>
      </c>
      <c r="O207" s="4" t="s">
        <v>483</v>
      </c>
    </row>
    <row r="208" customFormat="false" ht="15" hidden="false" customHeight="false" outlineLevel="0" collapsed="false">
      <c r="H208" s="4" t="n">
        <v>428</v>
      </c>
      <c r="I208" s="4" t="n">
        <v>216</v>
      </c>
      <c r="J208" s="4" t="s">
        <v>405</v>
      </c>
      <c r="K208" s="4" t="s">
        <v>363</v>
      </c>
      <c r="L208" s="4" t="s">
        <v>363</v>
      </c>
      <c r="M208" s="4" t="str">
        <f aca="false">IF(K208=L208,"=","DISTINTA")</f>
        <v>=</v>
      </c>
      <c r="N208" s="4" t="s">
        <v>484</v>
      </c>
      <c r="O208" s="4" t="s">
        <v>485</v>
      </c>
    </row>
    <row r="209" customFormat="false" ht="15" hidden="false" customHeight="false" outlineLevel="0" collapsed="false">
      <c r="H209" s="4" t="n">
        <v>429</v>
      </c>
      <c r="I209" s="4" t="n">
        <v>217</v>
      </c>
      <c r="J209" s="4" t="s">
        <v>486</v>
      </c>
      <c r="K209" s="4" t="s">
        <v>363</v>
      </c>
      <c r="L209" s="4" t="s">
        <v>363</v>
      </c>
      <c r="M209" s="4" t="str">
        <f aca="false">IF(K209=L209,"=","DISTINTA")</f>
        <v>=</v>
      </c>
      <c r="N209" s="4" t="s">
        <v>487</v>
      </c>
      <c r="O209" s="4" t="s">
        <v>488</v>
      </c>
    </row>
    <row r="210" customFormat="false" ht="15" hidden="false" customHeight="false" outlineLevel="0" collapsed="false">
      <c r="H210" s="4" t="n">
        <v>430</v>
      </c>
      <c r="I210" s="4" t="n">
        <v>218</v>
      </c>
      <c r="J210" s="4" t="s">
        <v>486</v>
      </c>
      <c r="K210" s="4" t="s">
        <v>363</v>
      </c>
      <c r="L210" s="4" t="s">
        <v>363</v>
      </c>
      <c r="M210" s="4" t="str">
        <f aca="false">IF(K210=L210,"=","DISTINTA")</f>
        <v>=</v>
      </c>
      <c r="N210" s="4" t="s">
        <v>489</v>
      </c>
      <c r="O210" s="4" t="s">
        <v>490</v>
      </c>
    </row>
    <row r="211" customFormat="false" ht="15" hidden="false" customHeight="false" outlineLevel="0" collapsed="false">
      <c r="H211" s="4" t="n">
        <v>431</v>
      </c>
      <c r="I211" s="4" t="n">
        <v>219</v>
      </c>
      <c r="J211" s="4" t="s">
        <v>486</v>
      </c>
      <c r="K211" s="4" t="s">
        <v>363</v>
      </c>
      <c r="L211" s="4" t="s">
        <v>363</v>
      </c>
      <c r="M211" s="4" t="str">
        <f aca="false">IF(K211=L211,"=","DISTINTA")</f>
        <v>=</v>
      </c>
      <c r="N211" s="4" t="s">
        <v>491</v>
      </c>
      <c r="O211" s="4" t="s">
        <v>492</v>
      </c>
    </row>
    <row r="212" customFormat="false" ht="15" hidden="false" customHeight="false" outlineLevel="0" collapsed="false">
      <c r="H212" s="4" t="n">
        <v>432</v>
      </c>
      <c r="I212" s="4" t="n">
        <v>220</v>
      </c>
      <c r="J212" s="4" t="s">
        <v>486</v>
      </c>
      <c r="K212" s="4" t="s">
        <v>363</v>
      </c>
      <c r="L212" s="4" t="s">
        <v>363</v>
      </c>
      <c r="M212" s="4" t="str">
        <f aca="false">IF(K212=L212,"=","DISTINTA")</f>
        <v>=</v>
      </c>
      <c r="N212" s="4" t="s">
        <v>493</v>
      </c>
      <c r="O212" s="4" t="s">
        <v>494</v>
      </c>
    </row>
    <row r="213" customFormat="false" ht="15" hidden="false" customHeight="false" outlineLevel="0" collapsed="false">
      <c r="H213" s="4" t="n">
        <v>433</v>
      </c>
      <c r="I213" s="4" t="n">
        <v>221</v>
      </c>
      <c r="J213" s="4" t="s">
        <v>486</v>
      </c>
      <c r="K213" s="4" t="s">
        <v>363</v>
      </c>
      <c r="L213" s="4" t="s">
        <v>363</v>
      </c>
      <c r="M213" s="4" t="str">
        <f aca="false">IF(K213=L213,"=","DISTINTA")</f>
        <v>=</v>
      </c>
      <c r="N213" s="4" t="s">
        <v>495</v>
      </c>
      <c r="O213" s="4" t="s">
        <v>496</v>
      </c>
    </row>
    <row r="214" customFormat="false" ht="15" hidden="false" customHeight="false" outlineLevel="0" collapsed="false">
      <c r="H214" s="4" t="n">
        <v>434</v>
      </c>
      <c r="I214" s="4" t="n">
        <v>222</v>
      </c>
      <c r="J214" s="4" t="s">
        <v>486</v>
      </c>
      <c r="K214" s="4" t="s">
        <v>363</v>
      </c>
      <c r="L214" s="4" t="s">
        <v>363</v>
      </c>
      <c r="M214" s="4" t="str">
        <f aca="false">IF(K214=L214,"=","DISTINTA")</f>
        <v>=</v>
      </c>
      <c r="N214" s="4" t="s">
        <v>497</v>
      </c>
      <c r="O214" s="4" t="s">
        <v>498</v>
      </c>
    </row>
    <row r="215" customFormat="false" ht="15" hidden="false" customHeight="false" outlineLevel="0" collapsed="false">
      <c r="H215" s="4" t="n">
        <v>435</v>
      </c>
      <c r="I215" s="4" t="n">
        <v>223</v>
      </c>
      <c r="J215" s="4" t="s">
        <v>486</v>
      </c>
      <c r="K215" s="4" t="s">
        <v>363</v>
      </c>
      <c r="L215" s="4" t="s">
        <v>363</v>
      </c>
      <c r="M215" s="4" t="str">
        <f aca="false">IF(K215=L215,"=","DISTINTA")</f>
        <v>=</v>
      </c>
      <c r="N215" s="4" t="s">
        <v>499</v>
      </c>
      <c r="O215" s="4" t="s">
        <v>500</v>
      </c>
    </row>
    <row r="216" customFormat="false" ht="15" hidden="false" customHeight="false" outlineLevel="0" collapsed="false">
      <c r="H216" s="4" t="n">
        <v>436</v>
      </c>
      <c r="I216" s="4" t="n">
        <v>224</v>
      </c>
      <c r="J216" s="4" t="s">
        <v>486</v>
      </c>
      <c r="K216" s="4" t="s">
        <v>363</v>
      </c>
      <c r="L216" s="4" t="s">
        <v>363</v>
      </c>
      <c r="M216" s="4" t="str">
        <f aca="false">IF(K216=L216,"=","DISTINTA")</f>
        <v>=</v>
      </c>
      <c r="N216" s="4" t="s">
        <v>501</v>
      </c>
      <c r="O216" s="4" t="s">
        <v>502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9"/>
    <col collapsed="false" customWidth="true" hidden="false" outlineLevel="0" max="15" min="14" style="0" width="11"/>
    <col collapsed="false" customWidth="true" hidden="false" outlineLevel="0" max="16" min="16" style="0" width="10"/>
    <col collapsed="false" customWidth="true" hidden="false" outlineLevel="0" max="18" min="17" style="0" width="9"/>
    <col collapsed="false" customWidth="true" hidden="false" outlineLevel="0" max="19" min="19" style="0" width="3"/>
    <col collapsed="false" customWidth="true" hidden="false" outlineLevel="0" max="20" min="20" style="0" width="10"/>
    <col collapsed="false" customWidth="true" hidden="false" outlineLevel="0" max="26" min="21" style="0" width="9"/>
  </cols>
  <sheetData>
    <row r="1" customFormat="false" ht="17.35" hidden="false" customHeight="false" outlineLevel="0" collapsed="false">
      <c r="A1" s="1" t="s">
        <v>503</v>
      </c>
    </row>
    <row r="2" customFormat="false" ht="15" hidden="false" customHeight="false" outlineLevel="0" collapsed="false">
      <c r="A2" s="2" t="s">
        <v>504</v>
      </c>
    </row>
    <row r="4" customFormat="false" ht="42" hidden="false" customHeight="true" outlineLevel="0" collapsed="false">
      <c r="A4" s="17" t="s">
        <v>49</v>
      </c>
      <c r="B4" s="17" t="s">
        <v>50</v>
      </c>
      <c r="C4" s="17" t="s">
        <v>505</v>
      </c>
      <c r="D4" s="17" t="s">
        <v>506</v>
      </c>
      <c r="E4" s="17" t="s">
        <v>507</v>
      </c>
      <c r="F4" s="17" t="s">
        <v>508</v>
      </c>
      <c r="G4" s="17" t="s">
        <v>509</v>
      </c>
      <c r="H4" s="17" t="s">
        <v>510</v>
      </c>
      <c r="I4" s="17" t="s">
        <v>511</v>
      </c>
      <c r="J4" s="17" t="s">
        <v>512</v>
      </c>
      <c r="K4" s="17" t="s">
        <v>513</v>
      </c>
      <c r="L4" s="17" t="s">
        <v>514</v>
      </c>
      <c r="M4" s="17" t="s">
        <v>515</v>
      </c>
      <c r="N4" s="17" t="s">
        <v>516</v>
      </c>
      <c r="O4" s="17" t="s">
        <v>517</v>
      </c>
      <c r="P4" s="17" t="s">
        <v>518</v>
      </c>
      <c r="Q4" s="17" t="s">
        <v>25</v>
      </c>
      <c r="R4" s="17" t="s">
        <v>519</v>
      </c>
      <c r="S4" s="17"/>
      <c r="T4" s="17" t="s">
        <v>520</v>
      </c>
      <c r="U4" s="17" t="s">
        <v>521</v>
      </c>
      <c r="V4" s="17" t="s">
        <v>522</v>
      </c>
      <c r="W4" s="17" t="s">
        <v>523</v>
      </c>
      <c r="X4" s="17" t="s">
        <v>524</v>
      </c>
      <c r="Y4" s="17" t="s">
        <v>525</v>
      </c>
      <c r="Z4" s="17" t="s">
        <v>526</v>
      </c>
    </row>
    <row r="5" customFormat="false" ht="15" hidden="false" customHeight="false" outlineLevel="0" collapsed="false">
      <c r="A5" s="4" t="n">
        <v>135</v>
      </c>
      <c r="B5" s="4" t="n">
        <v>2</v>
      </c>
      <c r="C5" s="19" t="n">
        <v>0.01262</v>
      </c>
      <c r="D5" s="19" t="n">
        <v>-0.00113</v>
      </c>
      <c r="E5" s="19" t="n">
        <v>0.0002</v>
      </c>
      <c r="F5" s="19" t="n">
        <v>-4E-005</v>
      </c>
      <c r="G5" s="19" t="n">
        <v>0.00025</v>
      </c>
      <c r="H5" s="19" t="n">
        <v>-2E-005</v>
      </c>
      <c r="I5" s="19" t="n">
        <v>0.01473</v>
      </c>
      <c r="J5" s="19" t="n">
        <v>-0.00148</v>
      </c>
      <c r="K5" s="19" t="n">
        <v>-0.00012</v>
      </c>
      <c r="L5" s="19" t="n">
        <v>-7E-005</v>
      </c>
      <c r="M5" s="19" t="n">
        <v>0.00027</v>
      </c>
      <c r="N5" s="11" t="n">
        <f aca="false">SQRT(C5^2+D5^2+E5^2)</f>
        <v>0.0126720677081524</v>
      </c>
      <c r="O5" s="11" t="n">
        <f aca="false">SQRT(I5^2+J5^2+K5^2)</f>
        <v>0.0148046512961299</v>
      </c>
      <c r="P5" s="11" t="n">
        <f aca="false">O5-N5</f>
        <v>0.00213258358797743</v>
      </c>
      <c r="Q5" s="12" t="n">
        <f aca="false">IF(N5&lt;0.001,"-",O5/N5-1)</f>
        <v>0.168290103643106</v>
      </c>
      <c r="R5" s="19" t="n">
        <v>-3E-005</v>
      </c>
      <c r="S5" s="4"/>
      <c r="T5" s="4" t="str">
        <f aca="false">IF(N5&gt;=0.01,"SÍ","no")</f>
        <v>SÍ</v>
      </c>
      <c r="U5" s="11" t="n">
        <f aca="false">ABS(C5)</f>
        <v>0.01262</v>
      </c>
      <c r="V5" s="11" t="n">
        <f aca="false">ABS(I5)</f>
        <v>0.01473</v>
      </c>
      <c r="W5" s="11" t="n">
        <f aca="false">ABS(D5)</f>
        <v>0.00113</v>
      </c>
      <c r="X5" s="11" t="n">
        <f aca="false">ABS(J5)</f>
        <v>0.00148</v>
      </c>
      <c r="Y5" s="11" t="n">
        <f aca="false">ABS(E5)</f>
        <v>0.0002</v>
      </c>
      <c r="Z5" s="11" t="n">
        <f aca="false">ABS(K5)</f>
        <v>0.00012</v>
      </c>
    </row>
    <row r="6" customFormat="false" ht="15" hidden="false" customHeight="false" outlineLevel="0" collapsed="false">
      <c r="A6" s="4" t="n">
        <v>136</v>
      </c>
      <c r="B6" s="4" t="n">
        <v>3</v>
      </c>
      <c r="C6" s="19" t="n">
        <v>0.00753</v>
      </c>
      <c r="D6" s="19" t="n">
        <v>-0.00042</v>
      </c>
      <c r="E6" s="19" t="n">
        <v>7E-005</v>
      </c>
      <c r="F6" s="19" t="n">
        <v>0</v>
      </c>
      <c r="G6" s="19" t="n">
        <v>0.00029</v>
      </c>
      <c r="H6" s="19" t="n">
        <v>-7E-005</v>
      </c>
      <c r="I6" s="19" t="n">
        <v>0.00803</v>
      </c>
      <c r="J6" s="19" t="n">
        <v>-0.00039</v>
      </c>
      <c r="K6" s="19" t="n">
        <v>0.00011</v>
      </c>
      <c r="L6" s="19" t="n">
        <v>1E-005</v>
      </c>
      <c r="M6" s="19" t="n">
        <v>0.00033</v>
      </c>
      <c r="N6" s="11" t="n">
        <f aca="false">SQRT(C6^2+D6^2+E6^2)</f>
        <v>0.0075420289047444</v>
      </c>
      <c r="O6" s="11" t="n">
        <f aca="false">SQRT(I6^2+J6^2+K6^2)</f>
        <v>0.00804021765874532</v>
      </c>
      <c r="P6" s="11" t="n">
        <f aca="false">O6-N6</f>
        <v>0.000498188754000918</v>
      </c>
      <c r="Q6" s="12" t="n">
        <f aca="false">IF(N6&lt;0.001,"-",O6/N6-1)</f>
        <v>0.0660550046006223</v>
      </c>
      <c r="R6" s="19" t="n">
        <v>-8E-005</v>
      </c>
      <c r="S6" s="4"/>
      <c r="T6" s="4" t="str">
        <f aca="false">IF(N6&gt;=0.01,"SÍ","no")</f>
        <v>no</v>
      </c>
      <c r="U6" s="11" t="n">
        <f aca="false">ABS(C6)</f>
        <v>0.00753</v>
      </c>
      <c r="V6" s="11" t="n">
        <f aca="false">ABS(I6)</f>
        <v>0.00803</v>
      </c>
      <c r="W6" s="11" t="n">
        <f aca="false">ABS(D6)</f>
        <v>0.00042</v>
      </c>
      <c r="X6" s="11" t="n">
        <f aca="false">ABS(J6)</f>
        <v>0.00039</v>
      </c>
      <c r="Y6" s="11" t="n">
        <f aca="false">ABS(E6)</f>
        <v>7E-005</v>
      </c>
      <c r="Z6" s="11" t="n">
        <f aca="false">ABS(K6)</f>
        <v>0.00011</v>
      </c>
    </row>
    <row r="7" customFormat="false" ht="15" hidden="false" customHeight="false" outlineLevel="0" collapsed="false">
      <c r="A7" s="4" t="n">
        <v>137</v>
      </c>
      <c r="B7" s="4" t="n">
        <v>4</v>
      </c>
      <c r="C7" s="19" t="n">
        <v>0.02005</v>
      </c>
      <c r="D7" s="19" t="n">
        <v>0.00013</v>
      </c>
      <c r="E7" s="19" t="n">
        <v>0.00036</v>
      </c>
      <c r="F7" s="19" t="n">
        <v>-3E-005</v>
      </c>
      <c r="G7" s="19" t="n">
        <v>0.00032</v>
      </c>
      <c r="H7" s="19" t="n">
        <v>-1E-005</v>
      </c>
      <c r="I7" s="19" t="n">
        <v>0.0219</v>
      </c>
      <c r="J7" s="19" t="n">
        <v>0.00024</v>
      </c>
      <c r="K7" s="19" t="n">
        <v>0.00014</v>
      </c>
      <c r="L7" s="19" t="n">
        <v>-4E-005</v>
      </c>
      <c r="M7" s="19" t="n">
        <v>0.00029</v>
      </c>
      <c r="N7" s="11" t="n">
        <f aca="false">SQRT(C7^2+D7^2+E7^2)</f>
        <v>0.0200536530337991</v>
      </c>
      <c r="O7" s="11" t="n">
        <f aca="false">SQRT(I7^2+J7^2+K7^2)</f>
        <v>0.0219017624861562</v>
      </c>
      <c r="P7" s="11" t="n">
        <f aca="false">O7-N7</f>
        <v>0.00184810945235712</v>
      </c>
      <c r="Q7" s="12" t="n">
        <f aca="false">IF(N7&lt;0.001,"-",O7/N7-1)</f>
        <v>0.0921582441484479</v>
      </c>
      <c r="R7" s="19" t="n">
        <v>-2E-005</v>
      </c>
      <c r="S7" s="4"/>
      <c r="T7" s="4" t="str">
        <f aca="false">IF(N7&gt;=0.01,"SÍ","no")</f>
        <v>SÍ</v>
      </c>
      <c r="U7" s="11" t="n">
        <f aca="false">ABS(C7)</f>
        <v>0.02005</v>
      </c>
      <c r="V7" s="11" t="n">
        <f aca="false">ABS(I7)</f>
        <v>0.0219</v>
      </c>
      <c r="W7" s="11" t="n">
        <f aca="false">ABS(D7)</f>
        <v>0.00013</v>
      </c>
      <c r="X7" s="11" t="n">
        <f aca="false">ABS(J7)</f>
        <v>0.00024</v>
      </c>
      <c r="Y7" s="11" t="n">
        <f aca="false">ABS(E7)</f>
        <v>0.00036</v>
      </c>
      <c r="Z7" s="11" t="n">
        <f aca="false">ABS(K7)</f>
        <v>0.00014</v>
      </c>
    </row>
    <row r="8" customFormat="false" ht="15" hidden="false" customHeight="false" outlineLevel="0" collapsed="false">
      <c r="A8" s="4" t="n">
        <v>138</v>
      </c>
      <c r="B8" s="4" t="n">
        <v>5</v>
      </c>
      <c r="C8" s="19" t="n">
        <v>0.02846</v>
      </c>
      <c r="D8" s="19" t="n">
        <v>4E-005</v>
      </c>
      <c r="E8" s="19" t="n">
        <v>8E-005</v>
      </c>
      <c r="F8" s="19" t="n">
        <v>0</v>
      </c>
      <c r="G8" s="19" t="n">
        <v>0.00035</v>
      </c>
      <c r="H8" s="19" t="n">
        <v>-2E-005</v>
      </c>
      <c r="I8" s="19" t="n">
        <v>0.02992</v>
      </c>
      <c r="J8" s="19" t="n">
        <v>0.00026</v>
      </c>
      <c r="K8" s="19" t="n">
        <v>0.00011</v>
      </c>
      <c r="L8" s="19" t="n">
        <v>0</v>
      </c>
      <c r="M8" s="19" t="n">
        <v>0.00034</v>
      </c>
      <c r="N8" s="11" t="n">
        <f aca="false">SQRT(C8^2+D8^2+E8^2)</f>
        <v>0.0284601405477907</v>
      </c>
      <c r="O8" s="11" t="n">
        <f aca="false">SQRT(I8^2+J8^2+K8^2)</f>
        <v>0.0299213318553837</v>
      </c>
      <c r="P8" s="11" t="n">
        <f aca="false">O8-N8</f>
        <v>0.00146119130759301</v>
      </c>
      <c r="Q8" s="12" t="n">
        <f aca="false">IF(N8&lt;0.001,"-",O8/N8-1)</f>
        <v>0.0513416757425833</v>
      </c>
      <c r="R8" s="19" t="n">
        <v>-2E-005</v>
      </c>
      <c r="S8" s="4"/>
      <c r="T8" s="4" t="str">
        <f aca="false">IF(N8&gt;=0.01,"SÍ","no")</f>
        <v>SÍ</v>
      </c>
      <c r="U8" s="11" t="n">
        <f aca="false">ABS(C8)</f>
        <v>0.02846</v>
      </c>
      <c r="V8" s="11" t="n">
        <f aca="false">ABS(I8)</f>
        <v>0.02992</v>
      </c>
      <c r="W8" s="11" t="n">
        <f aca="false">ABS(D8)</f>
        <v>4E-005</v>
      </c>
      <c r="X8" s="11" t="n">
        <f aca="false">ABS(J8)</f>
        <v>0.00026</v>
      </c>
      <c r="Y8" s="11" t="n">
        <f aca="false">ABS(E8)</f>
        <v>8E-005</v>
      </c>
      <c r="Z8" s="11" t="n">
        <f aca="false">ABS(K8)</f>
        <v>0.00011</v>
      </c>
    </row>
    <row r="9" customFormat="false" ht="15" hidden="false" customHeight="false" outlineLevel="0" collapsed="false">
      <c r="A9" s="4" t="n">
        <v>139</v>
      </c>
      <c r="B9" s="4" t="n">
        <v>6</v>
      </c>
      <c r="C9" s="19" t="n">
        <v>0.043</v>
      </c>
      <c r="D9" s="19" t="n">
        <v>0.00021</v>
      </c>
      <c r="E9" s="19" t="n">
        <v>0.0006</v>
      </c>
      <c r="F9" s="19" t="n">
        <v>0</v>
      </c>
      <c r="G9" s="19" t="n">
        <v>0.00031</v>
      </c>
      <c r="H9" s="19" t="n">
        <v>-7E-005</v>
      </c>
      <c r="I9" s="19" t="n">
        <v>0.0442</v>
      </c>
      <c r="J9" s="19" t="n">
        <v>0.00045</v>
      </c>
      <c r="K9" s="19" t="n">
        <v>0.00051</v>
      </c>
      <c r="L9" s="19" t="n">
        <v>-1E-005</v>
      </c>
      <c r="M9" s="19" t="n">
        <v>0.00032</v>
      </c>
      <c r="N9" s="11" t="n">
        <f aca="false">SQRT(C9^2+D9^2+E9^2)</f>
        <v>0.043004698580504</v>
      </c>
      <c r="O9" s="11" t="n">
        <f aca="false">SQRT(I9^2+J9^2+K9^2)</f>
        <v>0.0442052327219301</v>
      </c>
      <c r="P9" s="11" t="n">
        <f aca="false">O9-N9</f>
        <v>0.00120053414142614</v>
      </c>
      <c r="Q9" s="12" t="n">
        <f aca="false">IF(N9&lt;0.001,"-",O9/N9-1)</f>
        <v>0.0279163482375948</v>
      </c>
      <c r="R9" s="19" t="n">
        <v>-7E-005</v>
      </c>
      <c r="S9" s="4"/>
      <c r="T9" s="4" t="str">
        <f aca="false">IF(N9&gt;=0.01,"SÍ","no")</f>
        <v>SÍ</v>
      </c>
      <c r="U9" s="11" t="n">
        <f aca="false">ABS(C9)</f>
        <v>0.043</v>
      </c>
      <c r="V9" s="11" t="n">
        <f aca="false">ABS(I9)</f>
        <v>0.0442</v>
      </c>
      <c r="W9" s="11" t="n">
        <f aca="false">ABS(D9)</f>
        <v>0.00021</v>
      </c>
      <c r="X9" s="11" t="n">
        <f aca="false">ABS(J9)</f>
        <v>0.00045</v>
      </c>
      <c r="Y9" s="11" t="n">
        <f aca="false">ABS(E9)</f>
        <v>0.0006</v>
      </c>
      <c r="Z9" s="11" t="n">
        <f aca="false">ABS(K9)</f>
        <v>0.00051</v>
      </c>
    </row>
    <row r="10" customFormat="false" ht="15" hidden="false" customHeight="false" outlineLevel="0" collapsed="false">
      <c r="A10" s="4" t="n">
        <v>140</v>
      </c>
      <c r="B10" s="4" t="n">
        <v>7</v>
      </c>
      <c r="C10" s="19" t="n">
        <v>0.03694</v>
      </c>
      <c r="D10" s="19" t="n">
        <v>-5E-005</v>
      </c>
      <c r="E10" s="19" t="n">
        <v>7E-005</v>
      </c>
      <c r="F10" s="19" t="n">
        <v>0</v>
      </c>
      <c r="G10" s="19" t="n">
        <v>0.00024</v>
      </c>
      <c r="H10" s="19" t="n">
        <v>0</v>
      </c>
      <c r="I10" s="19" t="n">
        <v>0.03834</v>
      </c>
      <c r="J10" s="19" t="n">
        <v>0.00017</v>
      </c>
      <c r="K10" s="19" t="n">
        <v>0.00011</v>
      </c>
      <c r="L10" s="19" t="n">
        <v>1E-005</v>
      </c>
      <c r="M10" s="19" t="n">
        <v>0.00024</v>
      </c>
      <c r="N10" s="11" t="n">
        <f aca="false">SQRT(C10^2+D10^2+E10^2)</f>
        <v>0.0369401001622898</v>
      </c>
      <c r="O10" s="11" t="n">
        <f aca="false">SQRT(I10^2+J10^2+K10^2)</f>
        <v>0.0383405346858909</v>
      </c>
      <c r="P10" s="11" t="n">
        <f aca="false">O10-N10</f>
        <v>0.0014004345236011</v>
      </c>
      <c r="Q10" s="12" t="n">
        <f aca="false">IF(N10&lt;0.001,"-",O10/N10-1)</f>
        <v>0.0379109563170792</v>
      </c>
      <c r="R10" s="19" t="n">
        <v>0</v>
      </c>
      <c r="S10" s="4"/>
      <c r="T10" s="4" t="str">
        <f aca="false">IF(N10&gt;=0.01,"SÍ","no")</f>
        <v>SÍ</v>
      </c>
      <c r="U10" s="11" t="n">
        <f aca="false">ABS(C10)</f>
        <v>0.03694</v>
      </c>
      <c r="V10" s="11" t="n">
        <f aca="false">ABS(I10)</f>
        <v>0.03834</v>
      </c>
      <c r="W10" s="11" t="n">
        <f aca="false">ABS(D10)</f>
        <v>5E-005</v>
      </c>
      <c r="X10" s="11" t="n">
        <f aca="false">ABS(J10)</f>
        <v>0.00017</v>
      </c>
      <c r="Y10" s="11" t="n">
        <f aca="false">ABS(E10)</f>
        <v>7E-005</v>
      </c>
      <c r="Z10" s="11" t="n">
        <f aca="false">ABS(K10)</f>
        <v>0.00011</v>
      </c>
    </row>
    <row r="11" customFormat="false" ht="15" hidden="false" customHeight="false" outlineLevel="0" collapsed="false">
      <c r="A11" s="4" t="n">
        <v>141</v>
      </c>
      <c r="B11" s="4" t="n">
        <v>8</v>
      </c>
      <c r="C11" s="19" t="n">
        <v>0.05015</v>
      </c>
      <c r="D11" s="19" t="n">
        <v>0.00061</v>
      </c>
      <c r="E11" s="19" t="n">
        <v>0.00058</v>
      </c>
      <c r="F11" s="19" t="n">
        <v>-1E-005</v>
      </c>
      <c r="G11" s="19" t="n">
        <v>0.00021</v>
      </c>
      <c r="H11" s="19" t="n">
        <v>-9E-005</v>
      </c>
      <c r="I11" s="19" t="n">
        <v>0.05144</v>
      </c>
      <c r="J11" s="19" t="n">
        <v>0.0009</v>
      </c>
      <c r="K11" s="19" t="n">
        <v>0.00049</v>
      </c>
      <c r="L11" s="19" t="n">
        <v>-1E-005</v>
      </c>
      <c r="M11" s="19" t="n">
        <v>0.0002</v>
      </c>
      <c r="N11" s="11" t="n">
        <f aca="false">SQRT(C11^2+D11^2+E11^2)</f>
        <v>0.0501570633111629</v>
      </c>
      <c r="O11" s="11" t="n">
        <f aca="false">SQRT(I11^2+J11^2+K11^2)</f>
        <v>0.0514502060248548</v>
      </c>
      <c r="P11" s="11" t="n">
        <f aca="false">O11-N11</f>
        <v>0.00129314271369189</v>
      </c>
      <c r="Q11" s="12" t="n">
        <f aca="false">IF(N11&lt;0.001,"-",O11/N11-1)</f>
        <v>0.0257818665672176</v>
      </c>
      <c r="R11" s="19" t="n">
        <v>-9E-005</v>
      </c>
      <c r="S11" s="4"/>
      <c r="T11" s="4" t="str">
        <f aca="false">IF(N11&gt;=0.01,"SÍ","no")</f>
        <v>SÍ</v>
      </c>
      <c r="U11" s="11" t="n">
        <f aca="false">ABS(C11)</f>
        <v>0.05015</v>
      </c>
      <c r="V11" s="11" t="n">
        <f aca="false">ABS(I11)</f>
        <v>0.05144</v>
      </c>
      <c r="W11" s="11" t="n">
        <f aca="false">ABS(D11)</f>
        <v>0.00061</v>
      </c>
      <c r="X11" s="11" t="n">
        <f aca="false">ABS(J11)</f>
        <v>0.0009</v>
      </c>
      <c r="Y11" s="11" t="n">
        <f aca="false">ABS(E11)</f>
        <v>0.00058</v>
      </c>
      <c r="Z11" s="11" t="n">
        <f aca="false">ABS(K11)</f>
        <v>0.00049</v>
      </c>
    </row>
    <row r="12" customFormat="false" ht="15" hidden="false" customHeight="false" outlineLevel="0" collapsed="false">
      <c r="A12" s="4" t="n">
        <v>142</v>
      </c>
      <c r="B12" s="4" t="n">
        <v>9</v>
      </c>
      <c r="C12" s="19" t="n">
        <v>0.03649</v>
      </c>
      <c r="D12" s="19" t="n">
        <v>-0.00031</v>
      </c>
      <c r="E12" s="19" t="n">
        <v>7E-005</v>
      </c>
      <c r="F12" s="19" t="n">
        <v>0</v>
      </c>
      <c r="G12" s="19" t="n">
        <v>-0.00023</v>
      </c>
      <c r="H12" s="19" t="n">
        <v>0</v>
      </c>
      <c r="I12" s="19" t="n">
        <v>0.03771</v>
      </c>
      <c r="J12" s="19" t="n">
        <v>-0.00038</v>
      </c>
      <c r="K12" s="19" t="n">
        <v>0.00011</v>
      </c>
      <c r="L12" s="19" t="n">
        <v>0</v>
      </c>
      <c r="M12" s="19" t="n">
        <v>-0.00022</v>
      </c>
      <c r="N12" s="11" t="n">
        <f aca="false">SQRT(C12^2+D12^2+E12^2)</f>
        <v>0.0364913839145626</v>
      </c>
      <c r="O12" s="11" t="n">
        <f aca="false">SQRT(I12^2+J12^2+K12^2)</f>
        <v>0.0377120749893187</v>
      </c>
      <c r="P12" s="11" t="n">
        <f aca="false">O12-N12</f>
        <v>0.00122069107475611</v>
      </c>
      <c r="Q12" s="12" t="n">
        <f aca="false">IF(N12&lt;0.001,"-",O12/N12-1)</f>
        <v>0.0334514875515304</v>
      </c>
      <c r="R12" s="19" t="n">
        <v>0</v>
      </c>
      <c r="S12" s="4"/>
      <c r="T12" s="4" t="str">
        <f aca="false">IF(N12&gt;=0.01,"SÍ","no")</f>
        <v>SÍ</v>
      </c>
      <c r="U12" s="11" t="n">
        <f aca="false">ABS(C12)</f>
        <v>0.03649</v>
      </c>
      <c r="V12" s="11" t="n">
        <f aca="false">ABS(I12)</f>
        <v>0.03771</v>
      </c>
      <c r="W12" s="11" t="n">
        <f aca="false">ABS(D12)</f>
        <v>0.00031</v>
      </c>
      <c r="X12" s="11" t="n">
        <f aca="false">ABS(J12)</f>
        <v>0.00038</v>
      </c>
      <c r="Y12" s="11" t="n">
        <f aca="false">ABS(E12)</f>
        <v>7E-005</v>
      </c>
      <c r="Z12" s="11" t="n">
        <f aca="false">ABS(K12)</f>
        <v>0.00011</v>
      </c>
    </row>
    <row r="13" customFormat="false" ht="15" hidden="false" customHeight="false" outlineLevel="0" collapsed="false">
      <c r="A13" s="4" t="n">
        <v>143</v>
      </c>
      <c r="B13" s="4" t="n">
        <v>10</v>
      </c>
      <c r="C13" s="19" t="n">
        <v>0.05075</v>
      </c>
      <c r="D13" s="19" t="n">
        <v>-6E-005</v>
      </c>
      <c r="E13" s="19" t="n">
        <v>0.00061</v>
      </c>
      <c r="F13" s="19" t="n">
        <v>0</v>
      </c>
      <c r="G13" s="19" t="n">
        <v>-0.00022</v>
      </c>
      <c r="H13" s="19" t="n">
        <v>-0.0001</v>
      </c>
      <c r="I13" s="19" t="n">
        <v>0.05233</v>
      </c>
      <c r="J13" s="19" t="n">
        <v>-0.00022</v>
      </c>
      <c r="K13" s="19" t="n">
        <v>0.00057</v>
      </c>
      <c r="L13" s="19" t="n">
        <v>0</v>
      </c>
      <c r="M13" s="19" t="n">
        <v>-0.00021</v>
      </c>
      <c r="N13" s="11" t="n">
        <f aca="false">SQRT(C13^2+D13^2+E13^2)</f>
        <v>0.0507537013428577</v>
      </c>
      <c r="O13" s="11" t="n">
        <f aca="false">SQRT(I13^2+J13^2+K13^2)</f>
        <v>0.0523335666661465</v>
      </c>
      <c r="P13" s="11" t="n">
        <f aca="false">O13-N13</f>
        <v>0.00157986532328876</v>
      </c>
      <c r="Q13" s="12" t="n">
        <f aca="false">IF(N13&lt;0.001,"-",O13/N13-1)</f>
        <v>0.0311280809377086</v>
      </c>
      <c r="R13" s="19" t="n">
        <v>-0.0001</v>
      </c>
      <c r="S13" s="4"/>
      <c r="T13" s="4" t="str">
        <f aca="false">IF(N13&gt;=0.01,"SÍ","no")</f>
        <v>SÍ</v>
      </c>
      <c r="U13" s="11" t="n">
        <f aca="false">ABS(C13)</f>
        <v>0.05075</v>
      </c>
      <c r="V13" s="11" t="n">
        <f aca="false">ABS(I13)</f>
        <v>0.05233</v>
      </c>
      <c r="W13" s="11" t="n">
        <f aca="false">ABS(D13)</f>
        <v>6E-005</v>
      </c>
      <c r="X13" s="11" t="n">
        <f aca="false">ABS(J13)</f>
        <v>0.00022</v>
      </c>
      <c r="Y13" s="11" t="n">
        <f aca="false">ABS(E13)</f>
        <v>0.00061</v>
      </c>
      <c r="Z13" s="11" t="n">
        <f aca="false">ABS(K13)</f>
        <v>0.00057</v>
      </c>
    </row>
    <row r="14" customFormat="false" ht="15" hidden="false" customHeight="false" outlineLevel="0" collapsed="false">
      <c r="A14" s="4" t="n">
        <v>144</v>
      </c>
      <c r="B14" s="4" t="n">
        <v>11</v>
      </c>
      <c r="C14" s="19" t="n">
        <v>0.02862</v>
      </c>
      <c r="D14" s="19" t="n">
        <v>-0.00035</v>
      </c>
      <c r="E14" s="19" t="n">
        <v>7E-005</v>
      </c>
      <c r="F14" s="19" t="n">
        <v>0</v>
      </c>
      <c r="G14" s="19" t="n">
        <v>-0.00033</v>
      </c>
      <c r="H14" s="19" t="n">
        <v>-2E-005</v>
      </c>
      <c r="I14" s="19" t="n">
        <v>0.03004</v>
      </c>
      <c r="J14" s="19" t="n">
        <v>-0.00046</v>
      </c>
      <c r="K14" s="19" t="n">
        <v>0.00011</v>
      </c>
      <c r="L14" s="19" t="n">
        <v>0</v>
      </c>
      <c r="M14" s="19" t="n">
        <v>-0.00032</v>
      </c>
      <c r="N14" s="11" t="n">
        <f aca="false">SQRT(C14^2+D14^2+E14^2)</f>
        <v>0.0286222256297445</v>
      </c>
      <c r="O14" s="11" t="n">
        <f aca="false">SQRT(I14^2+J14^2+K14^2)</f>
        <v>0.0300437231381199</v>
      </c>
      <c r="P14" s="11" t="n">
        <f aca="false">O14-N14</f>
        <v>0.00142149750837543</v>
      </c>
      <c r="Q14" s="12" t="n">
        <f aca="false">IF(N14&lt;0.001,"-",O14/N14-1)</f>
        <v>0.0496641151098398</v>
      </c>
      <c r="R14" s="19" t="n">
        <v>-2E-005</v>
      </c>
      <c r="S14" s="4"/>
      <c r="T14" s="4" t="str">
        <f aca="false">IF(N14&gt;=0.01,"SÍ","no")</f>
        <v>SÍ</v>
      </c>
      <c r="U14" s="11" t="n">
        <f aca="false">ABS(C14)</f>
        <v>0.02862</v>
      </c>
      <c r="V14" s="11" t="n">
        <f aca="false">ABS(I14)</f>
        <v>0.03004</v>
      </c>
      <c r="W14" s="11" t="n">
        <f aca="false">ABS(D14)</f>
        <v>0.00035</v>
      </c>
      <c r="X14" s="11" t="n">
        <f aca="false">ABS(J14)</f>
        <v>0.00046</v>
      </c>
      <c r="Y14" s="11" t="n">
        <f aca="false">ABS(E14)</f>
        <v>7E-005</v>
      </c>
      <c r="Z14" s="11" t="n">
        <f aca="false">ABS(K14)</f>
        <v>0.00011</v>
      </c>
    </row>
    <row r="15" customFormat="false" ht="15" hidden="false" customHeight="false" outlineLevel="0" collapsed="false">
      <c r="A15" s="4" t="n">
        <v>145</v>
      </c>
      <c r="B15" s="4" t="n">
        <v>12</v>
      </c>
      <c r="C15" s="19" t="n">
        <v>0.04306</v>
      </c>
      <c r="D15" s="19" t="n">
        <v>0.00024</v>
      </c>
      <c r="E15" s="19" t="n">
        <v>0.00065</v>
      </c>
      <c r="F15" s="19" t="n">
        <v>0</v>
      </c>
      <c r="G15" s="19" t="n">
        <v>-0.00032</v>
      </c>
      <c r="H15" s="19" t="n">
        <v>-8E-005</v>
      </c>
      <c r="I15" s="19" t="n">
        <v>0.04441</v>
      </c>
      <c r="J15" s="19" t="n">
        <v>8E-005</v>
      </c>
      <c r="K15" s="19" t="n">
        <v>0.00056</v>
      </c>
      <c r="L15" s="19" t="n">
        <v>-1E-005</v>
      </c>
      <c r="M15" s="19" t="n">
        <v>-0.00034</v>
      </c>
      <c r="N15" s="11" t="n">
        <f aca="false">SQRT(C15^2+D15^2+E15^2)</f>
        <v>0.0430655744185539</v>
      </c>
      <c r="O15" s="11" t="n">
        <f aca="false">SQRT(I15^2+J15^2+K15^2)</f>
        <v>0.0444136026460363</v>
      </c>
      <c r="P15" s="11" t="n">
        <f aca="false">O15-N15</f>
        <v>0.00134802822748242</v>
      </c>
      <c r="Q15" s="12" t="n">
        <f aca="false">IF(N15&lt;0.001,"-",O15/N15-1)</f>
        <v>0.0313017589033167</v>
      </c>
      <c r="R15" s="19" t="n">
        <v>-7E-005</v>
      </c>
      <c r="S15" s="4"/>
      <c r="T15" s="4" t="str">
        <f aca="false">IF(N15&gt;=0.01,"SÍ","no")</f>
        <v>SÍ</v>
      </c>
      <c r="U15" s="11" t="n">
        <f aca="false">ABS(C15)</f>
        <v>0.04306</v>
      </c>
      <c r="V15" s="11" t="n">
        <f aca="false">ABS(I15)</f>
        <v>0.04441</v>
      </c>
      <c r="W15" s="11" t="n">
        <f aca="false">ABS(D15)</f>
        <v>0.00024</v>
      </c>
      <c r="X15" s="11" t="n">
        <f aca="false">ABS(J15)</f>
        <v>8E-005</v>
      </c>
      <c r="Y15" s="11" t="n">
        <f aca="false">ABS(E15)</f>
        <v>0.00065</v>
      </c>
      <c r="Z15" s="11" t="n">
        <f aca="false">ABS(K15)</f>
        <v>0.00056</v>
      </c>
    </row>
    <row r="16" customFormat="false" ht="15" hidden="false" customHeight="false" outlineLevel="0" collapsed="false">
      <c r="A16" s="4" t="n">
        <v>146</v>
      </c>
      <c r="B16" s="4" t="n">
        <v>13</v>
      </c>
      <c r="C16" s="19" t="n">
        <v>0.00755</v>
      </c>
      <c r="D16" s="19" t="n">
        <v>0.00034</v>
      </c>
      <c r="E16" s="19" t="n">
        <v>7E-005</v>
      </c>
      <c r="F16" s="19" t="n">
        <v>0</v>
      </c>
      <c r="G16" s="19" t="n">
        <v>-0.0003</v>
      </c>
      <c r="H16" s="19" t="n">
        <v>-7E-005</v>
      </c>
      <c r="I16" s="19" t="n">
        <v>0.00806</v>
      </c>
      <c r="J16" s="19" t="n">
        <v>0.00032</v>
      </c>
      <c r="K16" s="19" t="n">
        <v>0.00011</v>
      </c>
      <c r="L16" s="19" t="n">
        <v>0</v>
      </c>
      <c r="M16" s="19" t="n">
        <v>-0.00033</v>
      </c>
      <c r="N16" s="11" t="n">
        <f aca="false">SQRT(C16^2+D16^2+E16^2)</f>
        <v>0.00755797591951708</v>
      </c>
      <c r="O16" s="11" t="n">
        <f aca="false">SQRT(I16^2+J16^2+K16^2)</f>
        <v>0.00806709985062786</v>
      </c>
      <c r="P16" s="11" t="n">
        <f aca="false">O16-N16</f>
        <v>0.000509123931110781</v>
      </c>
      <c r="Q16" s="12" t="n">
        <f aca="false">IF(N16&lt;0.001,"-",O16/N16-1)</f>
        <v>0.0673624706577938</v>
      </c>
      <c r="R16" s="19" t="n">
        <v>-7E-005</v>
      </c>
      <c r="S16" s="4"/>
      <c r="T16" s="4" t="str">
        <f aca="false">IF(N16&gt;=0.01,"SÍ","no")</f>
        <v>no</v>
      </c>
      <c r="U16" s="11" t="n">
        <f aca="false">ABS(C16)</f>
        <v>0.00755</v>
      </c>
      <c r="V16" s="11" t="n">
        <f aca="false">ABS(I16)</f>
        <v>0.00806</v>
      </c>
      <c r="W16" s="11" t="n">
        <f aca="false">ABS(D16)</f>
        <v>0.00034</v>
      </c>
      <c r="X16" s="11" t="n">
        <f aca="false">ABS(J16)</f>
        <v>0.00032</v>
      </c>
      <c r="Y16" s="11" t="n">
        <f aca="false">ABS(E16)</f>
        <v>7E-005</v>
      </c>
      <c r="Z16" s="11" t="n">
        <f aca="false">ABS(K16)</f>
        <v>0.00011</v>
      </c>
    </row>
    <row r="17" customFormat="false" ht="15" hidden="false" customHeight="false" outlineLevel="0" collapsed="false">
      <c r="A17" s="4" t="n">
        <v>147</v>
      </c>
      <c r="B17" s="4" t="n">
        <v>14</v>
      </c>
      <c r="C17" s="19" t="n">
        <v>0.02006</v>
      </c>
      <c r="D17" s="19" t="n">
        <v>1E-005</v>
      </c>
      <c r="E17" s="19" t="n">
        <v>0.00042</v>
      </c>
      <c r="F17" s="19" t="n">
        <v>-2E-005</v>
      </c>
      <c r="G17" s="19" t="n">
        <v>-0.00032</v>
      </c>
      <c r="H17" s="19" t="n">
        <v>-1E-005</v>
      </c>
      <c r="I17" s="19" t="n">
        <v>0.02197</v>
      </c>
      <c r="J17" s="19" t="n">
        <v>-5E-005</v>
      </c>
      <c r="K17" s="19" t="n">
        <v>0.00021</v>
      </c>
      <c r="L17" s="19" t="n">
        <v>-4E-005</v>
      </c>
      <c r="M17" s="19" t="n">
        <v>-0.00029</v>
      </c>
      <c r="N17" s="11" t="n">
        <f aca="false">SQRT(C17^2+D17^2+E17^2)</f>
        <v>0.0200643988198002</v>
      </c>
      <c r="O17" s="11" t="n">
        <f aca="false">SQRT(I17^2+J17^2+K17^2)</f>
        <v>0.0219710605115001</v>
      </c>
      <c r="P17" s="11" t="n">
        <f aca="false">O17-N17</f>
        <v>0.00190666169169992</v>
      </c>
      <c r="Q17" s="12" t="n">
        <f aca="false">IF(N17&lt;0.001,"-",O17/N17-1)</f>
        <v>0.095027102921138</v>
      </c>
      <c r="R17" s="19" t="n">
        <v>-2E-005</v>
      </c>
      <c r="S17" s="4"/>
      <c r="T17" s="4" t="str">
        <f aca="false">IF(N17&gt;=0.01,"SÍ","no")</f>
        <v>SÍ</v>
      </c>
      <c r="U17" s="11" t="n">
        <f aca="false">ABS(C17)</f>
        <v>0.02006</v>
      </c>
      <c r="V17" s="11" t="n">
        <f aca="false">ABS(I17)</f>
        <v>0.02197</v>
      </c>
      <c r="W17" s="11" t="n">
        <f aca="false">ABS(D17)</f>
        <v>1E-005</v>
      </c>
      <c r="X17" s="11" t="n">
        <f aca="false">ABS(J17)</f>
        <v>5E-005</v>
      </c>
      <c r="Y17" s="11" t="n">
        <f aca="false">ABS(E17)</f>
        <v>0.00042</v>
      </c>
      <c r="Z17" s="11" t="n">
        <f aca="false">ABS(K17)</f>
        <v>0.00021</v>
      </c>
    </row>
    <row r="18" customFormat="false" ht="15" hidden="false" customHeight="false" outlineLevel="0" collapsed="false">
      <c r="A18" s="4" t="n">
        <v>148</v>
      </c>
      <c r="B18" s="4" t="n">
        <v>15</v>
      </c>
      <c r="C18" s="19" t="n">
        <v>0.00176</v>
      </c>
      <c r="D18" s="19" t="n">
        <v>0</v>
      </c>
      <c r="E18" s="19" t="n">
        <v>7E-005</v>
      </c>
      <c r="F18" s="19" t="n">
        <v>0</v>
      </c>
      <c r="G18" s="19" t="n">
        <v>-1E-005</v>
      </c>
      <c r="H18" s="19" t="n">
        <v>-2E-005</v>
      </c>
      <c r="I18" s="19" t="n">
        <v>0.00175</v>
      </c>
      <c r="J18" s="19" t="n">
        <v>0</v>
      </c>
      <c r="K18" s="19" t="n">
        <v>0.00011</v>
      </c>
      <c r="L18" s="19" t="n">
        <v>0</v>
      </c>
      <c r="M18" s="19" t="n">
        <v>-1E-005</v>
      </c>
      <c r="N18" s="11" t="n">
        <f aca="false">SQRT(C18^2+D18^2+E18^2)</f>
        <v>0.00176139149538085</v>
      </c>
      <c r="O18" s="11" t="n">
        <f aca="false">SQRT(I18^2+J18^2+K18^2)</f>
        <v>0.00175345373477603</v>
      </c>
      <c r="P18" s="11" t="n">
        <f aca="false">O18-N18</f>
        <v>-7.93776060482626E-006</v>
      </c>
      <c r="Q18" s="12" t="n">
        <f aca="false">IF(N18&lt;0.001,"-",O18/N18-1)</f>
        <v>-0.00450652829063991</v>
      </c>
      <c r="R18" s="19" t="n">
        <v>-2E-005</v>
      </c>
      <c r="S18" s="4"/>
      <c r="T18" s="4" t="str">
        <f aca="false">IF(N18&gt;=0.01,"SÍ","no")</f>
        <v>no</v>
      </c>
      <c r="U18" s="11" t="n">
        <f aca="false">ABS(C18)</f>
        <v>0.00176</v>
      </c>
      <c r="V18" s="11" t="n">
        <f aca="false">ABS(I18)</f>
        <v>0.00175</v>
      </c>
      <c r="W18" s="11" t="n">
        <f aca="false">ABS(D18)</f>
        <v>0</v>
      </c>
      <c r="X18" s="11" t="n">
        <f aca="false">ABS(J18)</f>
        <v>0</v>
      </c>
      <c r="Y18" s="11" t="n">
        <f aca="false">ABS(E18)</f>
        <v>7E-005</v>
      </c>
      <c r="Z18" s="11" t="n">
        <f aca="false">ABS(K18)</f>
        <v>0.00011</v>
      </c>
    </row>
    <row r="19" customFormat="false" ht="15" hidden="false" customHeight="false" outlineLevel="0" collapsed="false">
      <c r="A19" s="4" t="n">
        <v>149</v>
      </c>
      <c r="B19" s="4" t="n">
        <v>16</v>
      </c>
      <c r="C19" s="19" t="n">
        <v>0.01267</v>
      </c>
      <c r="D19" s="19" t="n">
        <v>0.00114</v>
      </c>
      <c r="E19" s="19" t="n">
        <v>0.00025</v>
      </c>
      <c r="F19" s="19" t="n">
        <v>-4E-005</v>
      </c>
      <c r="G19" s="19" t="n">
        <v>-0.00025</v>
      </c>
      <c r="H19" s="19" t="n">
        <v>-2E-005</v>
      </c>
      <c r="I19" s="19" t="n">
        <v>0.01478</v>
      </c>
      <c r="J19" s="19" t="n">
        <v>0.00151</v>
      </c>
      <c r="K19" s="19" t="n">
        <v>-5E-005</v>
      </c>
      <c r="L19" s="19" t="n">
        <v>-6E-005</v>
      </c>
      <c r="M19" s="19" t="n">
        <v>-0.00027</v>
      </c>
      <c r="N19" s="11" t="n">
        <f aca="false">SQRT(C19^2+D19^2+E19^2)</f>
        <v>0.0127236394164563</v>
      </c>
      <c r="O19" s="11" t="n">
        <f aca="false">SQRT(I19^2+J19^2+K19^2)</f>
        <v>0.014857018543436</v>
      </c>
      <c r="P19" s="11" t="n">
        <f aca="false">O19-N19</f>
        <v>0.00213337912697968</v>
      </c>
      <c r="Q19" s="12" t="n">
        <f aca="false">IF(N19&lt;0.001,"-",O19/N19-1)</f>
        <v>0.167670511333451</v>
      </c>
      <c r="R19" s="19" t="n">
        <v>-3E-005</v>
      </c>
      <c r="S19" s="4"/>
      <c r="T19" s="4" t="str">
        <f aca="false">IF(N19&gt;=0.01,"SÍ","no")</f>
        <v>SÍ</v>
      </c>
      <c r="U19" s="11" t="n">
        <f aca="false">ABS(C19)</f>
        <v>0.01267</v>
      </c>
      <c r="V19" s="11" t="n">
        <f aca="false">ABS(I19)</f>
        <v>0.01478</v>
      </c>
      <c r="W19" s="11" t="n">
        <f aca="false">ABS(D19)</f>
        <v>0.00114</v>
      </c>
      <c r="X19" s="11" t="n">
        <f aca="false">ABS(J19)</f>
        <v>0.00151</v>
      </c>
      <c r="Y19" s="11" t="n">
        <f aca="false">ABS(E19)</f>
        <v>0.00025</v>
      </c>
      <c r="Z19" s="11" t="n">
        <f aca="false">ABS(K19)</f>
        <v>5E-005</v>
      </c>
    </row>
    <row r="20" customFormat="false" ht="15" hidden="false" customHeight="false" outlineLevel="0" collapsed="false">
      <c r="A20" s="4" t="n">
        <v>150</v>
      </c>
      <c r="B20" s="4" t="n">
        <v>17</v>
      </c>
      <c r="C20" s="19" t="n">
        <v>0.01237</v>
      </c>
      <c r="D20" s="19" t="n">
        <v>-0.00113</v>
      </c>
      <c r="E20" s="19" t="n">
        <v>0.00065</v>
      </c>
      <c r="F20" s="19" t="n">
        <v>-4E-005</v>
      </c>
      <c r="G20" s="19" t="n">
        <v>0.00025</v>
      </c>
      <c r="H20" s="19" t="n">
        <v>-2E-005</v>
      </c>
      <c r="I20" s="19" t="n">
        <v>0.01439</v>
      </c>
      <c r="J20" s="19" t="n">
        <v>-0.00148</v>
      </c>
      <c r="K20" s="19" t="n">
        <v>0.00061</v>
      </c>
      <c r="L20" s="19" t="n">
        <v>-7E-005</v>
      </c>
      <c r="M20" s="19" t="n">
        <v>0.00027</v>
      </c>
      <c r="N20" s="11" t="n">
        <f aca="false">SQRT(C20^2+D20^2+E20^2)</f>
        <v>0.0124385007135105</v>
      </c>
      <c r="O20" s="11" t="n">
        <f aca="false">SQRT(I20^2+J20^2+K20^2)</f>
        <v>0.0144787637593822</v>
      </c>
      <c r="P20" s="11" t="n">
        <f aca="false">O20-N20</f>
        <v>0.00204026304587177</v>
      </c>
      <c r="Q20" s="12" t="n">
        <f aca="false">IF(N20&lt;0.001,"-",O20/N20-1)</f>
        <v>0.164028052324319</v>
      </c>
      <c r="R20" s="19" t="n">
        <v>-3E-005</v>
      </c>
      <c r="S20" s="4"/>
      <c r="T20" s="4" t="str">
        <f aca="false">IF(N20&gt;=0.01,"SÍ","no")</f>
        <v>SÍ</v>
      </c>
      <c r="U20" s="11" t="n">
        <f aca="false">ABS(C20)</f>
        <v>0.01237</v>
      </c>
      <c r="V20" s="11" t="n">
        <f aca="false">ABS(I20)</f>
        <v>0.01439</v>
      </c>
      <c r="W20" s="11" t="n">
        <f aca="false">ABS(D20)</f>
        <v>0.00113</v>
      </c>
      <c r="X20" s="11" t="n">
        <f aca="false">ABS(J20)</f>
        <v>0.00148</v>
      </c>
      <c r="Y20" s="11" t="n">
        <f aca="false">ABS(E20)</f>
        <v>0.00065</v>
      </c>
      <c r="Z20" s="11" t="n">
        <f aca="false">ABS(K20)</f>
        <v>0.00061</v>
      </c>
    </row>
    <row r="21" customFormat="false" ht="15" hidden="false" customHeight="false" outlineLevel="0" collapsed="false">
      <c r="A21" s="4" t="n">
        <v>151</v>
      </c>
      <c r="B21" s="4" t="n">
        <v>18</v>
      </c>
      <c r="C21" s="19" t="n">
        <v>0.01241</v>
      </c>
      <c r="D21" s="19" t="n">
        <v>0.00114</v>
      </c>
      <c r="E21" s="19" t="n">
        <v>0.00065</v>
      </c>
      <c r="F21" s="19" t="n">
        <v>-4E-005</v>
      </c>
      <c r="G21" s="19" t="n">
        <v>-0.00025</v>
      </c>
      <c r="H21" s="19" t="n">
        <v>-2E-005</v>
      </c>
      <c r="I21" s="19" t="n">
        <v>0.01444</v>
      </c>
      <c r="J21" s="19" t="n">
        <v>0.00151</v>
      </c>
      <c r="K21" s="19" t="n">
        <v>0.00062</v>
      </c>
      <c r="L21" s="19" t="n">
        <v>-6E-005</v>
      </c>
      <c r="M21" s="19" t="n">
        <v>-0.00027</v>
      </c>
      <c r="N21" s="11" t="n">
        <f aca="false">SQRT(C21^2+D21^2+E21^2)</f>
        <v>0.0124791906788862</v>
      </c>
      <c r="O21" s="11" t="n">
        <f aca="false">SQRT(I21^2+J21^2+K21^2)</f>
        <v>0.0145319682080577</v>
      </c>
      <c r="P21" s="11" t="n">
        <f aca="false">O21-N21</f>
        <v>0.00205277752917152</v>
      </c>
      <c r="Q21" s="12" t="n">
        <f aca="false">IF(N21&lt;0.001,"-",O21/N21-1)</f>
        <v>0.16449604641787</v>
      </c>
      <c r="R21" s="19" t="n">
        <v>-3E-005</v>
      </c>
      <c r="S21" s="4"/>
      <c r="T21" s="4" t="str">
        <f aca="false">IF(N21&gt;=0.01,"SÍ","no")</f>
        <v>SÍ</v>
      </c>
      <c r="U21" s="11" t="n">
        <f aca="false">ABS(C21)</f>
        <v>0.01241</v>
      </c>
      <c r="V21" s="11" t="n">
        <f aca="false">ABS(I21)</f>
        <v>0.01444</v>
      </c>
      <c r="W21" s="11" t="n">
        <f aca="false">ABS(D21)</f>
        <v>0.00114</v>
      </c>
      <c r="X21" s="11" t="n">
        <f aca="false">ABS(J21)</f>
        <v>0.00151</v>
      </c>
      <c r="Y21" s="11" t="n">
        <f aca="false">ABS(E21)</f>
        <v>0.00065</v>
      </c>
      <c r="Z21" s="11" t="n">
        <f aca="false">ABS(K21)</f>
        <v>0.00062</v>
      </c>
    </row>
    <row r="22" customFormat="false" ht="15" hidden="false" customHeight="false" outlineLevel="0" collapsed="false">
      <c r="A22" s="4" t="n">
        <v>152</v>
      </c>
      <c r="B22" s="4" t="n">
        <v>19</v>
      </c>
      <c r="C22" s="19" t="n">
        <v>0.00868</v>
      </c>
      <c r="D22" s="19" t="n">
        <v>-0.00055</v>
      </c>
      <c r="E22" s="19" t="n">
        <v>0.00114</v>
      </c>
      <c r="F22" s="19" t="n">
        <v>-1E-005</v>
      </c>
      <c r="G22" s="19" t="n">
        <v>0.00032</v>
      </c>
      <c r="H22" s="19" t="n">
        <v>-5E-005</v>
      </c>
      <c r="I22" s="19" t="n">
        <v>0.0096</v>
      </c>
      <c r="J22" s="19" t="n">
        <v>-0.00071</v>
      </c>
      <c r="K22" s="19" t="n">
        <v>0.00165</v>
      </c>
      <c r="L22" s="19" t="n">
        <v>-2E-005</v>
      </c>
      <c r="M22" s="19" t="n">
        <v>0.00032</v>
      </c>
      <c r="N22" s="11" t="n">
        <f aca="false">SQRT(C22^2+D22^2+E22^2)</f>
        <v>0.00877180141134078</v>
      </c>
      <c r="O22" s="11" t="n">
        <f aca="false">SQRT(I22^2+J22^2+K22^2)</f>
        <v>0.00976660637068987</v>
      </c>
      <c r="P22" s="11" t="n">
        <f aca="false">O22-N22</f>
        <v>0.000994804959349097</v>
      </c>
      <c r="Q22" s="12" t="n">
        <f aca="false">IF(N22&lt;0.001,"-",O22/N22-1)</f>
        <v>0.11340942557853</v>
      </c>
      <c r="R22" s="19" t="n">
        <v>-6E-005</v>
      </c>
      <c r="S22" s="4"/>
      <c r="T22" s="4" t="str">
        <f aca="false">IF(N22&gt;=0.01,"SÍ","no")</f>
        <v>no</v>
      </c>
      <c r="U22" s="11" t="n">
        <f aca="false">ABS(C22)</f>
        <v>0.00868</v>
      </c>
      <c r="V22" s="11" t="n">
        <f aca="false">ABS(I22)</f>
        <v>0.0096</v>
      </c>
      <c r="W22" s="11" t="n">
        <f aca="false">ABS(D22)</f>
        <v>0.00055</v>
      </c>
      <c r="X22" s="11" t="n">
        <f aca="false">ABS(J22)</f>
        <v>0.00071</v>
      </c>
      <c r="Y22" s="11" t="n">
        <f aca="false">ABS(E22)</f>
        <v>0.00114</v>
      </c>
      <c r="Z22" s="11" t="n">
        <f aca="false">ABS(K22)</f>
        <v>0.00165</v>
      </c>
    </row>
    <row r="23" customFormat="false" ht="15" hidden="false" customHeight="false" outlineLevel="0" collapsed="false">
      <c r="A23" s="4" t="n">
        <v>153</v>
      </c>
      <c r="B23" s="4" t="n">
        <v>20</v>
      </c>
      <c r="C23" s="19" t="n">
        <v>0.00866</v>
      </c>
      <c r="D23" s="19" t="n">
        <v>0.00056</v>
      </c>
      <c r="E23" s="19" t="n">
        <v>0.00113</v>
      </c>
      <c r="F23" s="19" t="n">
        <v>-1E-005</v>
      </c>
      <c r="G23" s="19" t="n">
        <v>-0.00032</v>
      </c>
      <c r="H23" s="19" t="n">
        <v>-5E-005</v>
      </c>
      <c r="I23" s="19" t="n">
        <v>0.00961</v>
      </c>
      <c r="J23" s="19" t="n">
        <v>0.00072</v>
      </c>
      <c r="K23" s="19" t="n">
        <v>0.00165</v>
      </c>
      <c r="L23" s="19" t="n">
        <v>-2E-005</v>
      </c>
      <c r="M23" s="19" t="n">
        <v>-0.00032</v>
      </c>
      <c r="N23" s="11" t="n">
        <f aca="false">SQRT(C23^2+D23^2+E23^2)</f>
        <v>0.00875134846752202</v>
      </c>
      <c r="O23" s="11" t="n">
        <f aca="false">SQRT(I23^2+J23^2+K23^2)</f>
        <v>0.00977716727892082</v>
      </c>
      <c r="P23" s="11" t="n">
        <f aca="false">O23-N23</f>
        <v>0.0010258188113988</v>
      </c>
      <c r="Q23" s="12" t="n">
        <f aca="false">IF(N23&lt;0.001,"-",O23/N23-1)</f>
        <v>0.117218370998003</v>
      </c>
      <c r="R23" s="19" t="n">
        <v>-6E-005</v>
      </c>
      <c r="S23" s="4"/>
      <c r="T23" s="4" t="str">
        <f aca="false">IF(N23&gt;=0.01,"SÍ","no")</f>
        <v>no</v>
      </c>
      <c r="U23" s="11" t="n">
        <f aca="false">ABS(C23)</f>
        <v>0.00866</v>
      </c>
      <c r="V23" s="11" t="n">
        <f aca="false">ABS(I23)</f>
        <v>0.00961</v>
      </c>
      <c r="W23" s="11" t="n">
        <f aca="false">ABS(D23)</f>
        <v>0.00056</v>
      </c>
      <c r="X23" s="11" t="n">
        <f aca="false">ABS(J23)</f>
        <v>0.00072</v>
      </c>
      <c r="Y23" s="11" t="n">
        <f aca="false">ABS(E23)</f>
        <v>0.00113</v>
      </c>
      <c r="Z23" s="11" t="n">
        <f aca="false">ABS(K23)</f>
        <v>0.00165</v>
      </c>
    </row>
    <row r="24" customFormat="false" ht="15" hidden="false" customHeight="false" outlineLevel="0" collapsed="false">
      <c r="A24" s="4" t="n">
        <v>154</v>
      </c>
      <c r="B24" s="4" t="n">
        <v>21</v>
      </c>
      <c r="C24" s="19" t="n">
        <v>0.00177</v>
      </c>
      <c r="D24" s="19" t="n">
        <v>0</v>
      </c>
      <c r="E24" s="19" t="n">
        <v>7E-005</v>
      </c>
      <c r="F24" s="19" t="n">
        <v>0</v>
      </c>
      <c r="G24" s="19" t="n">
        <v>1E-005</v>
      </c>
      <c r="H24" s="19" t="n">
        <v>-2E-005</v>
      </c>
      <c r="I24" s="19" t="n">
        <v>0.00176</v>
      </c>
      <c r="J24" s="19" t="n">
        <v>0</v>
      </c>
      <c r="K24" s="19" t="n">
        <v>0.00011</v>
      </c>
      <c r="L24" s="19" t="n">
        <v>0</v>
      </c>
      <c r="M24" s="19" t="n">
        <v>1E-005</v>
      </c>
      <c r="N24" s="11" t="n">
        <f aca="false">SQRT(C24^2+D24^2+E24^2)</f>
        <v>0.00177138363998316</v>
      </c>
      <c r="O24" s="11" t="n">
        <f aca="false">SQRT(I24^2+J24^2+K24^2)</f>
        <v>0.00176343414960695</v>
      </c>
      <c r="P24" s="11" t="n">
        <f aca="false">O24-N24</f>
        <v>-7.94949037620941E-006</v>
      </c>
      <c r="Q24" s="12" t="n">
        <f aca="false">IF(N24&lt;0.001,"-",O24/N24-1)</f>
        <v>-0.00448772936408337</v>
      </c>
      <c r="R24" s="19" t="n">
        <v>-2E-005</v>
      </c>
      <c r="S24" s="4"/>
      <c r="T24" s="4" t="str">
        <f aca="false">IF(N24&gt;=0.01,"SÍ","no")</f>
        <v>no</v>
      </c>
      <c r="U24" s="11" t="n">
        <f aca="false">ABS(C24)</f>
        <v>0.00177</v>
      </c>
      <c r="V24" s="11" t="n">
        <f aca="false">ABS(I24)</f>
        <v>0.00176</v>
      </c>
      <c r="W24" s="11" t="n">
        <f aca="false">ABS(D24)</f>
        <v>0</v>
      </c>
      <c r="X24" s="11" t="n">
        <f aca="false">ABS(J24)</f>
        <v>0</v>
      </c>
      <c r="Y24" s="11" t="n">
        <f aca="false">ABS(E24)</f>
        <v>7E-005</v>
      </c>
      <c r="Z24" s="11" t="n">
        <f aca="false">ABS(K24)</f>
        <v>0.00011</v>
      </c>
    </row>
    <row r="25" customFormat="false" ht="15" hidden="false" customHeight="false" outlineLevel="0" collapsed="false">
      <c r="A25" s="4" t="n">
        <v>155</v>
      </c>
      <c r="B25" s="4" t="n">
        <v>22</v>
      </c>
      <c r="C25" s="19" t="n">
        <v>0.01995</v>
      </c>
      <c r="D25" s="19" t="n">
        <v>0.00013</v>
      </c>
      <c r="E25" s="19" t="n">
        <v>0.00065</v>
      </c>
      <c r="F25" s="19" t="n">
        <v>-3E-005</v>
      </c>
      <c r="G25" s="19" t="n">
        <v>0.00032</v>
      </c>
      <c r="H25" s="19" t="n">
        <v>-1E-005</v>
      </c>
      <c r="I25" s="19" t="n">
        <v>0.02173</v>
      </c>
      <c r="J25" s="19" t="n">
        <v>0.00024</v>
      </c>
      <c r="K25" s="19" t="n">
        <v>0.00061</v>
      </c>
      <c r="L25" s="19" t="n">
        <v>-4E-005</v>
      </c>
      <c r="M25" s="19" t="n">
        <v>0.00029</v>
      </c>
      <c r="N25" s="11" t="n">
        <f aca="false">SQRT(C25^2+D25^2+E25^2)</f>
        <v>0.0199610094935101</v>
      </c>
      <c r="O25" s="11" t="n">
        <f aca="false">SQRT(I25^2+J25^2+K25^2)</f>
        <v>0.0217398850042957</v>
      </c>
      <c r="P25" s="11" t="n">
        <f aca="false">O25-N25</f>
        <v>0.00177887551078559</v>
      </c>
      <c r="Q25" s="12" t="n">
        <f aca="false">IF(N25&lt;0.001,"-",O25/N25-1)</f>
        <v>0.0891175123865329</v>
      </c>
      <c r="R25" s="19" t="n">
        <v>-2E-005</v>
      </c>
      <c r="S25" s="4"/>
      <c r="T25" s="4" t="str">
        <f aca="false">IF(N25&gt;=0.01,"SÍ","no")</f>
        <v>SÍ</v>
      </c>
      <c r="U25" s="11" t="n">
        <f aca="false">ABS(C25)</f>
        <v>0.01995</v>
      </c>
      <c r="V25" s="11" t="n">
        <f aca="false">ABS(I25)</f>
        <v>0.02173</v>
      </c>
      <c r="W25" s="11" t="n">
        <f aca="false">ABS(D25)</f>
        <v>0.00013</v>
      </c>
      <c r="X25" s="11" t="n">
        <f aca="false">ABS(J25)</f>
        <v>0.00024</v>
      </c>
      <c r="Y25" s="11" t="n">
        <f aca="false">ABS(E25)</f>
        <v>0.00065</v>
      </c>
      <c r="Z25" s="11" t="n">
        <f aca="false">ABS(K25)</f>
        <v>0.00061</v>
      </c>
    </row>
    <row r="26" customFormat="false" ht="15" hidden="false" customHeight="false" outlineLevel="0" collapsed="false">
      <c r="A26" s="4" t="n">
        <v>156</v>
      </c>
      <c r="B26" s="4" t="n">
        <v>23</v>
      </c>
      <c r="C26" s="19" t="n">
        <v>0.01748</v>
      </c>
      <c r="D26" s="19" t="n">
        <v>-0.00019</v>
      </c>
      <c r="E26" s="19" t="n">
        <v>0.00113</v>
      </c>
      <c r="F26" s="19" t="n">
        <v>-1E-005</v>
      </c>
      <c r="G26" s="19" t="n">
        <v>0.00031</v>
      </c>
      <c r="H26" s="19" t="n">
        <v>-5E-005</v>
      </c>
      <c r="I26" s="19" t="n">
        <v>0.01853</v>
      </c>
      <c r="J26" s="19" t="n">
        <v>-0.00016</v>
      </c>
      <c r="K26" s="19" t="n">
        <v>0.00165</v>
      </c>
      <c r="L26" s="19" t="n">
        <v>-2E-005</v>
      </c>
      <c r="M26" s="19" t="n">
        <v>0.00031</v>
      </c>
      <c r="N26" s="11" t="n">
        <f aca="false">SQRT(C26^2+D26^2+E26^2)</f>
        <v>0.0175175169473302</v>
      </c>
      <c r="O26" s="11" t="n">
        <f aca="false">SQRT(I26^2+J26^2+K26^2)</f>
        <v>0.0186040049451724</v>
      </c>
      <c r="P26" s="11" t="n">
        <f aca="false">O26-N26</f>
        <v>0.00108648799784225</v>
      </c>
      <c r="Q26" s="12" t="n">
        <f aca="false">IF(N26&lt;0.001,"-",O26/N26-1)</f>
        <v>0.0620229454384993</v>
      </c>
      <c r="R26" s="19" t="n">
        <v>-5E-005</v>
      </c>
      <c r="S26" s="4"/>
      <c r="T26" s="4" t="str">
        <f aca="false">IF(N26&gt;=0.01,"SÍ","no")</f>
        <v>SÍ</v>
      </c>
      <c r="U26" s="11" t="n">
        <f aca="false">ABS(C26)</f>
        <v>0.01748</v>
      </c>
      <c r="V26" s="11" t="n">
        <f aca="false">ABS(I26)</f>
        <v>0.01853</v>
      </c>
      <c r="W26" s="11" t="n">
        <f aca="false">ABS(D26)</f>
        <v>0.00019</v>
      </c>
      <c r="X26" s="11" t="n">
        <f aca="false">ABS(J26)</f>
        <v>0.00016</v>
      </c>
      <c r="Y26" s="11" t="n">
        <f aca="false">ABS(E26)</f>
        <v>0.00113</v>
      </c>
      <c r="Z26" s="11" t="n">
        <f aca="false">ABS(K26)</f>
        <v>0.00165</v>
      </c>
    </row>
    <row r="27" customFormat="false" ht="15" hidden="false" customHeight="false" outlineLevel="0" collapsed="false">
      <c r="A27" s="4" t="n">
        <v>157</v>
      </c>
      <c r="B27" s="4" t="n">
        <v>24</v>
      </c>
      <c r="C27" s="19" t="n">
        <v>0.04219</v>
      </c>
      <c r="D27" s="19" t="n">
        <v>0.00021</v>
      </c>
      <c r="E27" s="19" t="n">
        <v>0.00065</v>
      </c>
      <c r="F27" s="19" t="n">
        <v>0</v>
      </c>
      <c r="G27" s="19" t="n">
        <v>0.00031</v>
      </c>
      <c r="H27" s="19" t="n">
        <v>-7E-005</v>
      </c>
      <c r="I27" s="19" t="n">
        <v>0.04339</v>
      </c>
      <c r="J27" s="19" t="n">
        <v>0.00045</v>
      </c>
      <c r="K27" s="19" t="n">
        <v>0.00061</v>
      </c>
      <c r="L27" s="19" t="n">
        <v>-1E-005</v>
      </c>
      <c r="M27" s="19" t="n">
        <v>0.00032</v>
      </c>
      <c r="N27" s="11" t="n">
        <f aca="false">SQRT(C27^2+D27^2+E27^2)</f>
        <v>0.0421955293840473</v>
      </c>
      <c r="O27" s="11" t="n">
        <f aca="false">SQRT(I27^2+J27^2+K27^2)</f>
        <v>0.0433966208361895</v>
      </c>
      <c r="P27" s="11" t="n">
        <f aca="false">O27-N27</f>
        <v>0.00120109145214223</v>
      </c>
      <c r="Q27" s="12" t="n">
        <f aca="false">IF(N27&lt;0.001,"-",O27/N27-1)</f>
        <v>0.028464898288403</v>
      </c>
      <c r="R27" s="19" t="n">
        <v>-7E-005</v>
      </c>
      <c r="S27" s="4"/>
      <c r="T27" s="4" t="str">
        <f aca="false">IF(N27&gt;=0.01,"SÍ","no")</f>
        <v>SÍ</v>
      </c>
      <c r="U27" s="11" t="n">
        <f aca="false">ABS(C27)</f>
        <v>0.04219</v>
      </c>
      <c r="V27" s="11" t="n">
        <f aca="false">ABS(I27)</f>
        <v>0.04339</v>
      </c>
      <c r="W27" s="11" t="n">
        <f aca="false">ABS(D27)</f>
        <v>0.00021</v>
      </c>
      <c r="X27" s="11" t="n">
        <f aca="false">ABS(J27)</f>
        <v>0.00045</v>
      </c>
      <c r="Y27" s="11" t="n">
        <f aca="false">ABS(E27)</f>
        <v>0.00065</v>
      </c>
      <c r="Z27" s="11" t="n">
        <f aca="false">ABS(K27)</f>
        <v>0.00061</v>
      </c>
    </row>
    <row r="28" customFormat="false" ht="15" hidden="false" customHeight="false" outlineLevel="0" collapsed="false">
      <c r="A28" s="4" t="n">
        <v>158</v>
      </c>
      <c r="B28" s="4" t="n">
        <v>25</v>
      </c>
      <c r="C28" s="19" t="n">
        <v>0.03349</v>
      </c>
      <c r="D28" s="19" t="n">
        <v>0.00017</v>
      </c>
      <c r="E28" s="19" t="n">
        <v>0.00113</v>
      </c>
      <c r="F28" s="19" t="n">
        <v>0</v>
      </c>
      <c r="G28" s="19" t="n">
        <v>0.00023</v>
      </c>
      <c r="H28" s="19" t="n">
        <v>-6E-005</v>
      </c>
      <c r="I28" s="19" t="n">
        <v>0.03475</v>
      </c>
      <c r="J28" s="19" t="n">
        <v>0.0004</v>
      </c>
      <c r="K28" s="19" t="n">
        <v>0.00165</v>
      </c>
      <c r="L28" s="19" t="n">
        <v>-1E-005</v>
      </c>
      <c r="M28" s="19" t="n">
        <v>0.00023</v>
      </c>
      <c r="N28" s="11" t="n">
        <f aca="false">SQRT(C28^2+D28^2+E28^2)</f>
        <v>0.0335094897006803</v>
      </c>
      <c r="O28" s="11" t="n">
        <f aca="false">SQRT(I28^2+J28^2+K28^2)</f>
        <v>0.0347914500991264</v>
      </c>
      <c r="P28" s="11" t="n">
        <f aca="false">O28-N28</f>
        <v>0.00128196039844605</v>
      </c>
      <c r="Q28" s="12" t="n">
        <f aca="false">IF(N28&lt;0.001,"-",O28/N28-1)</f>
        <v>0.0382566374450049</v>
      </c>
      <c r="R28" s="19" t="n">
        <v>-6E-005</v>
      </c>
      <c r="S28" s="4"/>
      <c r="T28" s="4" t="str">
        <f aca="false">IF(N28&gt;=0.01,"SÍ","no")</f>
        <v>SÍ</v>
      </c>
      <c r="U28" s="11" t="n">
        <f aca="false">ABS(C28)</f>
        <v>0.03349</v>
      </c>
      <c r="V28" s="11" t="n">
        <f aca="false">ABS(I28)</f>
        <v>0.03475</v>
      </c>
      <c r="W28" s="11" t="n">
        <f aca="false">ABS(D28)</f>
        <v>0.00017</v>
      </c>
      <c r="X28" s="11" t="n">
        <f aca="false">ABS(J28)</f>
        <v>0.0004</v>
      </c>
      <c r="Y28" s="11" t="n">
        <f aca="false">ABS(E28)</f>
        <v>0.00113</v>
      </c>
      <c r="Z28" s="11" t="n">
        <f aca="false">ABS(K28)</f>
        <v>0.00165</v>
      </c>
    </row>
    <row r="29" customFormat="false" ht="15" hidden="false" customHeight="false" outlineLevel="0" collapsed="false">
      <c r="A29" s="4" t="n">
        <v>159</v>
      </c>
      <c r="B29" s="4" t="n">
        <v>26</v>
      </c>
      <c r="C29" s="19" t="n">
        <v>0.04912</v>
      </c>
      <c r="D29" s="19" t="n">
        <v>0.00061</v>
      </c>
      <c r="E29" s="19" t="n">
        <v>0.00065</v>
      </c>
      <c r="F29" s="19" t="n">
        <v>-1E-005</v>
      </c>
      <c r="G29" s="19" t="n">
        <v>0.00021</v>
      </c>
      <c r="H29" s="19" t="n">
        <v>-9E-005</v>
      </c>
      <c r="I29" s="19" t="n">
        <v>0.0504</v>
      </c>
      <c r="J29" s="19" t="n">
        <v>0.0009</v>
      </c>
      <c r="K29" s="19" t="n">
        <v>0.00061</v>
      </c>
      <c r="L29" s="19" t="n">
        <v>-1E-005</v>
      </c>
      <c r="M29" s="19" t="n">
        <v>0.0002</v>
      </c>
      <c r="N29" s="11" t="n">
        <f aca="false">SQRT(C29^2+D29^2+E29^2)</f>
        <v>0.0491280876892232</v>
      </c>
      <c r="O29" s="11" t="n">
        <f aca="false">SQRT(I29^2+J29^2+K29^2)</f>
        <v>0.0504117258185038</v>
      </c>
      <c r="P29" s="11" t="n">
        <f aca="false">O29-N29</f>
        <v>0.00128363812928062</v>
      </c>
      <c r="Q29" s="12" t="n">
        <f aca="false">IF(N29&lt;0.001,"-",O29/N29-1)</f>
        <v>0.0261283959880694</v>
      </c>
      <c r="R29" s="19" t="n">
        <v>-9E-005</v>
      </c>
      <c r="S29" s="4"/>
      <c r="T29" s="4" t="str">
        <f aca="false">IF(N29&gt;=0.01,"SÍ","no")</f>
        <v>SÍ</v>
      </c>
      <c r="U29" s="11" t="n">
        <f aca="false">ABS(C29)</f>
        <v>0.04912</v>
      </c>
      <c r="V29" s="11" t="n">
        <f aca="false">ABS(I29)</f>
        <v>0.0504</v>
      </c>
      <c r="W29" s="11" t="n">
        <f aca="false">ABS(D29)</f>
        <v>0.00061</v>
      </c>
      <c r="X29" s="11" t="n">
        <f aca="false">ABS(J29)</f>
        <v>0.0009</v>
      </c>
      <c r="Y29" s="11" t="n">
        <f aca="false">ABS(E29)</f>
        <v>0.00065</v>
      </c>
      <c r="Z29" s="11" t="n">
        <f aca="false">ABS(K29)</f>
        <v>0.00061</v>
      </c>
    </row>
    <row r="30" customFormat="false" ht="15" hidden="false" customHeight="false" outlineLevel="0" collapsed="false">
      <c r="A30" s="4" t="n">
        <v>160</v>
      </c>
      <c r="B30" s="4" t="n">
        <v>27</v>
      </c>
      <c r="C30" s="19" t="n">
        <v>0.03905</v>
      </c>
      <c r="D30" s="19" t="n">
        <v>0.00026</v>
      </c>
      <c r="E30" s="19" t="n">
        <v>0.00113</v>
      </c>
      <c r="F30" s="19" t="n">
        <v>0</v>
      </c>
      <c r="G30" s="19" t="n">
        <v>0.00016</v>
      </c>
      <c r="H30" s="19" t="n">
        <v>-5E-005</v>
      </c>
      <c r="I30" s="19" t="n">
        <v>0.04038</v>
      </c>
      <c r="J30" s="19" t="n">
        <v>0.0005</v>
      </c>
      <c r="K30" s="19" t="n">
        <v>0.00165</v>
      </c>
      <c r="L30" s="19" t="n">
        <v>0</v>
      </c>
      <c r="M30" s="19" t="n">
        <v>0.00016</v>
      </c>
      <c r="N30" s="11" t="n">
        <f aca="false">SQRT(C30^2+D30^2+E30^2)</f>
        <v>0.0390672113158848</v>
      </c>
      <c r="O30" s="11" t="n">
        <f aca="false">SQRT(I30^2+J30^2+K30^2)</f>
        <v>0.040416789827991</v>
      </c>
      <c r="P30" s="11" t="n">
        <f aca="false">O30-N30</f>
        <v>0.0013495785121062</v>
      </c>
      <c r="Q30" s="12" t="n">
        <f aca="false">IF(N30&lt;0.001,"-",O30/N30-1)</f>
        <v>0.0345450434430537</v>
      </c>
      <c r="R30" s="19" t="n">
        <v>-5E-005</v>
      </c>
      <c r="S30" s="4"/>
      <c r="T30" s="4" t="str">
        <f aca="false">IF(N30&gt;=0.01,"SÍ","no")</f>
        <v>SÍ</v>
      </c>
      <c r="U30" s="11" t="n">
        <f aca="false">ABS(C30)</f>
        <v>0.03905</v>
      </c>
      <c r="V30" s="11" t="n">
        <f aca="false">ABS(I30)</f>
        <v>0.04038</v>
      </c>
      <c r="W30" s="11" t="n">
        <f aca="false">ABS(D30)</f>
        <v>0.00026</v>
      </c>
      <c r="X30" s="11" t="n">
        <f aca="false">ABS(J30)</f>
        <v>0.0005</v>
      </c>
      <c r="Y30" s="11" t="n">
        <f aca="false">ABS(E30)</f>
        <v>0.00113</v>
      </c>
      <c r="Z30" s="11" t="n">
        <f aca="false">ABS(K30)</f>
        <v>0.00165</v>
      </c>
    </row>
    <row r="31" customFormat="false" ht="15" hidden="false" customHeight="false" outlineLevel="0" collapsed="false">
      <c r="A31" s="4" t="n">
        <v>161</v>
      </c>
      <c r="B31" s="4" t="n">
        <v>28</v>
      </c>
      <c r="C31" s="19" t="n">
        <v>0.0497</v>
      </c>
      <c r="D31" s="19" t="n">
        <v>-6E-005</v>
      </c>
      <c r="E31" s="19" t="n">
        <v>0.00065</v>
      </c>
      <c r="F31" s="19" t="n">
        <v>0</v>
      </c>
      <c r="G31" s="19" t="n">
        <v>-0.00022</v>
      </c>
      <c r="H31" s="19" t="n">
        <v>-0.0001</v>
      </c>
      <c r="I31" s="19" t="n">
        <v>0.05126</v>
      </c>
      <c r="J31" s="19" t="n">
        <v>-0.00022</v>
      </c>
      <c r="K31" s="19" t="n">
        <v>0.00061</v>
      </c>
      <c r="L31" s="19" t="n">
        <v>0</v>
      </c>
      <c r="M31" s="19" t="n">
        <v>-0.00021</v>
      </c>
      <c r="N31" s="11" t="n">
        <f aca="false">SQRT(C31^2+D31^2+E31^2)</f>
        <v>0.049704286535469</v>
      </c>
      <c r="O31" s="11" t="n">
        <f aca="false">SQRT(I31^2+J31^2+K31^2)</f>
        <v>0.0512641014746187</v>
      </c>
      <c r="P31" s="11" t="n">
        <f aca="false">O31-N31</f>
        <v>0.00155981493914972</v>
      </c>
      <c r="Q31" s="12" t="n">
        <f aca="false">IF(N31&lt;0.001,"-",O31/N31-1)</f>
        <v>0.031381899789199</v>
      </c>
      <c r="R31" s="19" t="n">
        <v>-0.0001</v>
      </c>
      <c r="S31" s="4"/>
      <c r="T31" s="4" t="str">
        <f aca="false">IF(N31&gt;=0.01,"SÍ","no")</f>
        <v>SÍ</v>
      </c>
      <c r="U31" s="11" t="n">
        <f aca="false">ABS(C31)</f>
        <v>0.0497</v>
      </c>
      <c r="V31" s="11" t="n">
        <f aca="false">ABS(I31)</f>
        <v>0.05126</v>
      </c>
      <c r="W31" s="11" t="n">
        <f aca="false">ABS(D31)</f>
        <v>6E-005</v>
      </c>
      <c r="X31" s="11" t="n">
        <f aca="false">ABS(J31)</f>
        <v>0.00022</v>
      </c>
      <c r="Y31" s="11" t="n">
        <f aca="false">ABS(E31)</f>
        <v>0.00065</v>
      </c>
      <c r="Z31" s="11" t="n">
        <f aca="false">ABS(K31)</f>
        <v>0.00061</v>
      </c>
    </row>
    <row r="32" customFormat="false" ht="15" hidden="false" customHeight="false" outlineLevel="0" collapsed="false">
      <c r="A32" s="4" t="n">
        <v>162</v>
      </c>
      <c r="B32" s="4" t="n">
        <v>29</v>
      </c>
      <c r="C32" s="19" t="n">
        <v>0.03908</v>
      </c>
      <c r="D32" s="19" t="n">
        <v>-0.00012</v>
      </c>
      <c r="E32" s="19" t="n">
        <v>0.00113</v>
      </c>
      <c r="F32" s="19" t="n">
        <v>0</v>
      </c>
      <c r="G32" s="19" t="n">
        <v>-0.00016</v>
      </c>
      <c r="H32" s="19" t="n">
        <v>-6E-005</v>
      </c>
      <c r="I32" s="19" t="n">
        <v>0.04047</v>
      </c>
      <c r="J32" s="19" t="n">
        <v>-0.00024</v>
      </c>
      <c r="K32" s="19" t="n">
        <v>0.00165</v>
      </c>
      <c r="L32" s="19" t="n">
        <v>0</v>
      </c>
      <c r="M32" s="19" t="n">
        <v>-0.00016</v>
      </c>
      <c r="N32" s="11" t="n">
        <f aca="false">SQRT(C32^2+D32^2+E32^2)</f>
        <v>0.0390965177477483</v>
      </c>
      <c r="O32" s="11" t="n">
        <f aca="false">SQRT(I32^2+J32^2+K32^2)</f>
        <v>0.0405043331015337</v>
      </c>
      <c r="P32" s="11" t="n">
        <f aca="false">O32-N32</f>
        <v>0.00140781535378539</v>
      </c>
      <c r="Q32" s="12" t="n">
        <f aca="false">IF(N32&lt;0.001,"-",O32/N32-1)</f>
        <v>0.0360087147113368</v>
      </c>
      <c r="R32" s="19" t="n">
        <v>-6E-005</v>
      </c>
      <c r="S32" s="4"/>
      <c r="T32" s="4" t="str">
        <f aca="false">IF(N32&gt;=0.01,"SÍ","no")</f>
        <v>SÍ</v>
      </c>
      <c r="U32" s="11" t="n">
        <f aca="false">ABS(C32)</f>
        <v>0.03908</v>
      </c>
      <c r="V32" s="11" t="n">
        <f aca="false">ABS(I32)</f>
        <v>0.04047</v>
      </c>
      <c r="W32" s="11" t="n">
        <f aca="false">ABS(D32)</f>
        <v>0.00012</v>
      </c>
      <c r="X32" s="11" t="n">
        <f aca="false">ABS(J32)</f>
        <v>0.00024</v>
      </c>
      <c r="Y32" s="11" t="n">
        <f aca="false">ABS(E32)</f>
        <v>0.00113</v>
      </c>
      <c r="Z32" s="11" t="n">
        <f aca="false">ABS(K32)</f>
        <v>0.00165</v>
      </c>
    </row>
    <row r="33" customFormat="false" ht="15" hidden="false" customHeight="false" outlineLevel="0" collapsed="false">
      <c r="A33" s="4" t="n">
        <v>163</v>
      </c>
      <c r="B33" s="4" t="n">
        <v>30</v>
      </c>
      <c r="C33" s="19" t="n">
        <v>0.04223</v>
      </c>
      <c r="D33" s="19" t="n">
        <v>0.00024</v>
      </c>
      <c r="E33" s="19" t="n">
        <v>0.00065</v>
      </c>
      <c r="F33" s="19" t="n">
        <v>0</v>
      </c>
      <c r="G33" s="19" t="n">
        <v>-0.00032</v>
      </c>
      <c r="H33" s="19" t="n">
        <v>-8E-005</v>
      </c>
      <c r="I33" s="19" t="n">
        <v>0.04358</v>
      </c>
      <c r="J33" s="19" t="n">
        <v>8E-005</v>
      </c>
      <c r="K33" s="19" t="n">
        <v>0.00061</v>
      </c>
      <c r="L33" s="19" t="n">
        <v>-1E-005</v>
      </c>
      <c r="M33" s="19" t="n">
        <v>-0.00034</v>
      </c>
      <c r="N33" s="11" t="n">
        <f aca="false">SQRT(C33^2+D33^2+E33^2)</f>
        <v>0.0422356839651023</v>
      </c>
      <c r="O33" s="11" t="n">
        <f aca="false">SQRT(I33^2+J33^2+K33^2)</f>
        <v>0.0435843423720033</v>
      </c>
      <c r="P33" s="11" t="n">
        <f aca="false">O33-N33</f>
        <v>0.00134865840690097</v>
      </c>
      <c r="Q33" s="12" t="n">
        <f aca="false">IF(N33&lt;0.001,"-",O33/N33-1)</f>
        <v>0.0319317288200025</v>
      </c>
      <c r="R33" s="19" t="n">
        <v>-7E-005</v>
      </c>
      <c r="S33" s="4"/>
      <c r="T33" s="4" t="str">
        <f aca="false">IF(N33&gt;=0.01,"SÍ","no")</f>
        <v>SÍ</v>
      </c>
      <c r="U33" s="11" t="n">
        <f aca="false">ABS(C33)</f>
        <v>0.04223</v>
      </c>
      <c r="V33" s="11" t="n">
        <f aca="false">ABS(I33)</f>
        <v>0.04358</v>
      </c>
      <c r="W33" s="11" t="n">
        <f aca="false">ABS(D33)</f>
        <v>0.00024</v>
      </c>
      <c r="X33" s="11" t="n">
        <f aca="false">ABS(J33)</f>
        <v>8E-005</v>
      </c>
      <c r="Y33" s="11" t="n">
        <f aca="false">ABS(E33)</f>
        <v>0.00065</v>
      </c>
      <c r="Z33" s="11" t="n">
        <f aca="false">ABS(K33)</f>
        <v>0.00061</v>
      </c>
    </row>
    <row r="34" customFormat="false" ht="15" hidden="false" customHeight="false" outlineLevel="0" collapsed="false">
      <c r="A34" s="4" t="n">
        <v>164</v>
      </c>
      <c r="B34" s="4" t="n">
        <v>31</v>
      </c>
      <c r="C34" s="19" t="n">
        <v>0.03353</v>
      </c>
      <c r="D34" s="19" t="n">
        <v>-6E-005</v>
      </c>
      <c r="E34" s="19" t="n">
        <v>0.00113</v>
      </c>
      <c r="F34" s="19" t="n">
        <v>0</v>
      </c>
      <c r="G34" s="19" t="n">
        <v>-0.00023</v>
      </c>
      <c r="H34" s="19" t="n">
        <v>-6E-005</v>
      </c>
      <c r="I34" s="19" t="n">
        <v>0.03485</v>
      </c>
      <c r="J34" s="19" t="n">
        <v>-0.0002</v>
      </c>
      <c r="K34" s="19" t="n">
        <v>0.00165</v>
      </c>
      <c r="L34" s="19" t="n">
        <v>0</v>
      </c>
      <c r="M34" s="19" t="n">
        <v>-0.00023</v>
      </c>
      <c r="N34" s="11" t="n">
        <f aca="false">SQRT(C34^2+D34^2+E34^2)</f>
        <v>0.0335490894064206</v>
      </c>
      <c r="O34" s="11" t="n">
        <f aca="false">SQRT(I34^2+J34^2+K34^2)</f>
        <v>0.0348896116344106</v>
      </c>
      <c r="P34" s="11" t="n">
        <f aca="false">O34-N34</f>
        <v>0.00134052222799005</v>
      </c>
      <c r="Q34" s="12" t="n">
        <f aca="false">IF(N34&lt;0.001,"-",O34/N34-1)</f>
        <v>0.0399570376337399</v>
      </c>
      <c r="R34" s="19" t="n">
        <v>-6E-005</v>
      </c>
      <c r="S34" s="4"/>
      <c r="T34" s="4" t="str">
        <f aca="false">IF(N34&gt;=0.01,"SÍ","no")</f>
        <v>SÍ</v>
      </c>
      <c r="U34" s="11" t="n">
        <f aca="false">ABS(C34)</f>
        <v>0.03353</v>
      </c>
      <c r="V34" s="11" t="n">
        <f aca="false">ABS(I34)</f>
        <v>0.03485</v>
      </c>
      <c r="W34" s="11" t="n">
        <f aca="false">ABS(D34)</f>
        <v>6E-005</v>
      </c>
      <c r="X34" s="11" t="n">
        <f aca="false">ABS(J34)</f>
        <v>0.0002</v>
      </c>
      <c r="Y34" s="11" t="n">
        <f aca="false">ABS(E34)</f>
        <v>0.00113</v>
      </c>
      <c r="Z34" s="11" t="n">
        <f aca="false">ABS(K34)</f>
        <v>0.00165</v>
      </c>
    </row>
    <row r="35" customFormat="false" ht="15" hidden="false" customHeight="false" outlineLevel="0" collapsed="false">
      <c r="A35" s="4" t="n">
        <v>165</v>
      </c>
      <c r="B35" s="4" t="n">
        <v>32</v>
      </c>
      <c r="C35" s="19" t="n">
        <v>0.01997</v>
      </c>
      <c r="D35" s="19" t="n">
        <v>1E-005</v>
      </c>
      <c r="E35" s="19" t="n">
        <v>0.00065</v>
      </c>
      <c r="F35" s="19" t="n">
        <v>-2E-005</v>
      </c>
      <c r="G35" s="19" t="n">
        <v>-0.00032</v>
      </c>
      <c r="H35" s="19" t="n">
        <v>-1E-005</v>
      </c>
      <c r="I35" s="19" t="n">
        <v>0.0218</v>
      </c>
      <c r="J35" s="19" t="n">
        <v>-5E-005</v>
      </c>
      <c r="K35" s="19" t="n">
        <v>0.00062</v>
      </c>
      <c r="L35" s="19" t="n">
        <v>-4E-005</v>
      </c>
      <c r="M35" s="19" t="n">
        <v>-0.00029</v>
      </c>
      <c r="N35" s="11" t="n">
        <f aca="false">SQRT(C35^2+D35^2+E35^2)</f>
        <v>0.0199805780697156</v>
      </c>
      <c r="O35" s="11" t="n">
        <f aca="false">SQRT(I35^2+J35^2+K35^2)</f>
        <v>0.0218088720478616</v>
      </c>
      <c r="P35" s="11" t="n">
        <f aca="false">O35-N35</f>
        <v>0.00182829397814602</v>
      </c>
      <c r="Q35" s="12" t="n">
        <f aca="false">IF(N35&lt;0.001,"-",O35/N35-1)</f>
        <v>0.0915035576932157</v>
      </c>
      <c r="R35" s="19" t="n">
        <v>-2E-005</v>
      </c>
      <c r="S35" s="4"/>
      <c r="T35" s="4" t="str">
        <f aca="false">IF(N35&gt;=0.01,"SÍ","no")</f>
        <v>SÍ</v>
      </c>
      <c r="U35" s="11" t="n">
        <f aca="false">ABS(C35)</f>
        <v>0.01997</v>
      </c>
      <c r="V35" s="11" t="n">
        <f aca="false">ABS(I35)</f>
        <v>0.0218</v>
      </c>
      <c r="W35" s="11" t="n">
        <f aca="false">ABS(D35)</f>
        <v>1E-005</v>
      </c>
      <c r="X35" s="11" t="n">
        <f aca="false">ABS(J35)</f>
        <v>5E-005</v>
      </c>
      <c r="Y35" s="11" t="n">
        <f aca="false">ABS(E35)</f>
        <v>0.00065</v>
      </c>
      <c r="Z35" s="11" t="n">
        <f aca="false">ABS(K35)</f>
        <v>0.00062</v>
      </c>
    </row>
    <row r="36" customFormat="false" ht="15" hidden="false" customHeight="false" outlineLevel="0" collapsed="false">
      <c r="A36" s="4" t="n">
        <v>166</v>
      </c>
      <c r="B36" s="4" t="n">
        <v>33</v>
      </c>
      <c r="C36" s="19" t="n">
        <v>0.01748</v>
      </c>
      <c r="D36" s="19" t="n">
        <v>0.00023</v>
      </c>
      <c r="E36" s="19" t="n">
        <v>0.00113</v>
      </c>
      <c r="F36" s="19" t="n">
        <v>-1E-005</v>
      </c>
      <c r="G36" s="19" t="n">
        <v>-0.00031</v>
      </c>
      <c r="H36" s="19" t="n">
        <v>-5E-005</v>
      </c>
      <c r="I36" s="19" t="n">
        <v>0.01857</v>
      </c>
      <c r="J36" s="19" t="n">
        <v>0.00023</v>
      </c>
      <c r="K36" s="19" t="n">
        <v>0.00165</v>
      </c>
      <c r="L36" s="19" t="n">
        <v>-1E-005</v>
      </c>
      <c r="M36" s="19" t="n">
        <v>-0.00031</v>
      </c>
      <c r="N36" s="11" t="n">
        <f aca="false">SQRT(C36^2+D36^2+E36^2)</f>
        <v>0.0175179964607828</v>
      </c>
      <c r="O36" s="11" t="n">
        <f aca="false">SQRT(I36^2+J36^2+K36^2)</f>
        <v>0.0186445783004068</v>
      </c>
      <c r="P36" s="11" t="n">
        <f aca="false">O36-N36</f>
        <v>0.00112658183962396</v>
      </c>
      <c r="Q36" s="12" t="n">
        <f aca="false">IF(N36&lt;0.001,"-",O36/N36-1)</f>
        <v>0.0643099707290165</v>
      </c>
      <c r="R36" s="19" t="n">
        <v>-5E-005</v>
      </c>
      <c r="S36" s="4"/>
      <c r="T36" s="4" t="str">
        <f aca="false">IF(N36&gt;=0.01,"SÍ","no")</f>
        <v>SÍ</v>
      </c>
      <c r="U36" s="11" t="n">
        <f aca="false">ABS(C36)</f>
        <v>0.01748</v>
      </c>
      <c r="V36" s="11" t="n">
        <f aca="false">ABS(I36)</f>
        <v>0.01857</v>
      </c>
      <c r="W36" s="11" t="n">
        <f aca="false">ABS(D36)</f>
        <v>0.00023</v>
      </c>
      <c r="X36" s="11" t="n">
        <f aca="false">ABS(J36)</f>
        <v>0.00023</v>
      </c>
      <c r="Y36" s="11" t="n">
        <f aca="false">ABS(E36)</f>
        <v>0.00113</v>
      </c>
      <c r="Z36" s="11" t="n">
        <f aca="false">ABS(K36)</f>
        <v>0.00165</v>
      </c>
    </row>
    <row r="37" customFormat="false" ht="15" hidden="false" customHeight="false" outlineLevel="0" collapsed="false">
      <c r="A37" s="4" t="n">
        <v>167</v>
      </c>
      <c r="B37" s="4" t="n">
        <v>34</v>
      </c>
      <c r="C37" s="19" t="n">
        <v>0.01133</v>
      </c>
      <c r="D37" s="19" t="n">
        <v>-0.00212</v>
      </c>
      <c r="E37" s="19" t="n">
        <v>0.00053</v>
      </c>
      <c r="F37" s="19" t="n">
        <v>0.00013</v>
      </c>
      <c r="G37" s="19" t="n">
        <v>0.00037</v>
      </c>
      <c r="H37" s="19" t="n">
        <v>-3E-005</v>
      </c>
      <c r="I37" s="19" t="n">
        <v>0.01309</v>
      </c>
      <c r="J37" s="19" t="n">
        <v>-0.00229</v>
      </c>
      <c r="K37" s="19" t="n">
        <v>4E-005</v>
      </c>
      <c r="L37" s="19" t="n">
        <v>0.00012</v>
      </c>
      <c r="M37" s="19" t="n">
        <v>0.0004</v>
      </c>
      <c r="N37" s="11" t="n">
        <f aca="false">SQRT(C37^2+D37^2+E37^2)</f>
        <v>0.0115388127638852</v>
      </c>
      <c r="O37" s="11" t="n">
        <f aca="false">SQRT(I37^2+J37^2+K37^2)</f>
        <v>0.0132888599962525</v>
      </c>
      <c r="P37" s="11" t="n">
        <f aca="false">O37-N37</f>
        <v>0.0017500472323673</v>
      </c>
      <c r="Q37" s="12" t="n">
        <f aca="false">IF(N37&lt;0.001,"-",O37/N37-1)</f>
        <v>0.151666143491356</v>
      </c>
      <c r="R37" s="19" t="n">
        <v>-3E-005</v>
      </c>
      <c r="S37" s="4"/>
      <c r="T37" s="4" t="str">
        <f aca="false">IF(N37&gt;=0.01,"SÍ","no")</f>
        <v>SÍ</v>
      </c>
      <c r="U37" s="11" t="n">
        <f aca="false">ABS(C37)</f>
        <v>0.01133</v>
      </c>
      <c r="V37" s="11" t="n">
        <f aca="false">ABS(I37)</f>
        <v>0.01309</v>
      </c>
      <c r="W37" s="11" t="n">
        <f aca="false">ABS(D37)</f>
        <v>0.00212</v>
      </c>
      <c r="X37" s="11" t="n">
        <f aca="false">ABS(J37)</f>
        <v>0.00229</v>
      </c>
      <c r="Y37" s="11" t="n">
        <f aca="false">ABS(E37)</f>
        <v>0.00053</v>
      </c>
      <c r="Z37" s="11" t="n">
        <f aca="false">ABS(K37)</f>
        <v>4E-005</v>
      </c>
    </row>
    <row r="38" customFormat="false" ht="15" hidden="false" customHeight="false" outlineLevel="0" collapsed="false">
      <c r="A38" s="4" t="n">
        <v>168</v>
      </c>
      <c r="B38" s="4" t="n">
        <v>35</v>
      </c>
      <c r="C38" s="19" t="n">
        <v>0.00548</v>
      </c>
      <c r="D38" s="19" t="n">
        <v>-0.00397</v>
      </c>
      <c r="E38" s="19" t="n">
        <v>0.00027</v>
      </c>
      <c r="F38" s="19" t="n">
        <v>0.00015</v>
      </c>
      <c r="G38" s="19" t="n">
        <v>0.0002</v>
      </c>
      <c r="H38" s="19" t="n">
        <v>-8E-005</v>
      </c>
      <c r="I38" s="19" t="n">
        <v>0.00575</v>
      </c>
      <c r="J38" s="19" t="n">
        <v>-0.00413</v>
      </c>
      <c r="K38" s="19" t="n">
        <v>0.00029</v>
      </c>
      <c r="L38" s="19" t="n">
        <v>0.00016</v>
      </c>
      <c r="M38" s="19" t="n">
        <v>0.00022</v>
      </c>
      <c r="N38" s="11" t="n">
        <f aca="false">SQRT(C38^2+D38^2+E38^2)</f>
        <v>0.00677231127459452</v>
      </c>
      <c r="O38" s="11" t="n">
        <f aca="false">SQRT(I38^2+J38^2+K38^2)</f>
        <v>0.00708544282314098</v>
      </c>
      <c r="P38" s="11" t="n">
        <f aca="false">O38-N38</f>
        <v>0.000313131548546464</v>
      </c>
      <c r="Q38" s="12" t="n">
        <f aca="false">IF(N38&lt;0.001,"-",O38/N38-1)</f>
        <v>0.0462370283718556</v>
      </c>
      <c r="R38" s="19" t="n">
        <v>-9E-005</v>
      </c>
      <c r="S38" s="4"/>
      <c r="T38" s="4" t="str">
        <f aca="false">IF(N38&gt;=0.01,"SÍ","no")</f>
        <v>no</v>
      </c>
      <c r="U38" s="11" t="n">
        <f aca="false">ABS(C38)</f>
        <v>0.00548</v>
      </c>
      <c r="V38" s="11" t="n">
        <f aca="false">ABS(I38)</f>
        <v>0.00575</v>
      </c>
      <c r="W38" s="11" t="n">
        <f aca="false">ABS(D38)</f>
        <v>0.00397</v>
      </c>
      <c r="X38" s="11" t="n">
        <f aca="false">ABS(J38)</f>
        <v>0.00413</v>
      </c>
      <c r="Y38" s="11" t="n">
        <f aca="false">ABS(E38)</f>
        <v>0.00027</v>
      </c>
      <c r="Z38" s="11" t="n">
        <f aca="false">ABS(K38)</f>
        <v>0.00029</v>
      </c>
    </row>
    <row r="39" customFormat="false" ht="15" hidden="false" customHeight="false" outlineLevel="0" collapsed="false">
      <c r="A39" s="4" t="n">
        <v>169</v>
      </c>
      <c r="B39" s="4" t="n">
        <v>36</v>
      </c>
      <c r="C39" s="19" t="n">
        <v>0.02245</v>
      </c>
      <c r="D39" s="19" t="n">
        <v>-0.0058</v>
      </c>
      <c r="E39" s="19" t="n">
        <v>0.00065</v>
      </c>
      <c r="F39" s="19" t="n">
        <v>0.00014</v>
      </c>
      <c r="G39" s="19" t="n">
        <v>0.00039</v>
      </c>
      <c r="H39" s="19" t="n">
        <v>-6E-005</v>
      </c>
      <c r="I39" s="19" t="n">
        <v>0.0246</v>
      </c>
      <c r="J39" s="19" t="n">
        <v>-0.00589</v>
      </c>
      <c r="K39" s="19" t="n">
        <v>0.00026</v>
      </c>
      <c r="L39" s="19" t="n">
        <v>0.00014</v>
      </c>
      <c r="M39" s="19" t="n">
        <v>0.00039</v>
      </c>
      <c r="N39" s="11" t="n">
        <f aca="false">SQRT(C39^2+D39^2+E39^2)</f>
        <v>0.0231962281416613</v>
      </c>
      <c r="O39" s="11" t="n">
        <f aca="false">SQRT(I39^2+J39^2+K39^2)</f>
        <v>0.0252966341634614</v>
      </c>
      <c r="P39" s="11" t="n">
        <f aca="false">O39-N39</f>
        <v>0.00210040602180004</v>
      </c>
      <c r="Q39" s="12" t="n">
        <f aca="false">IF(N39&lt;0.001,"-",O39/N39-1)</f>
        <v>0.0905494638599296</v>
      </c>
      <c r="R39" s="19" t="n">
        <v>-7E-005</v>
      </c>
      <c r="S39" s="4"/>
      <c r="T39" s="4" t="str">
        <f aca="false">IF(N39&gt;=0.01,"SÍ","no")</f>
        <v>SÍ</v>
      </c>
      <c r="U39" s="11" t="n">
        <f aca="false">ABS(C39)</f>
        <v>0.02245</v>
      </c>
      <c r="V39" s="11" t="n">
        <f aca="false">ABS(I39)</f>
        <v>0.0246</v>
      </c>
      <c r="W39" s="11" t="n">
        <f aca="false">ABS(D39)</f>
        <v>0.0058</v>
      </c>
      <c r="X39" s="11" t="n">
        <f aca="false">ABS(J39)</f>
        <v>0.00589</v>
      </c>
      <c r="Y39" s="11" t="n">
        <f aca="false">ABS(E39)</f>
        <v>0.00065</v>
      </c>
      <c r="Z39" s="11" t="n">
        <f aca="false">ABS(K39)</f>
        <v>0.00026</v>
      </c>
    </row>
    <row r="40" customFormat="false" ht="15" hidden="false" customHeight="false" outlineLevel="0" collapsed="false">
      <c r="A40" s="4" t="n">
        <v>170</v>
      </c>
      <c r="B40" s="4" t="n">
        <v>37</v>
      </c>
      <c r="C40" s="19" t="n">
        <v>0.01873</v>
      </c>
      <c r="D40" s="19" t="n">
        <v>-0.01446</v>
      </c>
      <c r="E40" s="19" t="n">
        <v>0.00016</v>
      </c>
      <c r="F40" s="19" t="n">
        <v>0.00016</v>
      </c>
      <c r="G40" s="19" t="n">
        <v>0.00023</v>
      </c>
      <c r="H40" s="19" t="n">
        <v>-0.0001</v>
      </c>
      <c r="I40" s="19" t="n">
        <v>0.01927</v>
      </c>
      <c r="J40" s="19" t="n">
        <v>-0.01473</v>
      </c>
      <c r="K40" s="19" t="n">
        <v>0.00018</v>
      </c>
      <c r="L40" s="19" t="n">
        <v>0.00016</v>
      </c>
      <c r="M40" s="19" t="n">
        <v>0.00023</v>
      </c>
      <c r="N40" s="11" t="n">
        <f aca="false">SQRT(C40^2+D40^2+E40^2)</f>
        <v>0.023662842179248</v>
      </c>
      <c r="O40" s="11" t="n">
        <f aca="false">SQRT(I40^2+J40^2+K40^2)</f>
        <v>0.0242556838699716</v>
      </c>
      <c r="P40" s="11" t="n">
        <f aca="false">O40-N40</f>
        <v>0.000592841690723552</v>
      </c>
      <c r="Q40" s="12" t="n">
        <f aca="false">IF(N40&lt;0.001,"-",O40/N40-1)</f>
        <v>0.0250536975327278</v>
      </c>
      <c r="R40" s="19" t="n">
        <v>-0.0001</v>
      </c>
      <c r="S40" s="4"/>
      <c r="T40" s="4" t="str">
        <f aca="false">IF(N40&gt;=0.01,"SÍ","no")</f>
        <v>SÍ</v>
      </c>
      <c r="U40" s="11" t="n">
        <f aca="false">ABS(C40)</f>
        <v>0.01873</v>
      </c>
      <c r="V40" s="11" t="n">
        <f aca="false">ABS(I40)</f>
        <v>0.01927</v>
      </c>
      <c r="W40" s="11" t="n">
        <f aca="false">ABS(D40)</f>
        <v>0.01446</v>
      </c>
      <c r="X40" s="11" t="n">
        <f aca="false">ABS(J40)</f>
        <v>0.01473</v>
      </c>
      <c r="Y40" s="11" t="n">
        <f aca="false">ABS(E40)</f>
        <v>0.00016</v>
      </c>
      <c r="Z40" s="11" t="n">
        <f aca="false">ABS(K40)</f>
        <v>0.00018</v>
      </c>
    </row>
    <row r="41" customFormat="false" ht="15" hidden="false" customHeight="false" outlineLevel="0" collapsed="false">
      <c r="A41" s="4" t="n">
        <v>171</v>
      </c>
      <c r="B41" s="4" t="n">
        <v>38</v>
      </c>
      <c r="C41" s="19" t="n">
        <v>0.0445</v>
      </c>
      <c r="D41" s="19" t="n">
        <v>-0.0142</v>
      </c>
      <c r="E41" s="19" t="n">
        <v>0.00047</v>
      </c>
      <c r="F41" s="19" t="n">
        <v>0.00012</v>
      </c>
      <c r="G41" s="19" t="n">
        <v>0.0003</v>
      </c>
      <c r="H41" s="19" t="n">
        <v>-0.00012</v>
      </c>
      <c r="I41" s="19" t="n">
        <v>0.04593</v>
      </c>
      <c r="J41" s="19" t="n">
        <v>-0.01448</v>
      </c>
      <c r="K41" s="19" t="n">
        <v>0.0001</v>
      </c>
      <c r="L41" s="19" t="n">
        <v>0.00012</v>
      </c>
      <c r="M41" s="19" t="n">
        <v>0.0003</v>
      </c>
      <c r="N41" s="11" t="n">
        <f aca="false">SQRT(C41^2+D41^2+E41^2)</f>
        <v>0.0467130699055414</v>
      </c>
      <c r="O41" s="11" t="n">
        <f aca="false">SQRT(I41^2+J41^2+K41^2)</f>
        <v>0.0481585433749818</v>
      </c>
      <c r="P41" s="11" t="n">
        <f aca="false">O41-N41</f>
        <v>0.00144547346944034</v>
      </c>
      <c r="Q41" s="12" t="n">
        <f aca="false">IF(N41&lt;0.001,"-",O41/N41-1)</f>
        <v>0.0309436624988089</v>
      </c>
      <c r="R41" s="19" t="n">
        <v>-0.00012</v>
      </c>
      <c r="S41" s="4"/>
      <c r="T41" s="4" t="str">
        <f aca="false">IF(N41&gt;=0.01,"SÍ","no")</f>
        <v>SÍ</v>
      </c>
      <c r="U41" s="11" t="n">
        <f aca="false">ABS(C41)</f>
        <v>0.0445</v>
      </c>
      <c r="V41" s="11" t="n">
        <f aca="false">ABS(I41)</f>
        <v>0.04593</v>
      </c>
      <c r="W41" s="11" t="n">
        <f aca="false">ABS(D41)</f>
        <v>0.0142</v>
      </c>
      <c r="X41" s="11" t="n">
        <f aca="false">ABS(J41)</f>
        <v>0.01448</v>
      </c>
      <c r="Y41" s="11" t="n">
        <f aca="false">ABS(E41)</f>
        <v>0.00047</v>
      </c>
      <c r="Z41" s="11" t="n">
        <f aca="false">ABS(K41)</f>
        <v>0.0001</v>
      </c>
    </row>
    <row r="42" customFormat="false" ht="15" hidden="false" customHeight="false" outlineLevel="0" collapsed="false">
      <c r="A42" s="4" t="n">
        <v>172</v>
      </c>
      <c r="B42" s="4" t="n">
        <v>39</v>
      </c>
      <c r="C42" s="19" t="n">
        <v>0.02476</v>
      </c>
      <c r="D42" s="19" t="n">
        <v>-0.01862</v>
      </c>
      <c r="E42" s="19" t="n">
        <v>0.00011</v>
      </c>
      <c r="F42" s="19" t="n">
        <v>0.00011</v>
      </c>
      <c r="G42" s="19" t="n">
        <v>0.00017</v>
      </c>
      <c r="H42" s="19" t="n">
        <v>-9E-005</v>
      </c>
      <c r="I42" s="19" t="n">
        <v>0.02523</v>
      </c>
      <c r="J42" s="19" t="n">
        <v>-0.01901</v>
      </c>
      <c r="K42" s="19" t="n">
        <v>0.00014</v>
      </c>
      <c r="L42" s="19" t="n">
        <v>0.00012</v>
      </c>
      <c r="M42" s="19" t="n">
        <v>0.00017</v>
      </c>
      <c r="N42" s="11" t="n">
        <f aca="false">SQRT(C42^2+D42^2+E42^2)</f>
        <v>0.0309802211096048</v>
      </c>
      <c r="O42" s="11" t="n">
        <f aca="false">SQRT(I42^2+J42^2+K42^2)</f>
        <v>0.0315903877785633</v>
      </c>
      <c r="P42" s="11" t="n">
        <f aca="false">O42-N42</f>
        <v>0.000610166668958519</v>
      </c>
      <c r="Q42" s="12" t="n">
        <f aca="false">IF(N42&lt;0.001,"-",O42/N42-1)</f>
        <v>0.0196953619794971</v>
      </c>
      <c r="R42" s="19" t="n">
        <v>-0.0001</v>
      </c>
      <c r="S42" s="4"/>
      <c r="T42" s="4" t="str">
        <f aca="false">IF(N42&gt;=0.01,"SÍ","no")</f>
        <v>SÍ</v>
      </c>
      <c r="U42" s="11" t="n">
        <f aca="false">ABS(C42)</f>
        <v>0.02476</v>
      </c>
      <c r="V42" s="11" t="n">
        <f aca="false">ABS(I42)</f>
        <v>0.02523</v>
      </c>
      <c r="W42" s="11" t="n">
        <f aca="false">ABS(D42)</f>
        <v>0.01862</v>
      </c>
      <c r="X42" s="11" t="n">
        <f aca="false">ABS(J42)</f>
        <v>0.01901</v>
      </c>
      <c r="Y42" s="11" t="n">
        <f aca="false">ABS(E42)</f>
        <v>0.00011</v>
      </c>
      <c r="Z42" s="11" t="n">
        <f aca="false">ABS(K42)</f>
        <v>0.00014</v>
      </c>
    </row>
    <row r="43" customFormat="false" ht="15" hidden="false" customHeight="false" outlineLevel="0" collapsed="false">
      <c r="A43" s="4" t="n">
        <v>173</v>
      </c>
      <c r="B43" s="4" t="n">
        <v>40</v>
      </c>
      <c r="C43" s="19" t="n">
        <v>0.05272</v>
      </c>
      <c r="D43" s="19" t="n">
        <v>-0.01714</v>
      </c>
      <c r="E43" s="19" t="n">
        <v>4E-005</v>
      </c>
      <c r="F43" s="19" t="n">
        <v>8E-005</v>
      </c>
      <c r="G43" s="19" t="n">
        <v>0.00026</v>
      </c>
      <c r="H43" s="19" t="n">
        <v>-0.00015</v>
      </c>
      <c r="I43" s="19" t="n">
        <v>0.0541</v>
      </c>
      <c r="J43" s="19" t="n">
        <v>-0.01744</v>
      </c>
      <c r="K43" s="19" t="n">
        <v>-0.00035</v>
      </c>
      <c r="L43" s="19" t="n">
        <v>8E-005</v>
      </c>
      <c r="M43" s="19" t="n">
        <v>0.00025</v>
      </c>
      <c r="N43" s="11" t="n">
        <f aca="false">SQRT(C43^2+D43^2+E43^2)</f>
        <v>0.0554362661080272</v>
      </c>
      <c r="O43" s="11" t="n">
        <f aca="false">SQRT(I43^2+J43^2+K43^2)</f>
        <v>0.0568426433234768</v>
      </c>
      <c r="P43" s="11" t="n">
        <f aca="false">O43-N43</f>
        <v>0.00140637721544963</v>
      </c>
      <c r="Q43" s="12" t="n">
        <f aca="false">IF(N43&lt;0.001,"-",O43/N43-1)</f>
        <v>0.0253692630147395</v>
      </c>
      <c r="R43" s="19" t="n">
        <v>-0.00016</v>
      </c>
      <c r="S43" s="4"/>
      <c r="T43" s="4" t="str">
        <f aca="false">IF(N43&gt;=0.01,"SÍ","no")</f>
        <v>SÍ</v>
      </c>
      <c r="U43" s="11" t="n">
        <f aca="false">ABS(C43)</f>
        <v>0.05272</v>
      </c>
      <c r="V43" s="11" t="n">
        <f aca="false">ABS(I43)</f>
        <v>0.0541</v>
      </c>
      <c r="W43" s="11" t="n">
        <f aca="false">ABS(D43)</f>
        <v>0.01714</v>
      </c>
      <c r="X43" s="11" t="n">
        <f aca="false">ABS(J43)</f>
        <v>0.01744</v>
      </c>
      <c r="Y43" s="11" t="n">
        <f aca="false">ABS(E43)</f>
        <v>4E-005</v>
      </c>
      <c r="Z43" s="11" t="n">
        <f aca="false">ABS(K43)</f>
        <v>0.00035</v>
      </c>
    </row>
    <row r="44" customFormat="false" ht="15" hidden="false" customHeight="false" outlineLevel="0" collapsed="false">
      <c r="A44" s="4" t="n">
        <v>174</v>
      </c>
      <c r="B44" s="4" t="n">
        <v>41</v>
      </c>
      <c r="C44" s="19" t="n">
        <v>0.02412</v>
      </c>
      <c r="D44" s="19" t="n">
        <v>-0.01838</v>
      </c>
      <c r="E44" s="19" t="n">
        <v>-5E-005</v>
      </c>
      <c r="F44" s="19" t="n">
        <v>-0.0001</v>
      </c>
      <c r="G44" s="19" t="n">
        <v>-0.00014</v>
      </c>
      <c r="H44" s="19" t="n">
        <v>-0.0001</v>
      </c>
      <c r="I44" s="19" t="n">
        <v>0.02433</v>
      </c>
      <c r="J44" s="19" t="n">
        <v>-0.0187</v>
      </c>
      <c r="K44" s="19" t="n">
        <v>-3E-005</v>
      </c>
      <c r="L44" s="19" t="n">
        <v>-0.00011</v>
      </c>
      <c r="M44" s="19" t="n">
        <v>-0.00013</v>
      </c>
      <c r="N44" s="11" t="n">
        <f aca="false">SQRT(C44^2+D44^2+E44^2)</f>
        <v>0.0303249286891165</v>
      </c>
      <c r="O44" s="11" t="n">
        <f aca="false">SQRT(I44^2+J44^2+K44^2)</f>
        <v>0.0306861499703042</v>
      </c>
      <c r="P44" s="11" t="n">
        <f aca="false">O44-N44</f>
        <v>0.00036122128118771</v>
      </c>
      <c r="Q44" s="12" t="n">
        <f aca="false">IF(N44&lt;0.001,"-",O44/N44-1)</f>
        <v>0.0119116943321074</v>
      </c>
      <c r="R44" s="19" t="n">
        <v>-0.00011</v>
      </c>
      <c r="S44" s="4"/>
      <c r="T44" s="4" t="str">
        <f aca="false">IF(N44&gt;=0.01,"SÍ","no")</f>
        <v>SÍ</v>
      </c>
      <c r="U44" s="11" t="n">
        <f aca="false">ABS(C44)</f>
        <v>0.02412</v>
      </c>
      <c r="V44" s="11" t="n">
        <f aca="false">ABS(I44)</f>
        <v>0.02433</v>
      </c>
      <c r="W44" s="11" t="n">
        <f aca="false">ABS(D44)</f>
        <v>0.01838</v>
      </c>
      <c r="X44" s="11" t="n">
        <f aca="false">ABS(J44)</f>
        <v>0.0187</v>
      </c>
      <c r="Y44" s="11" t="n">
        <f aca="false">ABS(E44)</f>
        <v>5E-005</v>
      </c>
      <c r="Z44" s="11" t="n">
        <f aca="false">ABS(K44)</f>
        <v>3E-005</v>
      </c>
    </row>
    <row r="45" customFormat="false" ht="15" hidden="false" customHeight="false" outlineLevel="0" collapsed="false">
      <c r="A45" s="4" t="n">
        <v>175</v>
      </c>
      <c r="B45" s="4" t="n">
        <v>42</v>
      </c>
      <c r="C45" s="19" t="n">
        <v>0.05283</v>
      </c>
      <c r="D45" s="19" t="n">
        <v>-0.01714</v>
      </c>
      <c r="E45" s="19" t="n">
        <v>-0.00169</v>
      </c>
      <c r="F45" s="19" t="n">
        <v>-8E-005</v>
      </c>
      <c r="G45" s="19" t="n">
        <v>-0.00026</v>
      </c>
      <c r="H45" s="19" t="n">
        <v>-0.00015</v>
      </c>
      <c r="I45" s="19" t="n">
        <v>0.05435</v>
      </c>
      <c r="J45" s="19" t="n">
        <v>-0.01749</v>
      </c>
      <c r="K45" s="19" t="n">
        <v>-0.00207</v>
      </c>
      <c r="L45" s="19" t="n">
        <v>-8E-005</v>
      </c>
      <c r="M45" s="19" t="n">
        <v>-0.00026</v>
      </c>
      <c r="N45" s="11" t="n">
        <f aca="false">SQRT(C45^2+D45^2+E45^2)</f>
        <v>0.0555665780843125</v>
      </c>
      <c r="O45" s="11" t="n">
        <f aca="false">SQRT(I45^2+J45^2+K45^2)</f>
        <v>0.057132368233778</v>
      </c>
      <c r="P45" s="11" t="n">
        <f aca="false">O45-N45</f>
        <v>0.00156579014946544</v>
      </c>
      <c r="Q45" s="12" t="n">
        <f aca="false">IF(N45&lt;0.001,"-",O45/N45-1)</f>
        <v>0.0281786318943309</v>
      </c>
      <c r="R45" s="19" t="n">
        <v>-0.00015</v>
      </c>
      <c r="S45" s="4"/>
      <c r="T45" s="4" t="str">
        <f aca="false">IF(N45&gt;=0.01,"SÍ","no")</f>
        <v>SÍ</v>
      </c>
      <c r="U45" s="11" t="n">
        <f aca="false">ABS(C45)</f>
        <v>0.05283</v>
      </c>
      <c r="V45" s="11" t="n">
        <f aca="false">ABS(I45)</f>
        <v>0.05435</v>
      </c>
      <c r="W45" s="11" t="n">
        <f aca="false">ABS(D45)</f>
        <v>0.01714</v>
      </c>
      <c r="X45" s="11" t="n">
        <f aca="false">ABS(J45)</f>
        <v>0.01749</v>
      </c>
      <c r="Y45" s="11" t="n">
        <f aca="false">ABS(E45)</f>
        <v>0.00169</v>
      </c>
      <c r="Z45" s="11" t="n">
        <f aca="false">ABS(K45)</f>
        <v>0.00207</v>
      </c>
    </row>
    <row r="46" customFormat="false" ht="15" hidden="false" customHeight="false" outlineLevel="0" collapsed="false">
      <c r="A46" s="4" t="n">
        <v>176</v>
      </c>
      <c r="B46" s="4" t="n">
        <v>43</v>
      </c>
      <c r="C46" s="19" t="n">
        <v>0.01934</v>
      </c>
      <c r="D46" s="19" t="n">
        <v>-0.01473</v>
      </c>
      <c r="E46" s="19" t="n">
        <v>-0.0001</v>
      </c>
      <c r="F46" s="19" t="n">
        <v>-0.00016</v>
      </c>
      <c r="G46" s="19" t="n">
        <v>-0.00022</v>
      </c>
      <c r="H46" s="19" t="n">
        <v>-9E-005</v>
      </c>
      <c r="I46" s="19" t="n">
        <v>0.01991</v>
      </c>
      <c r="J46" s="19" t="n">
        <v>-0.01507</v>
      </c>
      <c r="K46" s="19" t="n">
        <v>-7E-005</v>
      </c>
      <c r="L46" s="19" t="n">
        <v>-0.00015</v>
      </c>
      <c r="M46" s="19" t="n">
        <v>-0.0002</v>
      </c>
      <c r="N46" s="11" t="n">
        <f aca="false">SQRT(C46^2+D46^2+E46^2)</f>
        <v>0.0243108720534661</v>
      </c>
      <c r="O46" s="11" t="n">
        <f aca="false">SQRT(I46^2+J46^2+K46^2)</f>
        <v>0.0249703404061699</v>
      </c>
      <c r="P46" s="11" t="n">
        <f aca="false">O46-N46</f>
        <v>0.000659468352703758</v>
      </c>
      <c r="Q46" s="12" t="n">
        <f aca="false">IF(N46&lt;0.001,"-",O46/N46-1)</f>
        <v>0.0271264786904151</v>
      </c>
      <c r="R46" s="19" t="n">
        <v>-9E-005</v>
      </c>
      <c r="S46" s="4"/>
      <c r="T46" s="4" t="str">
        <f aca="false">IF(N46&gt;=0.01,"SÍ","no")</f>
        <v>SÍ</v>
      </c>
      <c r="U46" s="11" t="n">
        <f aca="false">ABS(C46)</f>
        <v>0.01934</v>
      </c>
      <c r="V46" s="11" t="n">
        <f aca="false">ABS(I46)</f>
        <v>0.01991</v>
      </c>
      <c r="W46" s="11" t="n">
        <f aca="false">ABS(D46)</f>
        <v>0.01473</v>
      </c>
      <c r="X46" s="11" t="n">
        <f aca="false">ABS(J46)</f>
        <v>0.01507</v>
      </c>
      <c r="Y46" s="11" t="n">
        <f aca="false">ABS(E46)</f>
        <v>0.0001</v>
      </c>
      <c r="Z46" s="11" t="n">
        <f aca="false">ABS(K46)</f>
        <v>7E-005</v>
      </c>
    </row>
    <row r="47" customFormat="false" ht="15" hidden="false" customHeight="false" outlineLevel="0" collapsed="false">
      <c r="A47" s="4" t="n">
        <v>177</v>
      </c>
      <c r="B47" s="4" t="n">
        <v>44</v>
      </c>
      <c r="C47" s="19" t="n">
        <v>0.04447</v>
      </c>
      <c r="D47" s="19" t="n">
        <v>-0.01425</v>
      </c>
      <c r="E47" s="19" t="n">
        <v>-0.00208</v>
      </c>
      <c r="F47" s="19" t="n">
        <v>-0.00012</v>
      </c>
      <c r="G47" s="19" t="n">
        <v>-0.00033</v>
      </c>
      <c r="H47" s="19" t="n">
        <v>-0.00013</v>
      </c>
      <c r="I47" s="19" t="n">
        <v>0.04588</v>
      </c>
      <c r="J47" s="19" t="n">
        <v>-0.01462</v>
      </c>
      <c r="K47" s="19" t="n">
        <v>-0.00249</v>
      </c>
      <c r="L47" s="19" t="n">
        <v>-0.00012</v>
      </c>
      <c r="M47" s="19" t="n">
        <v>-0.00033</v>
      </c>
      <c r="N47" s="11" t="n">
        <f aca="false">SQRT(C47^2+D47^2+E47^2)</f>
        <v>0.0467436605327396</v>
      </c>
      <c r="O47" s="11" t="n">
        <f aca="false">SQRT(I47^2+J47^2+K47^2)</f>
        <v>0.0482174128298066</v>
      </c>
      <c r="P47" s="11" t="n">
        <f aca="false">O47-N47</f>
        <v>0.00147375229706698</v>
      </c>
      <c r="Q47" s="12" t="n">
        <f aca="false">IF(N47&lt;0.001,"-",O47/N47-1)</f>
        <v>0.0315283886685502</v>
      </c>
      <c r="R47" s="19" t="n">
        <v>-0.00013</v>
      </c>
      <c r="S47" s="4"/>
      <c r="T47" s="4" t="str">
        <f aca="false">IF(N47&gt;=0.01,"SÍ","no")</f>
        <v>SÍ</v>
      </c>
      <c r="U47" s="11" t="n">
        <f aca="false">ABS(C47)</f>
        <v>0.04447</v>
      </c>
      <c r="V47" s="11" t="n">
        <f aca="false">ABS(I47)</f>
        <v>0.04588</v>
      </c>
      <c r="W47" s="11" t="n">
        <f aca="false">ABS(D47)</f>
        <v>0.01425</v>
      </c>
      <c r="X47" s="11" t="n">
        <f aca="false">ABS(J47)</f>
        <v>0.01462</v>
      </c>
      <c r="Y47" s="11" t="n">
        <f aca="false">ABS(E47)</f>
        <v>0.00208</v>
      </c>
      <c r="Z47" s="11" t="n">
        <f aca="false">ABS(K47)</f>
        <v>0.00249</v>
      </c>
    </row>
    <row r="48" customFormat="false" ht="15" hidden="false" customHeight="false" outlineLevel="0" collapsed="false">
      <c r="A48" s="4" t="n">
        <v>178</v>
      </c>
      <c r="B48" s="4" t="n">
        <v>45</v>
      </c>
      <c r="C48" s="19" t="n">
        <v>0.00481</v>
      </c>
      <c r="D48" s="19" t="n">
        <v>-0.00356</v>
      </c>
      <c r="E48" s="19" t="n">
        <v>-0.00021</v>
      </c>
      <c r="F48" s="19" t="n">
        <v>-0.00015</v>
      </c>
      <c r="G48" s="19" t="n">
        <v>-0.00019</v>
      </c>
      <c r="H48" s="19" t="n">
        <v>-9E-005</v>
      </c>
      <c r="I48" s="19" t="n">
        <v>0.00504</v>
      </c>
      <c r="J48" s="19" t="n">
        <v>-0.00371</v>
      </c>
      <c r="K48" s="19" t="n">
        <v>-0.00018</v>
      </c>
      <c r="L48" s="19" t="n">
        <v>-0.00016</v>
      </c>
      <c r="M48" s="19" t="n">
        <v>-0.0002</v>
      </c>
      <c r="N48" s="11" t="n">
        <f aca="false">SQRT(C48^2+D48^2+E48^2)</f>
        <v>0.00598780427201825</v>
      </c>
      <c r="O48" s="11" t="n">
        <f aca="false">SQRT(I48^2+J48^2+K48^2)</f>
        <v>0.00626083860197658</v>
      </c>
      <c r="P48" s="11" t="n">
        <f aca="false">O48-N48</f>
        <v>0.000273034329958326</v>
      </c>
      <c r="Q48" s="12" t="n">
        <f aca="false">IF(N48&lt;0.001,"-",O48/N48-1)</f>
        <v>0.0455984059522869</v>
      </c>
      <c r="R48" s="19" t="n">
        <v>-0.0001</v>
      </c>
      <c r="S48" s="4"/>
      <c r="T48" s="4" t="str">
        <f aca="false">IF(N48&gt;=0.01,"SÍ","no")</f>
        <v>no</v>
      </c>
      <c r="U48" s="11" t="n">
        <f aca="false">ABS(C48)</f>
        <v>0.00481</v>
      </c>
      <c r="V48" s="11" t="n">
        <f aca="false">ABS(I48)</f>
        <v>0.00504</v>
      </c>
      <c r="W48" s="11" t="n">
        <f aca="false">ABS(D48)</f>
        <v>0.00356</v>
      </c>
      <c r="X48" s="11" t="n">
        <f aca="false">ABS(J48)</f>
        <v>0.00371</v>
      </c>
      <c r="Y48" s="11" t="n">
        <f aca="false">ABS(E48)</f>
        <v>0.00021</v>
      </c>
      <c r="Z48" s="11" t="n">
        <f aca="false">ABS(K48)</f>
        <v>0.00018</v>
      </c>
    </row>
    <row r="49" customFormat="false" ht="15" hidden="false" customHeight="false" outlineLevel="0" collapsed="false">
      <c r="A49" s="4" t="n">
        <v>179</v>
      </c>
      <c r="B49" s="4" t="n">
        <v>46</v>
      </c>
      <c r="C49" s="19" t="n">
        <v>0.02155</v>
      </c>
      <c r="D49" s="19" t="n">
        <v>-0.00591</v>
      </c>
      <c r="E49" s="19" t="n">
        <v>-0.00255</v>
      </c>
      <c r="F49" s="19" t="n">
        <v>-0.00016</v>
      </c>
      <c r="G49" s="19" t="n">
        <v>-0.00034</v>
      </c>
      <c r="H49" s="19" t="n">
        <v>-4E-005</v>
      </c>
      <c r="I49" s="19" t="n">
        <v>0.02349</v>
      </c>
      <c r="J49" s="19" t="n">
        <v>-0.00603</v>
      </c>
      <c r="K49" s="19" t="n">
        <v>-0.00307</v>
      </c>
      <c r="L49" s="19" t="n">
        <v>-0.00017</v>
      </c>
      <c r="M49" s="19" t="n">
        <v>-0.0003</v>
      </c>
      <c r="N49" s="11" t="n">
        <f aca="false">SQRT(C49^2+D49^2+E49^2)</f>
        <v>0.022490733647438</v>
      </c>
      <c r="O49" s="11" t="n">
        <f aca="false">SQRT(I49^2+J49^2+K49^2)</f>
        <v>0.024445161075354</v>
      </c>
      <c r="P49" s="11" t="n">
        <f aca="false">O49-N49</f>
        <v>0.00195442742791595</v>
      </c>
      <c r="Q49" s="12" t="n">
        <f aca="false">IF(N49&lt;0.001,"-",O49/N49-1)</f>
        <v>0.0868992296362279</v>
      </c>
      <c r="R49" s="19" t="n">
        <v>-5E-005</v>
      </c>
      <c r="S49" s="4"/>
      <c r="T49" s="4" t="str">
        <f aca="false">IF(N49&gt;=0.01,"SÍ","no")</f>
        <v>SÍ</v>
      </c>
      <c r="U49" s="11" t="n">
        <f aca="false">ABS(C49)</f>
        <v>0.02155</v>
      </c>
      <c r="V49" s="11" t="n">
        <f aca="false">ABS(I49)</f>
        <v>0.02349</v>
      </c>
      <c r="W49" s="11" t="n">
        <f aca="false">ABS(D49)</f>
        <v>0.00591</v>
      </c>
      <c r="X49" s="11" t="n">
        <f aca="false">ABS(J49)</f>
        <v>0.00603</v>
      </c>
      <c r="Y49" s="11" t="n">
        <f aca="false">ABS(E49)</f>
        <v>0.00255</v>
      </c>
      <c r="Z49" s="11" t="n">
        <f aca="false">ABS(K49)</f>
        <v>0.00307</v>
      </c>
    </row>
    <row r="50" customFormat="false" ht="15" hidden="false" customHeight="false" outlineLevel="0" collapsed="false">
      <c r="A50" s="4" t="n">
        <v>180</v>
      </c>
      <c r="B50" s="4" t="n">
        <v>47</v>
      </c>
      <c r="C50" s="19" t="n">
        <v>0.00151</v>
      </c>
      <c r="D50" s="19" t="n">
        <v>-8E-005</v>
      </c>
      <c r="E50" s="19" t="n">
        <v>-0.00028</v>
      </c>
      <c r="F50" s="19" t="n">
        <v>-1E-005</v>
      </c>
      <c r="G50" s="19" t="n">
        <v>-1E-005</v>
      </c>
      <c r="H50" s="19" t="n">
        <v>-1E-005</v>
      </c>
      <c r="I50" s="19" t="n">
        <v>0.00152</v>
      </c>
      <c r="J50" s="19" t="n">
        <v>-8E-005</v>
      </c>
      <c r="K50" s="19" t="n">
        <v>-0.00025</v>
      </c>
      <c r="L50" s="19" t="n">
        <v>0</v>
      </c>
      <c r="M50" s="19" t="n">
        <v>0</v>
      </c>
      <c r="N50" s="11" t="n">
        <f aca="false">SQRT(C50^2+D50^2+E50^2)</f>
        <v>0.00153782313677484</v>
      </c>
      <c r="O50" s="11" t="n">
        <f aca="false">SQRT(I50^2+J50^2+K50^2)</f>
        <v>0.00154249797406674</v>
      </c>
      <c r="P50" s="11" t="n">
        <f aca="false">O50-N50</f>
        <v>4.67483729190365E-006</v>
      </c>
      <c r="Q50" s="12" t="n">
        <f aca="false">IF(N50&lt;0.001,"-",O50/N50-1)</f>
        <v>0.00303990568233203</v>
      </c>
      <c r="R50" s="19" t="n">
        <v>-1E-005</v>
      </c>
      <c r="S50" s="4"/>
      <c r="T50" s="4" t="str">
        <f aca="false">IF(N50&gt;=0.01,"SÍ","no")</f>
        <v>no</v>
      </c>
      <c r="U50" s="11" t="n">
        <f aca="false">ABS(C50)</f>
        <v>0.00151</v>
      </c>
      <c r="V50" s="11" t="n">
        <f aca="false">ABS(I50)</f>
        <v>0.00152</v>
      </c>
      <c r="W50" s="11" t="n">
        <f aca="false">ABS(D50)</f>
        <v>8E-005</v>
      </c>
      <c r="X50" s="11" t="n">
        <f aca="false">ABS(J50)</f>
        <v>8E-005</v>
      </c>
      <c r="Y50" s="11" t="n">
        <f aca="false">ABS(E50)</f>
        <v>0.00028</v>
      </c>
      <c r="Z50" s="11" t="n">
        <f aca="false">ABS(K50)</f>
        <v>0.00025</v>
      </c>
    </row>
    <row r="51" customFormat="false" ht="15" hidden="false" customHeight="false" outlineLevel="0" collapsed="false">
      <c r="A51" s="4" t="n">
        <v>181</v>
      </c>
      <c r="B51" s="4" t="n">
        <v>48</v>
      </c>
      <c r="C51" s="19" t="n">
        <v>0.01364</v>
      </c>
      <c r="D51" s="19" t="n">
        <v>-0.00123</v>
      </c>
      <c r="E51" s="19" t="n">
        <v>-0.00256</v>
      </c>
      <c r="F51" s="19" t="n">
        <v>-0.00016</v>
      </c>
      <c r="G51" s="19" t="n">
        <v>-0.00026</v>
      </c>
      <c r="H51" s="19" t="n">
        <v>-4E-005</v>
      </c>
      <c r="I51" s="19" t="n">
        <v>0.0163</v>
      </c>
      <c r="J51" s="19" t="n">
        <v>-0.00109</v>
      </c>
      <c r="K51" s="19" t="n">
        <v>-0.00307</v>
      </c>
      <c r="L51" s="19" t="n">
        <v>-0.00017</v>
      </c>
      <c r="M51" s="19" t="n">
        <v>-0.00024</v>
      </c>
      <c r="N51" s="11" t="n">
        <f aca="false">SQRT(C51^2+D51^2+E51^2)</f>
        <v>0.0139325554009306</v>
      </c>
      <c r="O51" s="11" t="n">
        <f aca="false">SQRT(I51^2+J51^2+K51^2)</f>
        <v>0.0166223644527486</v>
      </c>
      <c r="P51" s="11" t="n">
        <f aca="false">O51-N51</f>
        <v>0.002689809051818</v>
      </c>
      <c r="Q51" s="12" t="n">
        <f aca="false">IF(N51&lt;0.001,"-",O51/N51-1)</f>
        <v>0.193059275517996</v>
      </c>
      <c r="R51" s="19" t="n">
        <v>-6E-005</v>
      </c>
      <c r="S51" s="4"/>
      <c r="T51" s="4" t="str">
        <f aca="false">IF(N51&gt;=0.01,"SÍ","no")</f>
        <v>SÍ</v>
      </c>
      <c r="U51" s="11" t="n">
        <f aca="false">ABS(C51)</f>
        <v>0.01364</v>
      </c>
      <c r="V51" s="11" t="n">
        <f aca="false">ABS(I51)</f>
        <v>0.0163</v>
      </c>
      <c r="W51" s="11" t="n">
        <f aca="false">ABS(D51)</f>
        <v>0.00123</v>
      </c>
      <c r="X51" s="11" t="n">
        <f aca="false">ABS(J51)</f>
        <v>0.00109</v>
      </c>
      <c r="Y51" s="11" t="n">
        <f aca="false">ABS(E51)</f>
        <v>0.00256</v>
      </c>
      <c r="Z51" s="11" t="n">
        <f aca="false">ABS(K51)</f>
        <v>0.00307</v>
      </c>
    </row>
    <row r="52" customFormat="false" ht="15" hidden="false" customHeight="false" outlineLevel="0" collapsed="false">
      <c r="A52" s="4" t="n">
        <v>182</v>
      </c>
      <c r="B52" s="4" t="n">
        <v>49</v>
      </c>
      <c r="C52" s="19" t="n">
        <v>0.01104</v>
      </c>
      <c r="D52" s="19" t="n">
        <v>-0.00212</v>
      </c>
      <c r="E52" s="19" t="n">
        <v>-0.00086</v>
      </c>
      <c r="F52" s="19" t="n">
        <v>0.00013</v>
      </c>
      <c r="G52" s="19" t="n">
        <v>0.00037</v>
      </c>
      <c r="H52" s="19" t="n">
        <v>-3E-005</v>
      </c>
      <c r="I52" s="19" t="n">
        <v>0.01278</v>
      </c>
      <c r="J52" s="19" t="n">
        <v>-0.00229</v>
      </c>
      <c r="K52" s="19" t="n">
        <v>-0.00124</v>
      </c>
      <c r="L52" s="19" t="n">
        <v>0.00012</v>
      </c>
      <c r="M52" s="19" t="n">
        <v>0.0004</v>
      </c>
      <c r="N52" s="11" t="n">
        <f aca="false">SQRT(C52^2+D52^2+E52^2)</f>
        <v>0.0112745554236076</v>
      </c>
      <c r="O52" s="11" t="n">
        <f aca="false">SQRT(I52^2+J52^2+K52^2)</f>
        <v>0.0130426262692757</v>
      </c>
      <c r="P52" s="11" t="n">
        <f aca="false">O52-N52</f>
        <v>0.00176807084566806</v>
      </c>
      <c r="Q52" s="12" t="n">
        <f aca="false">IF(N52&lt;0.001,"-",O52/N52-1)</f>
        <v>0.156819562212264</v>
      </c>
      <c r="R52" s="19" t="n">
        <v>-3E-005</v>
      </c>
      <c r="S52" s="4"/>
      <c r="T52" s="4" t="str">
        <f aca="false">IF(N52&gt;=0.01,"SÍ","no")</f>
        <v>SÍ</v>
      </c>
      <c r="U52" s="11" t="n">
        <f aca="false">ABS(C52)</f>
        <v>0.01104</v>
      </c>
      <c r="V52" s="11" t="n">
        <f aca="false">ABS(I52)</f>
        <v>0.01278</v>
      </c>
      <c r="W52" s="11" t="n">
        <f aca="false">ABS(D52)</f>
        <v>0.00212</v>
      </c>
      <c r="X52" s="11" t="n">
        <f aca="false">ABS(J52)</f>
        <v>0.00229</v>
      </c>
      <c r="Y52" s="11" t="n">
        <f aca="false">ABS(E52)</f>
        <v>0.00086</v>
      </c>
      <c r="Z52" s="11" t="n">
        <f aca="false">ABS(K52)</f>
        <v>0.00124</v>
      </c>
    </row>
    <row r="53" customFormat="false" ht="15" hidden="false" customHeight="false" outlineLevel="0" collapsed="false">
      <c r="A53" s="4" t="n">
        <v>183</v>
      </c>
      <c r="B53" s="4" t="n">
        <v>50</v>
      </c>
      <c r="C53" s="19" t="n">
        <v>0.01318</v>
      </c>
      <c r="D53" s="19" t="n">
        <v>-0.00123</v>
      </c>
      <c r="E53" s="19" t="n">
        <v>-0.00081</v>
      </c>
      <c r="F53" s="19" t="n">
        <v>-0.00016</v>
      </c>
      <c r="G53" s="19" t="n">
        <v>-0.00026</v>
      </c>
      <c r="H53" s="19" t="n">
        <v>-4E-005</v>
      </c>
      <c r="I53" s="19" t="n">
        <v>0.0157</v>
      </c>
      <c r="J53" s="19" t="n">
        <v>-0.00109</v>
      </c>
      <c r="K53" s="19" t="n">
        <v>-0.00121</v>
      </c>
      <c r="L53" s="19" t="n">
        <v>-0.00017</v>
      </c>
      <c r="M53" s="19" t="n">
        <v>-0.00024</v>
      </c>
      <c r="N53" s="11" t="n">
        <f aca="false">SQRT(C53^2+D53^2+E53^2)</f>
        <v>0.0132620285024577</v>
      </c>
      <c r="O53" s="11" t="n">
        <f aca="false">SQRT(I53^2+J53^2+K53^2)</f>
        <v>0.0157842389743693</v>
      </c>
      <c r="P53" s="11" t="n">
        <f aca="false">O53-N53</f>
        <v>0.00252221047191165</v>
      </c>
      <c r="Q53" s="12" t="n">
        <f aca="false">IF(N53&lt;0.001,"-",O53/N53-1)</f>
        <v>0.190182857128096</v>
      </c>
      <c r="R53" s="19" t="n">
        <v>-6E-005</v>
      </c>
      <c r="S53" s="4"/>
      <c r="T53" s="4" t="str">
        <f aca="false">IF(N53&gt;=0.01,"SÍ","no")</f>
        <v>SÍ</v>
      </c>
      <c r="U53" s="11" t="n">
        <f aca="false">ABS(C53)</f>
        <v>0.01318</v>
      </c>
      <c r="V53" s="11" t="n">
        <f aca="false">ABS(I53)</f>
        <v>0.0157</v>
      </c>
      <c r="W53" s="11" t="n">
        <f aca="false">ABS(D53)</f>
        <v>0.00123</v>
      </c>
      <c r="X53" s="11" t="n">
        <f aca="false">ABS(J53)</f>
        <v>0.00109</v>
      </c>
      <c r="Y53" s="11" t="n">
        <f aca="false">ABS(E53)</f>
        <v>0.00081</v>
      </c>
      <c r="Z53" s="11" t="n">
        <f aca="false">ABS(K53)</f>
        <v>0.00121</v>
      </c>
    </row>
    <row r="54" customFormat="false" ht="15" hidden="false" customHeight="false" outlineLevel="0" collapsed="false">
      <c r="A54" s="4" t="n">
        <v>184</v>
      </c>
      <c r="B54" s="4" t="n">
        <v>51</v>
      </c>
      <c r="C54" s="19" t="n">
        <v>0.00766</v>
      </c>
      <c r="D54" s="19" t="n">
        <v>-0.00123</v>
      </c>
      <c r="E54" s="19" t="n">
        <v>-0.00027</v>
      </c>
      <c r="F54" s="19" t="n">
        <v>0.00014</v>
      </c>
      <c r="G54" s="19" t="n">
        <v>0.00029</v>
      </c>
      <c r="H54" s="19" t="n">
        <v>-4E-005</v>
      </c>
      <c r="I54" s="19" t="n">
        <v>0.0086</v>
      </c>
      <c r="J54" s="19" t="n">
        <v>-0.00132</v>
      </c>
      <c r="K54" s="19" t="n">
        <v>-0.00029</v>
      </c>
      <c r="L54" s="19" t="n">
        <v>0.00014</v>
      </c>
      <c r="M54" s="19" t="n">
        <v>0.00029</v>
      </c>
      <c r="N54" s="11" t="n">
        <f aca="false">SQRT(C54^2+D54^2+E54^2)</f>
        <v>0.00776282165195105</v>
      </c>
      <c r="O54" s="11" t="n">
        <f aca="false">SQRT(I54^2+J54^2+K54^2)</f>
        <v>0.00870554421044428</v>
      </c>
      <c r="P54" s="11" t="n">
        <f aca="false">O54-N54</f>
        <v>0.000942722558493236</v>
      </c>
      <c r="Q54" s="12" t="n">
        <f aca="false">IF(N54&lt;0.001,"-",O54/N54-1)</f>
        <v>0.12144070812915</v>
      </c>
      <c r="R54" s="19" t="n">
        <v>-5E-005</v>
      </c>
      <c r="S54" s="4"/>
      <c r="T54" s="4" t="str">
        <f aca="false">IF(N54&gt;=0.01,"SÍ","no")</f>
        <v>no</v>
      </c>
      <c r="U54" s="11" t="n">
        <f aca="false">ABS(C54)</f>
        <v>0.00766</v>
      </c>
      <c r="V54" s="11" t="n">
        <f aca="false">ABS(I54)</f>
        <v>0.0086</v>
      </c>
      <c r="W54" s="11" t="n">
        <f aca="false">ABS(D54)</f>
        <v>0.00123</v>
      </c>
      <c r="X54" s="11" t="n">
        <f aca="false">ABS(J54)</f>
        <v>0.00132</v>
      </c>
      <c r="Y54" s="11" t="n">
        <f aca="false">ABS(E54)</f>
        <v>0.00027</v>
      </c>
      <c r="Z54" s="11" t="n">
        <f aca="false">ABS(K54)</f>
        <v>0.00029</v>
      </c>
    </row>
    <row r="55" customFormat="false" ht="15" hidden="false" customHeight="false" outlineLevel="0" collapsed="false">
      <c r="A55" s="4" t="n">
        <v>185</v>
      </c>
      <c r="B55" s="4" t="n">
        <v>52</v>
      </c>
      <c r="C55" s="19" t="n">
        <v>0.00821</v>
      </c>
      <c r="D55" s="19" t="n">
        <v>-0.00079</v>
      </c>
      <c r="E55" s="19" t="n">
        <v>-0.00017</v>
      </c>
      <c r="F55" s="19" t="n">
        <v>-0.00015</v>
      </c>
      <c r="G55" s="19" t="n">
        <v>-0.00028</v>
      </c>
      <c r="H55" s="19" t="n">
        <v>-5E-005</v>
      </c>
      <c r="I55" s="19" t="n">
        <v>0.00924</v>
      </c>
      <c r="J55" s="19" t="n">
        <v>-0.00074</v>
      </c>
      <c r="K55" s="19" t="n">
        <v>-0.00019</v>
      </c>
      <c r="L55" s="19" t="n">
        <v>-0.00015</v>
      </c>
      <c r="M55" s="19" t="n">
        <v>-0.00028</v>
      </c>
      <c r="N55" s="11" t="n">
        <f aca="false">SQRT(C55^2+D55^2+E55^2)</f>
        <v>0.00824967272078111</v>
      </c>
      <c r="O55" s="11" t="n">
        <f aca="false">SQRT(I55^2+J55^2+K55^2)</f>
        <v>0.00927153169654292</v>
      </c>
      <c r="P55" s="11" t="n">
        <f aca="false">O55-N55</f>
        <v>0.00102185897576181</v>
      </c>
      <c r="Q55" s="12" t="n">
        <f aca="false">IF(N55&lt;0.001,"-",O55/N55-1)</f>
        <v>0.123866607845875</v>
      </c>
      <c r="R55" s="19" t="n">
        <v>-6E-005</v>
      </c>
      <c r="S55" s="4"/>
      <c r="T55" s="4" t="str">
        <f aca="false">IF(N55&gt;=0.01,"SÍ","no")</f>
        <v>no</v>
      </c>
      <c r="U55" s="11" t="n">
        <f aca="false">ABS(C55)</f>
        <v>0.00821</v>
      </c>
      <c r="V55" s="11" t="n">
        <f aca="false">ABS(I55)</f>
        <v>0.00924</v>
      </c>
      <c r="W55" s="11" t="n">
        <f aca="false">ABS(D55)</f>
        <v>0.00079</v>
      </c>
      <c r="X55" s="11" t="n">
        <f aca="false">ABS(J55)</f>
        <v>0.00074</v>
      </c>
      <c r="Y55" s="11" t="n">
        <f aca="false">ABS(E55)</f>
        <v>0.00017</v>
      </c>
      <c r="Z55" s="11" t="n">
        <f aca="false">ABS(K55)</f>
        <v>0.00019</v>
      </c>
    </row>
    <row r="56" customFormat="false" ht="15" hidden="false" customHeight="false" outlineLevel="0" collapsed="false">
      <c r="A56" s="4" t="n">
        <v>186</v>
      </c>
      <c r="B56" s="4" t="n">
        <v>53</v>
      </c>
      <c r="C56" s="19" t="n">
        <v>0.00136</v>
      </c>
      <c r="D56" s="19" t="n">
        <v>-8E-005</v>
      </c>
      <c r="E56" s="19" t="n">
        <v>0.00034</v>
      </c>
      <c r="F56" s="19" t="n">
        <v>1E-005</v>
      </c>
      <c r="G56" s="19" t="n">
        <v>1E-005</v>
      </c>
      <c r="H56" s="19" t="n">
        <v>-1E-005</v>
      </c>
      <c r="I56" s="19" t="n">
        <v>0.00133</v>
      </c>
      <c r="J56" s="19" t="n">
        <v>-8E-005</v>
      </c>
      <c r="K56" s="19" t="n">
        <v>0.00036</v>
      </c>
      <c r="L56" s="19" t="n">
        <v>1E-005</v>
      </c>
      <c r="M56" s="19" t="n">
        <v>1E-005</v>
      </c>
      <c r="N56" s="11" t="n">
        <f aca="false">SQRT(C56^2+D56^2+E56^2)</f>
        <v>0.00140413674547745</v>
      </c>
      <c r="O56" s="11" t="n">
        <f aca="false">SQRT(I56^2+J56^2+K56^2)</f>
        <v>0.001380181147531</v>
      </c>
      <c r="P56" s="11" t="n">
        <f aca="false">O56-N56</f>
        <v>-2.39555979464439E-005</v>
      </c>
      <c r="Q56" s="12" t="n">
        <f aca="false">IF(N56&lt;0.001,"-",O56/N56-1)</f>
        <v>-0.0170607300347362</v>
      </c>
      <c r="R56" s="19" t="n">
        <v>-1E-005</v>
      </c>
      <c r="S56" s="4"/>
      <c r="T56" s="4" t="str">
        <f aca="false">IF(N56&gt;=0.01,"SÍ","no")</f>
        <v>no</v>
      </c>
      <c r="U56" s="11" t="n">
        <f aca="false">ABS(C56)</f>
        <v>0.00136</v>
      </c>
      <c r="V56" s="11" t="n">
        <f aca="false">ABS(I56)</f>
        <v>0.00133</v>
      </c>
      <c r="W56" s="11" t="n">
        <f aca="false">ABS(D56)</f>
        <v>8E-005</v>
      </c>
      <c r="X56" s="11" t="n">
        <f aca="false">ABS(J56)</f>
        <v>8E-005</v>
      </c>
      <c r="Y56" s="11" t="n">
        <f aca="false">ABS(E56)</f>
        <v>0.00034</v>
      </c>
      <c r="Z56" s="11" t="n">
        <f aca="false">ABS(K56)</f>
        <v>0.00036</v>
      </c>
    </row>
    <row r="57" customFormat="false" ht="15" hidden="false" customHeight="false" outlineLevel="0" collapsed="false">
      <c r="A57" s="4" t="n">
        <v>187</v>
      </c>
      <c r="B57" s="4" t="n">
        <v>54</v>
      </c>
      <c r="C57" s="19" t="n">
        <v>0.02182</v>
      </c>
      <c r="D57" s="19" t="n">
        <v>-0.0058</v>
      </c>
      <c r="E57" s="19" t="n">
        <v>-0.00086</v>
      </c>
      <c r="F57" s="19" t="n">
        <v>0.00014</v>
      </c>
      <c r="G57" s="19" t="n">
        <v>0.00039</v>
      </c>
      <c r="H57" s="19" t="n">
        <v>-6E-005</v>
      </c>
      <c r="I57" s="19" t="n">
        <v>0.02382</v>
      </c>
      <c r="J57" s="19" t="n">
        <v>-0.00589</v>
      </c>
      <c r="K57" s="19" t="n">
        <v>-0.00124</v>
      </c>
      <c r="L57" s="19" t="n">
        <v>0.00014</v>
      </c>
      <c r="M57" s="19" t="n">
        <v>0.00039</v>
      </c>
      <c r="N57" s="11" t="n">
        <f aca="false">SQRT(C57^2+D57^2+E57^2)</f>
        <v>0.0225940700184805</v>
      </c>
      <c r="O57" s="11" t="n">
        <f aca="false">SQRT(I57^2+J57^2+K57^2)</f>
        <v>0.0245687219854839</v>
      </c>
      <c r="P57" s="11" t="n">
        <f aca="false">O57-N57</f>
        <v>0.00197465196700339</v>
      </c>
      <c r="Q57" s="12" t="n">
        <f aca="false">IF(N57&lt;0.001,"-",O57/N57-1)</f>
        <v>0.0873969127911993</v>
      </c>
      <c r="R57" s="19" t="n">
        <v>-7E-005</v>
      </c>
      <c r="S57" s="4"/>
      <c r="T57" s="4" t="str">
        <f aca="false">IF(N57&gt;=0.01,"SÍ","no")</f>
        <v>SÍ</v>
      </c>
      <c r="U57" s="11" t="n">
        <f aca="false">ABS(C57)</f>
        <v>0.02182</v>
      </c>
      <c r="V57" s="11" t="n">
        <f aca="false">ABS(I57)</f>
        <v>0.02382</v>
      </c>
      <c r="W57" s="11" t="n">
        <f aca="false">ABS(D57)</f>
        <v>0.0058</v>
      </c>
      <c r="X57" s="11" t="n">
        <f aca="false">ABS(J57)</f>
        <v>0.00589</v>
      </c>
      <c r="Y57" s="11" t="n">
        <f aca="false">ABS(E57)</f>
        <v>0.00086</v>
      </c>
      <c r="Z57" s="11" t="n">
        <f aca="false">ABS(K57)</f>
        <v>0.00124</v>
      </c>
    </row>
    <row r="58" customFormat="false" ht="15" hidden="false" customHeight="false" outlineLevel="0" collapsed="false">
      <c r="A58" s="4" t="n">
        <v>188</v>
      </c>
      <c r="B58" s="4" t="n">
        <v>55</v>
      </c>
      <c r="C58" s="19" t="n">
        <v>0.01582</v>
      </c>
      <c r="D58" s="19" t="n">
        <v>-0.00525</v>
      </c>
      <c r="E58" s="19" t="n">
        <v>-0.00027</v>
      </c>
      <c r="F58" s="19" t="n">
        <v>0.00015</v>
      </c>
      <c r="G58" s="19" t="n">
        <v>0.00029</v>
      </c>
      <c r="H58" s="19" t="n">
        <v>-6E-005</v>
      </c>
      <c r="I58" s="19" t="n">
        <v>0.01679</v>
      </c>
      <c r="J58" s="19" t="n">
        <v>-0.00538</v>
      </c>
      <c r="K58" s="19" t="n">
        <v>-0.00028</v>
      </c>
      <c r="L58" s="19" t="n">
        <v>0.00015</v>
      </c>
      <c r="M58" s="19" t="n">
        <v>0.00029</v>
      </c>
      <c r="N58" s="11" t="n">
        <f aca="false">SQRT(C58^2+D58^2+E58^2)</f>
        <v>0.0166705668769841</v>
      </c>
      <c r="O58" s="11" t="n">
        <f aca="false">SQRT(I58^2+J58^2+K58^2)</f>
        <v>0.0176331194063898</v>
      </c>
      <c r="P58" s="11" t="n">
        <f aca="false">O58-N58</f>
        <v>0.000962552529405664</v>
      </c>
      <c r="Q58" s="12" t="n">
        <f aca="false">IF(N58&lt;0.001,"-",O58/N58-1)</f>
        <v>0.0577396399599699</v>
      </c>
      <c r="R58" s="19" t="n">
        <v>-6E-005</v>
      </c>
      <c r="S58" s="4"/>
      <c r="T58" s="4" t="str">
        <f aca="false">IF(N58&gt;=0.01,"SÍ","no")</f>
        <v>SÍ</v>
      </c>
      <c r="U58" s="11" t="n">
        <f aca="false">ABS(C58)</f>
        <v>0.01582</v>
      </c>
      <c r="V58" s="11" t="n">
        <f aca="false">ABS(I58)</f>
        <v>0.01679</v>
      </c>
      <c r="W58" s="11" t="n">
        <f aca="false">ABS(D58)</f>
        <v>0.00525</v>
      </c>
      <c r="X58" s="11" t="n">
        <f aca="false">ABS(J58)</f>
        <v>0.00538</v>
      </c>
      <c r="Y58" s="11" t="n">
        <f aca="false">ABS(E58)</f>
        <v>0.00027</v>
      </c>
      <c r="Z58" s="11" t="n">
        <f aca="false">ABS(K58)</f>
        <v>0.00028</v>
      </c>
    </row>
    <row r="59" customFormat="false" ht="15" hidden="false" customHeight="false" outlineLevel="0" collapsed="false">
      <c r="A59" s="4" t="n">
        <v>189</v>
      </c>
      <c r="B59" s="4" t="n">
        <v>56</v>
      </c>
      <c r="C59" s="19" t="n">
        <v>0.0432</v>
      </c>
      <c r="D59" s="19" t="n">
        <v>-0.0142</v>
      </c>
      <c r="E59" s="19" t="n">
        <v>-0.00085</v>
      </c>
      <c r="F59" s="19" t="n">
        <v>0.00012</v>
      </c>
      <c r="G59" s="19" t="n">
        <v>0.0003</v>
      </c>
      <c r="H59" s="19" t="n">
        <v>-0.00012</v>
      </c>
      <c r="I59" s="19" t="n">
        <v>0.04462</v>
      </c>
      <c r="J59" s="19" t="n">
        <v>-0.01448</v>
      </c>
      <c r="K59" s="19" t="n">
        <v>-0.00123</v>
      </c>
      <c r="L59" s="19" t="n">
        <v>0.00012</v>
      </c>
      <c r="M59" s="19" t="n">
        <v>0.0003</v>
      </c>
      <c r="N59" s="11" t="n">
        <f aca="false">SQRT(C59^2+D59^2+E59^2)</f>
        <v>0.045481892001103</v>
      </c>
      <c r="O59" s="11" t="n">
        <f aca="false">SQRT(I59^2+J59^2+K59^2)</f>
        <v>0.0469268334751025</v>
      </c>
      <c r="P59" s="11" t="n">
        <f aca="false">O59-N59</f>
        <v>0.00144494147399946</v>
      </c>
      <c r="Q59" s="12" t="n">
        <f aca="false">IF(N59&lt;0.001,"-",O59/N59-1)</f>
        <v>0.0317695990739437</v>
      </c>
      <c r="R59" s="19" t="n">
        <v>-0.00012</v>
      </c>
      <c r="S59" s="4"/>
      <c r="T59" s="4" t="str">
        <f aca="false">IF(N59&gt;=0.01,"SÍ","no")</f>
        <v>SÍ</v>
      </c>
      <c r="U59" s="11" t="n">
        <f aca="false">ABS(C59)</f>
        <v>0.0432</v>
      </c>
      <c r="V59" s="11" t="n">
        <f aca="false">ABS(I59)</f>
        <v>0.04462</v>
      </c>
      <c r="W59" s="11" t="n">
        <f aca="false">ABS(D59)</f>
        <v>0.0142</v>
      </c>
      <c r="X59" s="11" t="n">
        <f aca="false">ABS(J59)</f>
        <v>0.01448</v>
      </c>
      <c r="Y59" s="11" t="n">
        <f aca="false">ABS(E59)</f>
        <v>0.00085</v>
      </c>
      <c r="Z59" s="11" t="n">
        <f aca="false">ABS(K59)</f>
        <v>0.00123</v>
      </c>
    </row>
    <row r="60" customFormat="false" ht="15" hidden="false" customHeight="false" outlineLevel="0" collapsed="false">
      <c r="A60" s="4" t="n">
        <v>190</v>
      </c>
      <c r="B60" s="4" t="n">
        <v>57</v>
      </c>
      <c r="C60" s="19" t="n">
        <v>0.03053</v>
      </c>
      <c r="D60" s="19" t="n">
        <v>-0.01426</v>
      </c>
      <c r="E60" s="19" t="n">
        <v>-0.00025</v>
      </c>
      <c r="F60" s="19" t="n">
        <v>0.00013</v>
      </c>
      <c r="G60" s="19" t="n">
        <v>0.00021</v>
      </c>
      <c r="H60" s="19" t="n">
        <v>-9E-005</v>
      </c>
      <c r="I60" s="19" t="n">
        <v>0.03151</v>
      </c>
      <c r="J60" s="19" t="n">
        <v>-0.01453</v>
      </c>
      <c r="K60" s="19" t="n">
        <v>-0.00027</v>
      </c>
      <c r="L60" s="19" t="n">
        <v>0.00013</v>
      </c>
      <c r="M60" s="19" t="n">
        <v>0.00021</v>
      </c>
      <c r="N60" s="11" t="n">
        <f aca="false">SQRT(C60^2+D60^2+E60^2)</f>
        <v>0.0336970473483954</v>
      </c>
      <c r="O60" s="11" t="n">
        <f aca="false">SQRT(I60^2+J60^2+K60^2)</f>
        <v>0.0346997680107519</v>
      </c>
      <c r="P60" s="11" t="n">
        <f aca="false">O60-N60</f>
        <v>0.00100272066235651</v>
      </c>
      <c r="Q60" s="12" t="n">
        <f aca="false">IF(N60&lt;0.001,"-",O60/N60-1)</f>
        <v>0.0297569295015474</v>
      </c>
      <c r="R60" s="19" t="n">
        <v>-9E-005</v>
      </c>
      <c r="S60" s="4"/>
      <c r="T60" s="4" t="str">
        <f aca="false">IF(N60&gt;=0.01,"SÍ","no")</f>
        <v>SÍ</v>
      </c>
      <c r="U60" s="11" t="n">
        <f aca="false">ABS(C60)</f>
        <v>0.03053</v>
      </c>
      <c r="V60" s="11" t="n">
        <f aca="false">ABS(I60)</f>
        <v>0.03151</v>
      </c>
      <c r="W60" s="11" t="n">
        <f aca="false">ABS(D60)</f>
        <v>0.01426</v>
      </c>
      <c r="X60" s="11" t="n">
        <f aca="false">ABS(J60)</f>
        <v>0.01453</v>
      </c>
      <c r="Y60" s="11" t="n">
        <f aca="false">ABS(E60)</f>
        <v>0.00025</v>
      </c>
      <c r="Z60" s="11" t="n">
        <f aca="false">ABS(K60)</f>
        <v>0.00027</v>
      </c>
    </row>
    <row r="61" customFormat="false" ht="15" hidden="false" customHeight="false" outlineLevel="0" collapsed="false">
      <c r="A61" s="4" t="n">
        <v>191</v>
      </c>
      <c r="B61" s="4" t="n">
        <v>58</v>
      </c>
      <c r="C61" s="19" t="n">
        <v>0.05101</v>
      </c>
      <c r="D61" s="19" t="n">
        <v>-0.01714</v>
      </c>
      <c r="E61" s="19" t="n">
        <v>-0.00084</v>
      </c>
      <c r="F61" s="19" t="n">
        <v>8E-005</v>
      </c>
      <c r="G61" s="19" t="n">
        <v>0.00026</v>
      </c>
      <c r="H61" s="19" t="n">
        <v>-0.00015</v>
      </c>
      <c r="I61" s="19" t="n">
        <v>0.05233</v>
      </c>
      <c r="J61" s="19" t="n">
        <v>-0.01744</v>
      </c>
      <c r="K61" s="19" t="n">
        <v>-0.00123</v>
      </c>
      <c r="L61" s="19" t="n">
        <v>8E-005</v>
      </c>
      <c r="M61" s="19" t="n">
        <v>0.00025</v>
      </c>
      <c r="N61" s="11" t="n">
        <f aca="false">SQRT(C61^2+D61^2+E61^2)</f>
        <v>0.053819190815173</v>
      </c>
      <c r="O61" s="11" t="n">
        <f aca="false">SQRT(I61^2+J61^2+K61^2)</f>
        <v>0.0551733214515856</v>
      </c>
      <c r="P61" s="11" t="n">
        <f aca="false">O61-N61</f>
        <v>0.00135413063641265</v>
      </c>
      <c r="Q61" s="12" t="n">
        <f aca="false">IF(N61&lt;0.001,"-",O61/N61-1)</f>
        <v>0.025160739429603</v>
      </c>
      <c r="R61" s="19" t="n">
        <v>-0.00016</v>
      </c>
      <c r="S61" s="4"/>
      <c r="T61" s="4" t="str">
        <f aca="false">IF(N61&gt;=0.01,"SÍ","no")</f>
        <v>SÍ</v>
      </c>
      <c r="U61" s="11" t="n">
        <f aca="false">ABS(C61)</f>
        <v>0.05101</v>
      </c>
      <c r="V61" s="11" t="n">
        <f aca="false">ABS(I61)</f>
        <v>0.05233</v>
      </c>
      <c r="W61" s="11" t="n">
        <f aca="false">ABS(D61)</f>
        <v>0.01714</v>
      </c>
      <c r="X61" s="11" t="n">
        <f aca="false">ABS(J61)</f>
        <v>0.01744</v>
      </c>
      <c r="Y61" s="11" t="n">
        <f aca="false">ABS(E61)</f>
        <v>0.00084</v>
      </c>
      <c r="Z61" s="11" t="n">
        <f aca="false">ABS(K61)</f>
        <v>0.00123</v>
      </c>
    </row>
    <row r="62" customFormat="false" ht="15" hidden="false" customHeight="false" outlineLevel="0" collapsed="false">
      <c r="A62" s="4" t="n">
        <v>192</v>
      </c>
      <c r="B62" s="4" t="n">
        <v>59</v>
      </c>
      <c r="C62" s="19" t="n">
        <v>0.03559</v>
      </c>
      <c r="D62" s="19" t="n">
        <v>-0.01754</v>
      </c>
      <c r="E62" s="19" t="n">
        <v>-0.00024</v>
      </c>
      <c r="F62" s="19" t="n">
        <v>9E-005</v>
      </c>
      <c r="G62" s="19" t="n">
        <v>0.00015</v>
      </c>
      <c r="H62" s="19" t="n">
        <v>-0.0001</v>
      </c>
      <c r="I62" s="19" t="n">
        <v>0.03655</v>
      </c>
      <c r="J62" s="19" t="n">
        <v>-0.01788</v>
      </c>
      <c r="K62" s="19" t="n">
        <v>-0.00026</v>
      </c>
      <c r="L62" s="19" t="n">
        <v>9E-005</v>
      </c>
      <c r="M62" s="19" t="n">
        <v>0.00014</v>
      </c>
      <c r="N62" s="11" t="n">
        <f aca="false">SQRT(C62^2+D62^2+E62^2)</f>
        <v>0.0396781715808579</v>
      </c>
      <c r="O62" s="11" t="n">
        <f aca="false">SQRT(I62^2+J62^2+K62^2)</f>
        <v>0.0406898574585854</v>
      </c>
      <c r="P62" s="11" t="n">
        <f aca="false">O62-N62</f>
        <v>0.00101168587772752</v>
      </c>
      <c r="Q62" s="12" t="n">
        <f aca="false">IF(N62&lt;0.001,"-",O62/N62-1)</f>
        <v>0.0254972907626518</v>
      </c>
      <c r="R62" s="19" t="n">
        <v>-0.0001</v>
      </c>
      <c r="S62" s="4"/>
      <c r="T62" s="4" t="str">
        <f aca="false">IF(N62&gt;=0.01,"SÍ","no")</f>
        <v>SÍ</v>
      </c>
      <c r="U62" s="11" t="n">
        <f aca="false">ABS(C62)</f>
        <v>0.03559</v>
      </c>
      <c r="V62" s="11" t="n">
        <f aca="false">ABS(I62)</f>
        <v>0.03655</v>
      </c>
      <c r="W62" s="11" t="n">
        <f aca="false">ABS(D62)</f>
        <v>0.01754</v>
      </c>
      <c r="X62" s="11" t="n">
        <f aca="false">ABS(J62)</f>
        <v>0.01788</v>
      </c>
      <c r="Y62" s="11" t="n">
        <f aca="false">ABS(E62)</f>
        <v>0.00024</v>
      </c>
      <c r="Z62" s="11" t="n">
        <f aca="false">ABS(K62)</f>
        <v>0.00026</v>
      </c>
    </row>
    <row r="63" customFormat="false" ht="15" hidden="false" customHeight="false" outlineLevel="0" collapsed="false">
      <c r="A63" s="4" t="n">
        <v>193</v>
      </c>
      <c r="B63" s="4" t="n">
        <v>60</v>
      </c>
      <c r="C63" s="19" t="n">
        <v>0.05123</v>
      </c>
      <c r="D63" s="19" t="n">
        <v>-0.01714</v>
      </c>
      <c r="E63" s="19" t="n">
        <v>-0.00081</v>
      </c>
      <c r="F63" s="19" t="n">
        <v>-8E-005</v>
      </c>
      <c r="G63" s="19" t="n">
        <v>-0.00026</v>
      </c>
      <c r="H63" s="19" t="n">
        <v>-0.00015</v>
      </c>
      <c r="I63" s="19" t="n">
        <v>0.05268</v>
      </c>
      <c r="J63" s="19" t="n">
        <v>-0.01749</v>
      </c>
      <c r="K63" s="19" t="n">
        <v>-0.0012</v>
      </c>
      <c r="L63" s="19" t="n">
        <v>-8E-005</v>
      </c>
      <c r="M63" s="19" t="n">
        <v>-0.00026</v>
      </c>
      <c r="N63" s="11" t="n">
        <f aca="false">SQRT(C63^2+D63^2+E63^2)</f>
        <v>0.0540272949535695</v>
      </c>
      <c r="O63" s="11" t="n">
        <f aca="false">SQRT(I63^2+J63^2+K63^2)</f>
        <v>0.0555204691983056</v>
      </c>
      <c r="P63" s="11" t="n">
        <f aca="false">O63-N63</f>
        <v>0.00149317424473606</v>
      </c>
      <c r="Q63" s="12" t="n">
        <f aca="false">IF(N63&lt;0.001,"-",O63/N63-1)</f>
        <v>0.0276374052415409</v>
      </c>
      <c r="R63" s="19" t="n">
        <v>-0.00015</v>
      </c>
      <c r="S63" s="4"/>
      <c r="T63" s="4" t="str">
        <f aca="false">IF(N63&gt;=0.01,"SÍ","no")</f>
        <v>SÍ</v>
      </c>
      <c r="U63" s="11" t="n">
        <f aca="false">ABS(C63)</f>
        <v>0.05123</v>
      </c>
      <c r="V63" s="11" t="n">
        <f aca="false">ABS(I63)</f>
        <v>0.05268</v>
      </c>
      <c r="W63" s="11" t="n">
        <f aca="false">ABS(D63)</f>
        <v>0.01714</v>
      </c>
      <c r="X63" s="11" t="n">
        <f aca="false">ABS(J63)</f>
        <v>0.01749</v>
      </c>
      <c r="Y63" s="11" t="n">
        <f aca="false">ABS(E63)</f>
        <v>0.00081</v>
      </c>
      <c r="Z63" s="11" t="n">
        <f aca="false">ABS(K63)</f>
        <v>0.0012</v>
      </c>
    </row>
    <row r="64" customFormat="false" ht="15" hidden="false" customHeight="false" outlineLevel="0" collapsed="false">
      <c r="A64" s="4" t="n">
        <v>194</v>
      </c>
      <c r="B64" s="4" t="n">
        <v>61</v>
      </c>
      <c r="C64" s="19" t="n">
        <v>0.03564</v>
      </c>
      <c r="D64" s="19" t="n">
        <v>-0.01752</v>
      </c>
      <c r="E64" s="19" t="n">
        <v>-0.0002</v>
      </c>
      <c r="F64" s="19" t="n">
        <v>-9E-005</v>
      </c>
      <c r="G64" s="19" t="n">
        <v>-0.00014</v>
      </c>
      <c r="H64" s="19" t="n">
        <v>-0.0001</v>
      </c>
      <c r="I64" s="19" t="n">
        <v>0.03661</v>
      </c>
      <c r="J64" s="19" t="n">
        <v>-0.01787</v>
      </c>
      <c r="K64" s="19" t="n">
        <v>-0.00022</v>
      </c>
      <c r="L64" s="19" t="n">
        <v>-9E-005</v>
      </c>
      <c r="M64" s="19" t="n">
        <v>-0.00014</v>
      </c>
      <c r="N64" s="11" t="n">
        <f aca="false">SQRT(C64^2+D64^2+E64^2)</f>
        <v>0.0397139773883201</v>
      </c>
      <c r="O64" s="11" t="n">
        <f aca="false">SQRT(I64^2+J64^2+K64^2)</f>
        <v>0.0407391384297705</v>
      </c>
      <c r="P64" s="11" t="n">
        <f aca="false">O64-N64</f>
        <v>0.00102516104145035</v>
      </c>
      <c r="Q64" s="12" t="n">
        <f aca="false">IF(N64&lt;0.001,"-",O64/N64-1)</f>
        <v>0.0258136079251496</v>
      </c>
      <c r="R64" s="19" t="n">
        <v>-0.00011</v>
      </c>
      <c r="S64" s="4"/>
      <c r="T64" s="4" t="str">
        <f aca="false">IF(N64&gt;=0.01,"SÍ","no")</f>
        <v>SÍ</v>
      </c>
      <c r="U64" s="11" t="n">
        <f aca="false">ABS(C64)</f>
        <v>0.03564</v>
      </c>
      <c r="V64" s="11" t="n">
        <f aca="false">ABS(I64)</f>
        <v>0.03661</v>
      </c>
      <c r="W64" s="11" t="n">
        <f aca="false">ABS(D64)</f>
        <v>0.01752</v>
      </c>
      <c r="X64" s="11" t="n">
        <f aca="false">ABS(J64)</f>
        <v>0.01787</v>
      </c>
      <c r="Y64" s="11" t="n">
        <f aca="false">ABS(E64)</f>
        <v>0.0002</v>
      </c>
      <c r="Z64" s="11" t="n">
        <f aca="false">ABS(K64)</f>
        <v>0.00022</v>
      </c>
    </row>
    <row r="65" customFormat="false" ht="15" hidden="false" customHeight="false" outlineLevel="0" collapsed="false">
      <c r="A65" s="4" t="n">
        <v>195</v>
      </c>
      <c r="B65" s="4" t="n">
        <v>62</v>
      </c>
      <c r="C65" s="19" t="n">
        <v>0.04309</v>
      </c>
      <c r="D65" s="19" t="n">
        <v>-0.01425</v>
      </c>
      <c r="E65" s="19" t="n">
        <v>-0.00081</v>
      </c>
      <c r="F65" s="19" t="n">
        <v>-0.00012</v>
      </c>
      <c r="G65" s="19" t="n">
        <v>-0.00033</v>
      </c>
      <c r="H65" s="19" t="n">
        <v>-0.00013</v>
      </c>
      <c r="I65" s="19" t="n">
        <v>0.0445</v>
      </c>
      <c r="J65" s="19" t="n">
        <v>-0.01462</v>
      </c>
      <c r="K65" s="19" t="n">
        <v>-0.0012</v>
      </c>
      <c r="L65" s="19" t="n">
        <v>-0.00012</v>
      </c>
      <c r="M65" s="19" t="n">
        <v>-0.00033</v>
      </c>
      <c r="N65" s="11" t="n">
        <f aca="false">SQRT(C65^2+D65^2+E65^2)</f>
        <v>0.0453923638952633</v>
      </c>
      <c r="O65" s="11" t="n">
        <f aca="false">SQRT(I65^2+J65^2+K65^2)</f>
        <v>0.0468554628618692</v>
      </c>
      <c r="P65" s="11" t="n">
        <f aca="false">O65-N65</f>
        <v>0.00146309896660589</v>
      </c>
      <c r="Q65" s="12" t="n">
        <f aca="false">IF(N65&lt;0.001,"-",O65/N65-1)</f>
        <v>0.0322322708282343</v>
      </c>
      <c r="R65" s="19" t="n">
        <v>-0.00013</v>
      </c>
      <c r="S65" s="4"/>
      <c r="T65" s="4" t="str">
        <f aca="false">IF(N65&gt;=0.01,"SÍ","no")</f>
        <v>SÍ</v>
      </c>
      <c r="U65" s="11" t="n">
        <f aca="false">ABS(C65)</f>
        <v>0.04309</v>
      </c>
      <c r="V65" s="11" t="n">
        <f aca="false">ABS(I65)</f>
        <v>0.0445</v>
      </c>
      <c r="W65" s="11" t="n">
        <f aca="false">ABS(D65)</f>
        <v>0.01425</v>
      </c>
      <c r="X65" s="11" t="n">
        <f aca="false">ABS(J65)</f>
        <v>0.01462</v>
      </c>
      <c r="Y65" s="11" t="n">
        <f aca="false">ABS(E65)</f>
        <v>0.00081</v>
      </c>
      <c r="Z65" s="11" t="n">
        <f aca="false">ABS(K65)</f>
        <v>0.0012</v>
      </c>
    </row>
    <row r="66" customFormat="false" ht="15" hidden="false" customHeight="false" outlineLevel="0" collapsed="false">
      <c r="A66" s="4" t="n">
        <v>196</v>
      </c>
      <c r="B66" s="4" t="n">
        <v>63</v>
      </c>
      <c r="C66" s="19" t="n">
        <v>0.0306</v>
      </c>
      <c r="D66" s="19" t="n">
        <v>-0.01432</v>
      </c>
      <c r="E66" s="19" t="n">
        <v>-0.00019</v>
      </c>
      <c r="F66" s="19" t="n">
        <v>-0.00013</v>
      </c>
      <c r="G66" s="19" t="n">
        <v>-0.00021</v>
      </c>
      <c r="H66" s="19" t="n">
        <v>-9E-005</v>
      </c>
      <c r="I66" s="19" t="n">
        <v>0.03159</v>
      </c>
      <c r="J66" s="19" t="n">
        <v>-0.01465</v>
      </c>
      <c r="K66" s="19" t="n">
        <v>-0.00021</v>
      </c>
      <c r="L66" s="19" t="n">
        <v>-0.00013</v>
      </c>
      <c r="M66" s="19" t="n">
        <v>-0.00021</v>
      </c>
      <c r="N66" s="11" t="n">
        <f aca="false">SQRT(C66^2+D66^2+E66^2)</f>
        <v>0.033785477649428</v>
      </c>
      <c r="O66" s="11" t="n">
        <f aca="false">SQRT(I66^2+J66^2+K66^2)</f>
        <v>0.0348223304791624</v>
      </c>
      <c r="P66" s="11" t="n">
        <f aca="false">O66-N66</f>
        <v>0.00103685282973435</v>
      </c>
      <c r="Q66" s="12" t="n">
        <f aca="false">IF(N66&lt;0.001,"-",O66/N66-1)</f>
        <v>0.0306893050467765</v>
      </c>
      <c r="R66" s="19" t="n">
        <v>-9E-005</v>
      </c>
      <c r="S66" s="4"/>
      <c r="T66" s="4" t="str">
        <f aca="false">IF(N66&gt;=0.01,"SÍ","no")</f>
        <v>SÍ</v>
      </c>
      <c r="U66" s="11" t="n">
        <f aca="false">ABS(C66)</f>
        <v>0.0306</v>
      </c>
      <c r="V66" s="11" t="n">
        <f aca="false">ABS(I66)</f>
        <v>0.03159</v>
      </c>
      <c r="W66" s="11" t="n">
        <f aca="false">ABS(D66)</f>
        <v>0.01432</v>
      </c>
      <c r="X66" s="11" t="n">
        <f aca="false">ABS(J66)</f>
        <v>0.01465</v>
      </c>
      <c r="Y66" s="11" t="n">
        <f aca="false">ABS(E66)</f>
        <v>0.00019</v>
      </c>
      <c r="Z66" s="11" t="n">
        <f aca="false">ABS(K66)</f>
        <v>0.00021</v>
      </c>
    </row>
    <row r="67" customFormat="false" ht="15" hidden="false" customHeight="false" outlineLevel="0" collapsed="false">
      <c r="A67" s="4" t="n">
        <v>197</v>
      </c>
      <c r="B67" s="4" t="n">
        <v>64</v>
      </c>
      <c r="C67" s="19" t="n">
        <v>0.02107</v>
      </c>
      <c r="D67" s="19" t="n">
        <v>-0.00591</v>
      </c>
      <c r="E67" s="19" t="n">
        <v>-0.00081</v>
      </c>
      <c r="F67" s="19" t="n">
        <v>-0.00016</v>
      </c>
      <c r="G67" s="19" t="n">
        <v>-0.00034</v>
      </c>
      <c r="H67" s="19" t="n">
        <v>-4E-005</v>
      </c>
      <c r="I67" s="19" t="n">
        <v>0.02291</v>
      </c>
      <c r="J67" s="19" t="n">
        <v>-0.00603</v>
      </c>
      <c r="K67" s="19" t="n">
        <v>-0.0012</v>
      </c>
      <c r="L67" s="19" t="n">
        <v>-0.00017</v>
      </c>
      <c r="M67" s="19" t="n">
        <v>-0.0003</v>
      </c>
      <c r="N67" s="11" t="n">
        <f aca="false">SQRT(C67^2+D67^2+E67^2)</f>
        <v>0.0218981528901412</v>
      </c>
      <c r="O67" s="11" t="n">
        <f aca="false">SQRT(I67^2+J67^2+K67^2)</f>
        <v>0.0237206450165252</v>
      </c>
      <c r="P67" s="11" t="n">
        <f aca="false">O67-N67</f>
        <v>0.00182249212638395</v>
      </c>
      <c r="Q67" s="12" t="n">
        <f aca="false">IF(N67&lt;0.001,"-",O67/N67-1)</f>
        <v>0.0832258380662077</v>
      </c>
      <c r="R67" s="19" t="n">
        <v>-5E-005</v>
      </c>
      <c r="S67" s="4"/>
      <c r="T67" s="4" t="str">
        <f aca="false">IF(N67&gt;=0.01,"SÍ","no")</f>
        <v>SÍ</v>
      </c>
      <c r="U67" s="11" t="n">
        <f aca="false">ABS(C67)</f>
        <v>0.02107</v>
      </c>
      <c r="V67" s="11" t="n">
        <f aca="false">ABS(I67)</f>
        <v>0.02291</v>
      </c>
      <c r="W67" s="11" t="n">
        <f aca="false">ABS(D67)</f>
        <v>0.00591</v>
      </c>
      <c r="X67" s="11" t="n">
        <f aca="false">ABS(J67)</f>
        <v>0.00603</v>
      </c>
      <c r="Y67" s="11" t="n">
        <f aca="false">ABS(E67)</f>
        <v>0.00081</v>
      </c>
      <c r="Z67" s="11" t="n">
        <f aca="false">ABS(K67)</f>
        <v>0.0012</v>
      </c>
    </row>
    <row r="68" customFormat="false" ht="15" hidden="false" customHeight="false" outlineLevel="0" collapsed="false">
      <c r="A68" s="4" t="n">
        <v>198</v>
      </c>
      <c r="B68" s="4" t="n">
        <v>65</v>
      </c>
      <c r="C68" s="19" t="n">
        <v>0.01615</v>
      </c>
      <c r="D68" s="19" t="n">
        <v>-0.00508</v>
      </c>
      <c r="E68" s="19" t="n">
        <v>-0.00018</v>
      </c>
      <c r="F68" s="19" t="n">
        <v>-0.00016</v>
      </c>
      <c r="G68" s="19" t="n">
        <v>-0.00028</v>
      </c>
      <c r="H68" s="19" t="n">
        <v>-6E-005</v>
      </c>
      <c r="I68" s="19" t="n">
        <v>0.01718</v>
      </c>
      <c r="J68" s="19" t="n">
        <v>-0.0052</v>
      </c>
      <c r="K68" s="19" t="n">
        <v>-0.00019</v>
      </c>
      <c r="L68" s="19" t="n">
        <v>-0.00016</v>
      </c>
      <c r="M68" s="19" t="n">
        <v>-0.00028</v>
      </c>
      <c r="N68" s="11" t="n">
        <f aca="false">SQRT(C68^2+D68^2+E68^2)</f>
        <v>0.0169310749806384</v>
      </c>
      <c r="O68" s="11" t="n">
        <f aca="false">SQRT(I68^2+J68^2+K68^2)</f>
        <v>0.0179507242193734</v>
      </c>
      <c r="P68" s="11" t="n">
        <f aca="false">O68-N68</f>
        <v>0.00101964923873503</v>
      </c>
      <c r="Q68" s="12" t="n">
        <f aca="false">IF(N68&lt;0.001,"-",O68/N68-1)</f>
        <v>0.0602235380742835</v>
      </c>
      <c r="R68" s="19" t="n">
        <v>-6E-005</v>
      </c>
      <c r="S68" s="4"/>
      <c r="T68" s="4" t="str">
        <f aca="false">IF(N68&gt;=0.01,"SÍ","no")</f>
        <v>SÍ</v>
      </c>
      <c r="U68" s="11" t="n">
        <f aca="false">ABS(C68)</f>
        <v>0.01615</v>
      </c>
      <c r="V68" s="11" t="n">
        <f aca="false">ABS(I68)</f>
        <v>0.01718</v>
      </c>
      <c r="W68" s="11" t="n">
        <f aca="false">ABS(D68)</f>
        <v>0.00508</v>
      </c>
      <c r="X68" s="11" t="n">
        <f aca="false">ABS(J68)</f>
        <v>0.0052</v>
      </c>
      <c r="Y68" s="11" t="n">
        <f aca="false">ABS(E68)</f>
        <v>0.00018</v>
      </c>
      <c r="Z68" s="11" t="n">
        <f aca="false">ABS(K68)</f>
        <v>0.00019</v>
      </c>
    </row>
    <row r="69" customFormat="false" ht="15" hidden="false" customHeight="false" outlineLevel="0" collapsed="false">
      <c r="A69" s="4" t="n">
        <v>199</v>
      </c>
      <c r="B69" s="4" t="n">
        <v>66</v>
      </c>
      <c r="C69" s="19" t="n">
        <v>0.01346</v>
      </c>
      <c r="D69" s="19" t="n">
        <v>0.00116</v>
      </c>
      <c r="E69" s="19" t="n">
        <v>-0.00307</v>
      </c>
      <c r="F69" s="19" t="n">
        <v>-0.00012</v>
      </c>
      <c r="G69" s="19" t="n">
        <v>0.00026</v>
      </c>
      <c r="H69" s="19" t="n">
        <v>-3E-005</v>
      </c>
      <c r="I69" s="19" t="n">
        <v>0.01618</v>
      </c>
      <c r="J69" s="19" t="n">
        <v>0.001</v>
      </c>
      <c r="K69" s="19" t="n">
        <v>-0.00406</v>
      </c>
      <c r="L69" s="19" t="n">
        <v>-0.00013</v>
      </c>
      <c r="M69" s="19" t="n">
        <v>0.00023</v>
      </c>
      <c r="N69" s="11" t="n">
        <f aca="false">SQRT(C69^2+D69^2+E69^2)</f>
        <v>0.013854317016728</v>
      </c>
      <c r="O69" s="11" t="n">
        <f aca="false">SQRT(I69^2+J69^2+K69^2)</f>
        <v>0.0167115528901416</v>
      </c>
      <c r="P69" s="11" t="n">
        <f aca="false">O69-N69</f>
        <v>0.00285723587341356</v>
      </c>
      <c r="Q69" s="12" t="n">
        <f aca="false">IF(N69&lt;0.001,"-",O69/N69-1)</f>
        <v>0.206234336197423</v>
      </c>
      <c r="R69" s="19" t="n">
        <v>-4E-005</v>
      </c>
      <c r="S69" s="4"/>
      <c r="T69" s="4" t="str">
        <f aca="false">IF(N69&gt;=0.01,"SÍ","no")</f>
        <v>SÍ</v>
      </c>
      <c r="U69" s="11" t="n">
        <f aca="false">ABS(C69)</f>
        <v>0.01346</v>
      </c>
      <c r="V69" s="11" t="n">
        <f aca="false">ABS(I69)</f>
        <v>0.01618</v>
      </c>
      <c r="W69" s="11" t="n">
        <f aca="false">ABS(D69)</f>
        <v>0.00116</v>
      </c>
      <c r="X69" s="11" t="n">
        <f aca="false">ABS(J69)</f>
        <v>0.001</v>
      </c>
      <c r="Y69" s="11" t="n">
        <f aca="false">ABS(E69)</f>
        <v>0.00307</v>
      </c>
      <c r="Z69" s="11" t="n">
        <f aca="false">ABS(K69)</f>
        <v>0.00406</v>
      </c>
    </row>
    <row r="70" customFormat="false" ht="15" hidden="false" customHeight="false" outlineLevel="0" collapsed="false">
      <c r="A70" s="4" t="n">
        <v>200</v>
      </c>
      <c r="B70" s="4" t="n">
        <v>67</v>
      </c>
      <c r="C70" s="19" t="n">
        <v>0.00622</v>
      </c>
      <c r="D70" s="19" t="n">
        <v>0.00246</v>
      </c>
      <c r="E70" s="19" t="n">
        <v>-0.00015</v>
      </c>
      <c r="F70" s="19" t="n">
        <v>-0.0001</v>
      </c>
      <c r="G70" s="19" t="n">
        <v>0.00027</v>
      </c>
      <c r="H70" s="19" t="n">
        <v>-9E-005</v>
      </c>
      <c r="I70" s="19" t="n">
        <v>0.00655</v>
      </c>
      <c r="J70" s="19" t="n">
        <v>0.00256</v>
      </c>
      <c r="K70" s="19" t="n">
        <v>-0.00013</v>
      </c>
      <c r="L70" s="19" t="n">
        <v>-0.00011</v>
      </c>
      <c r="M70" s="19" t="n">
        <v>0.00028</v>
      </c>
      <c r="N70" s="11" t="n">
        <f aca="false">SQRT(C70^2+D70^2+E70^2)</f>
        <v>0.00669047830876089</v>
      </c>
      <c r="O70" s="11" t="n">
        <f aca="false">SQRT(I70^2+J70^2+K70^2)</f>
        <v>0.00703370457156113</v>
      </c>
      <c r="P70" s="11" t="n">
        <f aca="false">O70-N70</f>
        <v>0.000343226262800243</v>
      </c>
      <c r="Q70" s="12" t="n">
        <f aca="false">IF(N70&lt;0.001,"-",O70/N70-1)</f>
        <v>0.0513007063113564</v>
      </c>
      <c r="R70" s="19" t="n">
        <v>-0.0001</v>
      </c>
      <c r="S70" s="4"/>
      <c r="T70" s="4" t="str">
        <f aca="false">IF(N70&gt;=0.01,"SÍ","no")</f>
        <v>no</v>
      </c>
      <c r="U70" s="11" t="n">
        <f aca="false">ABS(C70)</f>
        <v>0.00622</v>
      </c>
      <c r="V70" s="11" t="n">
        <f aca="false">ABS(I70)</f>
        <v>0.00655</v>
      </c>
      <c r="W70" s="11" t="n">
        <f aca="false">ABS(D70)</f>
        <v>0.00246</v>
      </c>
      <c r="X70" s="11" t="n">
        <f aca="false">ABS(J70)</f>
        <v>0.00256</v>
      </c>
      <c r="Y70" s="11" t="n">
        <f aca="false">ABS(E70)</f>
        <v>0.00015</v>
      </c>
      <c r="Z70" s="11" t="n">
        <f aca="false">ABS(K70)</f>
        <v>0.00013</v>
      </c>
    </row>
    <row r="71" customFormat="false" ht="15" hidden="false" customHeight="false" outlineLevel="0" collapsed="false">
      <c r="A71" s="4" t="n">
        <v>201</v>
      </c>
      <c r="B71" s="4" t="n">
        <v>68</v>
      </c>
      <c r="C71" s="19" t="n">
        <v>0.02114</v>
      </c>
      <c r="D71" s="19" t="n">
        <v>0.00456</v>
      </c>
      <c r="E71" s="19" t="n">
        <v>-0.00302</v>
      </c>
      <c r="F71" s="19" t="n">
        <v>-0.00011</v>
      </c>
      <c r="G71" s="19" t="n">
        <v>0.00033</v>
      </c>
      <c r="H71" s="19" t="n">
        <v>-2E-005</v>
      </c>
      <c r="I71" s="19" t="n">
        <v>0.02297</v>
      </c>
      <c r="J71" s="19" t="n">
        <v>0.00467</v>
      </c>
      <c r="K71" s="19" t="n">
        <v>-0.00404</v>
      </c>
      <c r="L71" s="19" t="n">
        <v>-0.00012</v>
      </c>
      <c r="M71" s="19" t="n">
        <v>0.0003</v>
      </c>
      <c r="N71" s="11" t="n">
        <f aca="false">SQRT(C71^2+D71^2+E71^2)</f>
        <v>0.0218360619160141</v>
      </c>
      <c r="O71" s="11" t="n">
        <f aca="false">SQRT(I71^2+J71^2+K71^2)</f>
        <v>0.0237855292142092</v>
      </c>
      <c r="P71" s="11" t="n">
        <f aca="false">O71-N71</f>
        <v>0.00194946729819515</v>
      </c>
      <c r="Q71" s="12" t="n">
        <f aca="false">IF(N71&lt;0.001,"-",O71/N71-1)</f>
        <v>0.0892774212535756</v>
      </c>
      <c r="R71" s="19" t="n">
        <v>-2E-005</v>
      </c>
      <c r="S71" s="4"/>
      <c r="T71" s="4" t="str">
        <f aca="false">IF(N71&gt;=0.01,"SÍ","no")</f>
        <v>SÍ</v>
      </c>
      <c r="U71" s="11" t="n">
        <f aca="false">ABS(C71)</f>
        <v>0.02114</v>
      </c>
      <c r="V71" s="11" t="n">
        <f aca="false">ABS(I71)</f>
        <v>0.02297</v>
      </c>
      <c r="W71" s="11" t="n">
        <f aca="false">ABS(D71)</f>
        <v>0.00456</v>
      </c>
      <c r="X71" s="11" t="n">
        <f aca="false">ABS(J71)</f>
        <v>0.00467</v>
      </c>
      <c r="Y71" s="11" t="n">
        <f aca="false">ABS(E71)</f>
        <v>0.00302</v>
      </c>
      <c r="Z71" s="11" t="n">
        <f aca="false">ABS(K71)</f>
        <v>0.00404</v>
      </c>
    </row>
    <row r="72" customFormat="false" ht="15" hidden="false" customHeight="false" outlineLevel="0" collapsed="false">
      <c r="A72" s="4" t="n">
        <v>202</v>
      </c>
      <c r="B72" s="4" t="n">
        <v>69</v>
      </c>
      <c r="C72" s="19" t="n">
        <v>0.02693</v>
      </c>
      <c r="D72" s="19" t="n">
        <v>0.00982</v>
      </c>
      <c r="E72" s="19" t="n">
        <v>-7E-005</v>
      </c>
      <c r="F72" s="19" t="n">
        <v>-0.0001</v>
      </c>
      <c r="G72" s="19" t="n">
        <v>0.00033</v>
      </c>
      <c r="H72" s="19" t="n">
        <v>-3E-005</v>
      </c>
      <c r="I72" s="19" t="n">
        <v>0.02792</v>
      </c>
      <c r="J72" s="19" t="n">
        <v>0.01012</v>
      </c>
      <c r="K72" s="19" t="n">
        <v>-5E-005</v>
      </c>
      <c r="L72" s="19" t="n">
        <v>-0.0001</v>
      </c>
      <c r="M72" s="19" t="n">
        <v>0.00032</v>
      </c>
      <c r="N72" s="11" t="n">
        <f aca="false">SQRT(C72^2+D72^2+E72^2)</f>
        <v>0.0286646507043083</v>
      </c>
      <c r="O72" s="11" t="n">
        <f aca="false">SQRT(I72^2+J72^2+K72^2)</f>
        <v>0.0296975302003382</v>
      </c>
      <c r="P72" s="11" t="n">
        <f aca="false">O72-N72</f>
        <v>0.00103287949602995</v>
      </c>
      <c r="Q72" s="12" t="n">
        <f aca="false">IF(N72&lt;0.001,"-",O72/N72-1)</f>
        <v>0.0360332141034849</v>
      </c>
      <c r="R72" s="19" t="n">
        <v>-4E-005</v>
      </c>
      <c r="S72" s="4"/>
      <c r="T72" s="4" t="str">
        <f aca="false">IF(N72&gt;=0.01,"SÍ","no")</f>
        <v>SÍ</v>
      </c>
      <c r="U72" s="11" t="n">
        <f aca="false">ABS(C72)</f>
        <v>0.02693</v>
      </c>
      <c r="V72" s="11" t="n">
        <f aca="false">ABS(I72)</f>
        <v>0.02792</v>
      </c>
      <c r="W72" s="11" t="n">
        <f aca="false">ABS(D72)</f>
        <v>0.00982</v>
      </c>
      <c r="X72" s="11" t="n">
        <f aca="false">ABS(J72)</f>
        <v>0.01012</v>
      </c>
      <c r="Y72" s="11" t="n">
        <f aca="false">ABS(E72)</f>
        <v>7E-005</v>
      </c>
      <c r="Z72" s="11" t="n">
        <f aca="false">ABS(K72)</f>
        <v>5E-005</v>
      </c>
    </row>
    <row r="73" customFormat="false" ht="15" hidden="false" customHeight="false" outlineLevel="0" collapsed="false">
      <c r="A73" s="4" t="n">
        <v>203</v>
      </c>
      <c r="B73" s="4" t="n">
        <v>70</v>
      </c>
      <c r="C73" s="19" t="n">
        <v>0.04374</v>
      </c>
      <c r="D73" s="19" t="n">
        <v>0.0101</v>
      </c>
      <c r="E73" s="19" t="n">
        <v>-0.00268</v>
      </c>
      <c r="F73" s="19" t="n">
        <v>-8E-005</v>
      </c>
      <c r="G73" s="19" t="n">
        <v>0.00032</v>
      </c>
      <c r="H73" s="19" t="n">
        <v>-9E-005</v>
      </c>
      <c r="I73" s="19" t="n">
        <v>0.045</v>
      </c>
      <c r="J73" s="19" t="n">
        <v>0.01039</v>
      </c>
      <c r="K73" s="19" t="n">
        <v>-0.00355</v>
      </c>
      <c r="L73" s="19" t="n">
        <v>-8E-005</v>
      </c>
      <c r="M73" s="19" t="n">
        <v>0.00032</v>
      </c>
      <c r="N73" s="11" t="n">
        <f aca="false">SQRT(C73^2+D73^2+E73^2)</f>
        <v>0.0449708794666059</v>
      </c>
      <c r="O73" s="11" t="n">
        <f aca="false">SQRT(I73^2+J73^2+K73^2)</f>
        <v>0.0463201316923862</v>
      </c>
      <c r="P73" s="11" t="n">
        <f aca="false">O73-N73</f>
        <v>0.00134925222578026</v>
      </c>
      <c r="Q73" s="12" t="n">
        <f aca="false">IF(N73&lt;0.001,"-",O73/N73-1)</f>
        <v>0.0300027982948872</v>
      </c>
      <c r="R73" s="19" t="n">
        <v>-9E-005</v>
      </c>
      <c r="S73" s="4"/>
      <c r="T73" s="4" t="str">
        <f aca="false">IF(N73&gt;=0.01,"SÍ","no")</f>
        <v>SÍ</v>
      </c>
      <c r="U73" s="11" t="n">
        <f aca="false">ABS(C73)</f>
        <v>0.04374</v>
      </c>
      <c r="V73" s="11" t="n">
        <f aca="false">ABS(I73)</f>
        <v>0.045</v>
      </c>
      <c r="W73" s="11" t="n">
        <f aca="false">ABS(D73)</f>
        <v>0.0101</v>
      </c>
      <c r="X73" s="11" t="n">
        <f aca="false">ABS(J73)</f>
        <v>0.01039</v>
      </c>
      <c r="Y73" s="11" t="n">
        <f aca="false">ABS(E73)</f>
        <v>0.00268</v>
      </c>
      <c r="Z73" s="11" t="n">
        <f aca="false">ABS(K73)</f>
        <v>0.00355</v>
      </c>
    </row>
    <row r="74" customFormat="false" ht="15" hidden="false" customHeight="false" outlineLevel="0" collapsed="false">
      <c r="A74" s="4" t="n">
        <v>204</v>
      </c>
      <c r="B74" s="4" t="n">
        <v>71</v>
      </c>
      <c r="C74" s="19" t="n">
        <v>0.03477</v>
      </c>
      <c r="D74" s="19" t="n">
        <v>0.01212</v>
      </c>
      <c r="E74" s="19" t="n">
        <v>-4E-005</v>
      </c>
      <c r="F74" s="19" t="n">
        <v>-7E-005</v>
      </c>
      <c r="G74" s="19" t="n">
        <v>0.00023</v>
      </c>
      <c r="H74" s="19" t="n">
        <v>-1E-005</v>
      </c>
      <c r="I74" s="19" t="n">
        <v>0.03563</v>
      </c>
      <c r="J74" s="19" t="n">
        <v>0.01237</v>
      </c>
      <c r="K74" s="19" t="n">
        <v>-2E-005</v>
      </c>
      <c r="L74" s="19" t="n">
        <v>-6E-005</v>
      </c>
      <c r="M74" s="19" t="n">
        <v>0.00023</v>
      </c>
      <c r="N74" s="11" t="n">
        <f aca="false">SQRT(C74^2+D74^2+E74^2)</f>
        <v>0.0368218535655119</v>
      </c>
      <c r="O74" s="11" t="n">
        <f aca="false">SQRT(I74^2+J74^2+K74^2)</f>
        <v>0.0377162325796201</v>
      </c>
      <c r="P74" s="11" t="n">
        <f aca="false">O74-N74</f>
        <v>0.000894379014108264</v>
      </c>
      <c r="Q74" s="12" t="n">
        <f aca="false">IF(N74&lt;0.001,"-",O74/N74-1)</f>
        <v>0.0242893534003394</v>
      </c>
      <c r="R74" s="19" t="n">
        <v>-1E-005</v>
      </c>
      <c r="S74" s="4"/>
      <c r="T74" s="4" t="str">
        <f aca="false">IF(N74&gt;=0.01,"SÍ","no")</f>
        <v>SÍ</v>
      </c>
      <c r="U74" s="11" t="n">
        <f aca="false">ABS(C74)</f>
        <v>0.03477</v>
      </c>
      <c r="V74" s="11" t="n">
        <f aca="false">ABS(I74)</f>
        <v>0.03563</v>
      </c>
      <c r="W74" s="11" t="n">
        <f aca="false">ABS(D74)</f>
        <v>0.01212</v>
      </c>
      <c r="X74" s="11" t="n">
        <f aca="false">ABS(J74)</f>
        <v>0.01237</v>
      </c>
      <c r="Y74" s="11" t="n">
        <f aca="false">ABS(E74)</f>
        <v>4E-005</v>
      </c>
      <c r="Z74" s="11" t="n">
        <f aca="false">ABS(K74)</f>
        <v>2E-005</v>
      </c>
    </row>
    <row r="75" customFormat="false" ht="15" hidden="false" customHeight="false" outlineLevel="0" collapsed="false">
      <c r="A75" s="4" t="n">
        <v>205</v>
      </c>
      <c r="B75" s="4" t="n">
        <v>72</v>
      </c>
      <c r="C75" s="19" t="n">
        <v>0.05191</v>
      </c>
      <c r="D75" s="19" t="n">
        <v>0.01209</v>
      </c>
      <c r="E75" s="19" t="n">
        <v>-0.00243</v>
      </c>
      <c r="F75" s="19" t="n">
        <v>-5E-005</v>
      </c>
      <c r="G75" s="19" t="n">
        <v>0.00026</v>
      </c>
      <c r="H75" s="19" t="n">
        <v>-0.00011</v>
      </c>
      <c r="I75" s="19" t="n">
        <v>0.05321</v>
      </c>
      <c r="J75" s="19" t="n">
        <v>0.01237</v>
      </c>
      <c r="K75" s="19" t="n">
        <v>-0.00331</v>
      </c>
      <c r="L75" s="19" t="n">
        <v>-6E-005</v>
      </c>
      <c r="M75" s="19" t="n">
        <v>0.00026</v>
      </c>
      <c r="N75" s="11" t="n">
        <f aca="false">SQRT(C75^2+D75^2+E75^2)</f>
        <v>0.0533546727100823</v>
      </c>
      <c r="O75" s="11" t="n">
        <f aca="false">SQRT(I75^2+J75^2+K75^2)</f>
        <v>0.0547291247874475</v>
      </c>
      <c r="P75" s="11" t="n">
        <f aca="false">O75-N75</f>
        <v>0.00137445207736521</v>
      </c>
      <c r="Q75" s="12" t="n">
        <f aca="false">IF(N75&lt;0.001,"-",O75/N75-1)</f>
        <v>0.0257606692638466</v>
      </c>
      <c r="R75" s="19" t="n">
        <v>-0.00011</v>
      </c>
      <c r="S75" s="4"/>
      <c r="T75" s="4" t="str">
        <f aca="false">IF(N75&gt;=0.01,"SÍ","no")</f>
        <v>SÍ</v>
      </c>
      <c r="U75" s="11" t="n">
        <f aca="false">ABS(C75)</f>
        <v>0.05191</v>
      </c>
      <c r="V75" s="11" t="n">
        <f aca="false">ABS(I75)</f>
        <v>0.05321</v>
      </c>
      <c r="W75" s="11" t="n">
        <f aca="false">ABS(D75)</f>
        <v>0.01209</v>
      </c>
      <c r="X75" s="11" t="n">
        <f aca="false">ABS(J75)</f>
        <v>0.01237</v>
      </c>
      <c r="Y75" s="11" t="n">
        <f aca="false">ABS(E75)</f>
        <v>0.00243</v>
      </c>
      <c r="Z75" s="11" t="n">
        <f aca="false">ABS(K75)</f>
        <v>0.00331</v>
      </c>
    </row>
    <row r="76" customFormat="false" ht="15" hidden="false" customHeight="false" outlineLevel="0" collapsed="false">
      <c r="A76" s="4" t="n">
        <v>206</v>
      </c>
      <c r="B76" s="4" t="n">
        <v>73</v>
      </c>
      <c r="C76" s="19" t="n">
        <v>0.03473</v>
      </c>
      <c r="D76" s="19" t="n">
        <v>0.01212</v>
      </c>
      <c r="E76" s="19" t="n">
        <v>9E-005</v>
      </c>
      <c r="F76" s="19" t="n">
        <v>7E-005</v>
      </c>
      <c r="G76" s="19" t="n">
        <v>-0.00024</v>
      </c>
      <c r="H76" s="19" t="n">
        <v>-1E-005</v>
      </c>
      <c r="I76" s="19" t="n">
        <v>0.03572</v>
      </c>
      <c r="J76" s="19" t="n">
        <v>0.01225</v>
      </c>
      <c r="K76" s="19" t="n">
        <v>0.0001</v>
      </c>
      <c r="L76" s="19" t="n">
        <v>7E-005</v>
      </c>
      <c r="M76" s="19" t="n">
        <v>-0.00025</v>
      </c>
      <c r="N76" s="11" t="n">
        <f aca="false">SQRT(C76^2+D76^2+E76^2)</f>
        <v>0.0367841732270823</v>
      </c>
      <c r="O76" s="11" t="n">
        <f aca="false">SQRT(I76^2+J76^2+K76^2)</f>
        <v>0.0377622946866315</v>
      </c>
      <c r="P76" s="11" t="n">
        <f aca="false">O76-N76</f>
        <v>0.00097812145954921</v>
      </c>
      <c r="Q76" s="12" t="n">
        <f aca="false">IF(N76&lt;0.001,"-",O76/N76-1)</f>
        <v>0.0265908235455206</v>
      </c>
      <c r="R76" s="19" t="n">
        <v>-1E-005</v>
      </c>
      <c r="S76" s="4"/>
      <c r="T76" s="4" t="str">
        <f aca="false">IF(N76&gt;=0.01,"SÍ","no")</f>
        <v>SÍ</v>
      </c>
      <c r="U76" s="11" t="n">
        <f aca="false">ABS(C76)</f>
        <v>0.03473</v>
      </c>
      <c r="V76" s="11" t="n">
        <f aca="false">ABS(I76)</f>
        <v>0.03572</v>
      </c>
      <c r="W76" s="11" t="n">
        <f aca="false">ABS(D76)</f>
        <v>0.01212</v>
      </c>
      <c r="X76" s="11" t="n">
        <f aca="false">ABS(J76)</f>
        <v>0.01225</v>
      </c>
      <c r="Y76" s="11" t="n">
        <f aca="false">ABS(E76)</f>
        <v>9E-005</v>
      </c>
      <c r="Z76" s="11" t="n">
        <f aca="false">ABS(K76)</f>
        <v>0.0001</v>
      </c>
    </row>
    <row r="77" customFormat="false" ht="15" hidden="false" customHeight="false" outlineLevel="0" collapsed="false">
      <c r="A77" s="4" t="n">
        <v>207</v>
      </c>
      <c r="B77" s="4" t="n">
        <v>74</v>
      </c>
      <c r="C77" s="19" t="n">
        <v>0.05269</v>
      </c>
      <c r="D77" s="19" t="n">
        <v>0.01189</v>
      </c>
      <c r="E77" s="19" t="n">
        <v>-0.00135</v>
      </c>
      <c r="F77" s="19" t="n">
        <v>5E-005</v>
      </c>
      <c r="G77" s="19" t="n">
        <v>-0.00026</v>
      </c>
      <c r="H77" s="19" t="n">
        <v>-0.00012</v>
      </c>
      <c r="I77" s="19" t="n">
        <v>0.05432</v>
      </c>
      <c r="J77" s="19" t="n">
        <v>0.012</v>
      </c>
      <c r="K77" s="19" t="n">
        <v>-0.00222</v>
      </c>
      <c r="L77" s="19" t="n">
        <v>5E-005</v>
      </c>
      <c r="M77" s="19" t="n">
        <v>-0.00026</v>
      </c>
      <c r="N77" s="11" t="n">
        <f aca="false">SQRT(C77^2+D77^2+E77^2)</f>
        <v>0.0540317564030636</v>
      </c>
      <c r="O77" s="11" t="n">
        <f aca="false">SQRT(I77^2+J77^2+K77^2)</f>
        <v>0.0556739687825468</v>
      </c>
      <c r="P77" s="11" t="n">
        <f aca="false">O77-N77</f>
        <v>0.00164221237948328</v>
      </c>
      <c r="Q77" s="12" t="n">
        <f aca="false">IF(N77&lt;0.001,"-",O77/N77-1)</f>
        <v>0.0303934665242562</v>
      </c>
      <c r="R77" s="19" t="n">
        <v>-0.00013</v>
      </c>
      <c r="S77" s="4"/>
      <c r="T77" s="4" t="str">
        <f aca="false">IF(N77&gt;=0.01,"SÍ","no")</f>
        <v>SÍ</v>
      </c>
      <c r="U77" s="11" t="n">
        <f aca="false">ABS(C77)</f>
        <v>0.05269</v>
      </c>
      <c r="V77" s="11" t="n">
        <f aca="false">ABS(I77)</f>
        <v>0.05432</v>
      </c>
      <c r="W77" s="11" t="n">
        <f aca="false">ABS(D77)</f>
        <v>0.01189</v>
      </c>
      <c r="X77" s="11" t="n">
        <f aca="false">ABS(J77)</f>
        <v>0.012</v>
      </c>
      <c r="Y77" s="11" t="n">
        <f aca="false">ABS(E77)</f>
        <v>0.00135</v>
      </c>
      <c r="Z77" s="11" t="n">
        <f aca="false">ABS(K77)</f>
        <v>0.00222</v>
      </c>
    </row>
    <row r="78" customFormat="false" ht="15" hidden="false" customHeight="false" outlineLevel="0" collapsed="false">
      <c r="A78" s="4" t="n">
        <v>208</v>
      </c>
      <c r="B78" s="4" t="n">
        <v>75</v>
      </c>
      <c r="C78" s="19" t="n">
        <v>0.02624</v>
      </c>
      <c r="D78" s="19" t="n">
        <v>0.00956</v>
      </c>
      <c r="E78" s="19" t="n">
        <v>0.00012</v>
      </c>
      <c r="F78" s="19" t="n">
        <v>0.0001</v>
      </c>
      <c r="G78" s="19" t="n">
        <v>-0.00034</v>
      </c>
      <c r="H78" s="19" t="n">
        <v>-4E-005</v>
      </c>
      <c r="I78" s="19" t="n">
        <v>0.02717</v>
      </c>
      <c r="J78" s="19" t="n">
        <v>0.0097</v>
      </c>
      <c r="K78" s="19" t="n">
        <v>0.00014</v>
      </c>
      <c r="L78" s="19" t="n">
        <v>0.0001</v>
      </c>
      <c r="M78" s="19" t="n">
        <v>-0.00034</v>
      </c>
      <c r="N78" s="11" t="n">
        <f aca="false">SQRT(C78^2+D78^2+E78^2)</f>
        <v>0.0279275061543275</v>
      </c>
      <c r="O78" s="11" t="n">
        <f aca="false">SQRT(I78^2+J78^2+K78^2)</f>
        <v>0.0288499306758266</v>
      </c>
      <c r="P78" s="11" t="n">
        <f aca="false">O78-N78</f>
        <v>0.000922424521499096</v>
      </c>
      <c r="Q78" s="12" t="n">
        <f aca="false">IF(N78&lt;0.001,"-",O78/N78-1)</f>
        <v>0.0330292478104481</v>
      </c>
      <c r="R78" s="19" t="n">
        <v>-4E-005</v>
      </c>
      <c r="S78" s="4"/>
      <c r="T78" s="4" t="str">
        <f aca="false">IF(N78&gt;=0.01,"SÍ","no")</f>
        <v>SÍ</v>
      </c>
      <c r="U78" s="11" t="n">
        <f aca="false">ABS(C78)</f>
        <v>0.02624</v>
      </c>
      <c r="V78" s="11" t="n">
        <f aca="false">ABS(I78)</f>
        <v>0.02717</v>
      </c>
      <c r="W78" s="11" t="n">
        <f aca="false">ABS(D78)</f>
        <v>0.00956</v>
      </c>
      <c r="X78" s="11" t="n">
        <f aca="false">ABS(J78)</f>
        <v>0.0097</v>
      </c>
      <c r="Y78" s="11" t="n">
        <f aca="false">ABS(E78)</f>
        <v>0.00012</v>
      </c>
      <c r="Z78" s="11" t="n">
        <f aca="false">ABS(K78)</f>
        <v>0.00014</v>
      </c>
    </row>
    <row r="79" customFormat="false" ht="15" hidden="false" customHeight="false" outlineLevel="0" collapsed="false">
      <c r="A79" s="4" t="n">
        <v>209</v>
      </c>
      <c r="B79" s="4" t="n">
        <v>76</v>
      </c>
      <c r="C79" s="19" t="n">
        <v>0.04417</v>
      </c>
      <c r="D79" s="19" t="n">
        <v>0.01006</v>
      </c>
      <c r="E79" s="19" t="n">
        <v>-0.00108</v>
      </c>
      <c r="F79" s="19" t="n">
        <v>8E-005</v>
      </c>
      <c r="G79" s="19" t="n">
        <v>-0.00031</v>
      </c>
      <c r="H79" s="19" t="n">
        <v>-8E-005</v>
      </c>
      <c r="I79" s="19" t="n">
        <v>0.04579</v>
      </c>
      <c r="J79" s="19" t="n">
        <v>0.01019</v>
      </c>
      <c r="K79" s="19" t="n">
        <v>-0.00198</v>
      </c>
      <c r="L79" s="19" t="n">
        <v>8E-005</v>
      </c>
      <c r="M79" s="19" t="n">
        <v>-0.00031</v>
      </c>
      <c r="N79" s="11" t="n">
        <f aca="false">SQRT(C79^2+D79^2+E79^2)</f>
        <v>0.0453140033543716</v>
      </c>
      <c r="O79" s="11" t="n">
        <f aca="false">SQRT(I79^2+J79^2+K79^2)</f>
        <v>0.0469518966603054</v>
      </c>
      <c r="P79" s="11" t="n">
        <f aca="false">O79-N79</f>
        <v>0.00163789330593384</v>
      </c>
      <c r="Q79" s="12" t="n">
        <f aca="false">IF(N79&lt;0.001,"-",O79/N79-1)</f>
        <v>0.0361454116760536</v>
      </c>
      <c r="R79" s="19" t="n">
        <v>-9E-005</v>
      </c>
      <c r="S79" s="4"/>
      <c r="T79" s="4" t="str">
        <f aca="false">IF(N79&gt;=0.01,"SÍ","no")</f>
        <v>SÍ</v>
      </c>
      <c r="U79" s="11" t="n">
        <f aca="false">ABS(C79)</f>
        <v>0.04417</v>
      </c>
      <c r="V79" s="11" t="n">
        <f aca="false">ABS(I79)</f>
        <v>0.04579</v>
      </c>
      <c r="W79" s="11" t="n">
        <f aca="false">ABS(D79)</f>
        <v>0.01006</v>
      </c>
      <c r="X79" s="11" t="n">
        <f aca="false">ABS(J79)</f>
        <v>0.01019</v>
      </c>
      <c r="Y79" s="11" t="n">
        <f aca="false">ABS(E79)</f>
        <v>0.00108</v>
      </c>
      <c r="Z79" s="11" t="n">
        <f aca="false">ABS(K79)</f>
        <v>0.00198</v>
      </c>
    </row>
    <row r="80" customFormat="false" ht="15" hidden="false" customHeight="false" outlineLevel="0" collapsed="false">
      <c r="A80" s="4" t="n">
        <v>210</v>
      </c>
      <c r="B80" s="4" t="n">
        <v>77</v>
      </c>
      <c r="C80" s="19" t="n">
        <v>0.00696</v>
      </c>
      <c r="D80" s="19" t="n">
        <v>0.00286</v>
      </c>
      <c r="E80" s="19" t="n">
        <v>0.0002</v>
      </c>
      <c r="F80" s="19" t="n">
        <v>0.0001</v>
      </c>
      <c r="G80" s="19" t="n">
        <v>-0.00027</v>
      </c>
      <c r="H80" s="19" t="n">
        <v>-7E-005</v>
      </c>
      <c r="I80" s="19" t="n">
        <v>0.00735</v>
      </c>
      <c r="J80" s="19" t="n">
        <v>0.00295</v>
      </c>
      <c r="K80" s="19" t="n">
        <v>0.00022</v>
      </c>
      <c r="L80" s="19" t="n">
        <v>0.00011</v>
      </c>
      <c r="M80" s="19" t="n">
        <v>-0.0003</v>
      </c>
      <c r="N80" s="11" t="n">
        <f aca="false">SQRT(C80^2+D80^2+E80^2)</f>
        <v>0.00752736341623015</v>
      </c>
      <c r="O80" s="11" t="n">
        <f aca="false">SQRT(I80^2+J80^2+K80^2)</f>
        <v>0.00792296661611041</v>
      </c>
      <c r="P80" s="11" t="n">
        <f aca="false">O80-N80</f>
        <v>0.00039560319988026</v>
      </c>
      <c r="Q80" s="12" t="n">
        <f aca="false">IF(N80&lt;0.001,"-",O80/N80-1)</f>
        <v>0.0525553474709721</v>
      </c>
      <c r="R80" s="19" t="n">
        <v>-7E-005</v>
      </c>
      <c r="S80" s="4"/>
      <c r="T80" s="4" t="str">
        <f aca="false">IF(N80&gt;=0.01,"SÍ","no")</f>
        <v>no</v>
      </c>
      <c r="U80" s="11" t="n">
        <f aca="false">ABS(C80)</f>
        <v>0.00696</v>
      </c>
      <c r="V80" s="11" t="n">
        <f aca="false">ABS(I80)</f>
        <v>0.00735</v>
      </c>
      <c r="W80" s="11" t="n">
        <f aca="false">ABS(D80)</f>
        <v>0.00286</v>
      </c>
      <c r="X80" s="11" t="n">
        <f aca="false">ABS(J80)</f>
        <v>0.00295</v>
      </c>
      <c r="Y80" s="11" t="n">
        <f aca="false">ABS(E80)</f>
        <v>0.0002</v>
      </c>
      <c r="Z80" s="11" t="n">
        <f aca="false">ABS(K80)</f>
        <v>0.00022</v>
      </c>
    </row>
    <row r="81" customFormat="false" ht="15" hidden="false" customHeight="false" outlineLevel="0" collapsed="false">
      <c r="A81" s="4" t="n">
        <v>211</v>
      </c>
      <c r="B81" s="4" t="n">
        <v>78</v>
      </c>
      <c r="C81" s="19" t="n">
        <v>0.02231</v>
      </c>
      <c r="D81" s="19" t="n">
        <v>0.00442</v>
      </c>
      <c r="E81" s="19" t="n">
        <v>-0.00096</v>
      </c>
      <c r="F81" s="19" t="n">
        <v>9E-005</v>
      </c>
      <c r="G81" s="19" t="n">
        <v>-0.0004</v>
      </c>
      <c r="H81" s="19" t="n">
        <v>-3E-005</v>
      </c>
      <c r="I81" s="19" t="n">
        <v>0.02447</v>
      </c>
      <c r="J81" s="19" t="n">
        <v>0.00446</v>
      </c>
      <c r="K81" s="19" t="n">
        <v>-0.00184</v>
      </c>
      <c r="L81" s="19" t="n">
        <v>9E-005</v>
      </c>
      <c r="M81" s="19" t="n">
        <v>-0.00039</v>
      </c>
      <c r="N81" s="11" t="n">
        <f aca="false">SQRT(C81^2+D81^2+E81^2)</f>
        <v>0.0227638770862962</v>
      </c>
      <c r="O81" s="11" t="n">
        <f aca="false">SQRT(I81^2+J81^2+K81^2)</f>
        <v>0.0249410925983606</v>
      </c>
      <c r="P81" s="11" t="n">
        <f aca="false">O81-N81</f>
        <v>0.00217721551206447</v>
      </c>
      <c r="Q81" s="12" t="n">
        <f aca="false">IF(N81&lt;0.001,"-",O81/N81-1)</f>
        <v>0.0956434399909474</v>
      </c>
      <c r="R81" s="19" t="n">
        <v>-4E-005</v>
      </c>
      <c r="S81" s="4"/>
      <c r="T81" s="4" t="str">
        <f aca="false">IF(N81&gt;=0.01,"SÍ","no")</f>
        <v>SÍ</v>
      </c>
      <c r="U81" s="11" t="n">
        <f aca="false">ABS(C81)</f>
        <v>0.02231</v>
      </c>
      <c r="V81" s="11" t="n">
        <f aca="false">ABS(I81)</f>
        <v>0.02447</v>
      </c>
      <c r="W81" s="11" t="n">
        <f aca="false">ABS(D81)</f>
        <v>0.00442</v>
      </c>
      <c r="X81" s="11" t="n">
        <f aca="false">ABS(J81)</f>
        <v>0.00446</v>
      </c>
      <c r="Y81" s="11" t="n">
        <f aca="false">ABS(E81)</f>
        <v>0.00096</v>
      </c>
      <c r="Z81" s="11" t="n">
        <f aca="false">ABS(K81)</f>
        <v>0.00184</v>
      </c>
    </row>
    <row r="82" customFormat="false" ht="15" hidden="false" customHeight="false" outlineLevel="0" collapsed="false">
      <c r="A82" s="4" t="n">
        <v>212</v>
      </c>
      <c r="B82" s="4" t="n">
        <v>79</v>
      </c>
      <c r="C82" s="19" t="n">
        <v>0.00153</v>
      </c>
      <c r="D82" s="19" t="n">
        <v>6E-005</v>
      </c>
      <c r="E82" s="19" t="n">
        <v>0.00025</v>
      </c>
      <c r="F82" s="19" t="n">
        <v>0</v>
      </c>
      <c r="G82" s="19" t="n">
        <v>-1E-005</v>
      </c>
      <c r="H82" s="19" t="n">
        <v>-1E-005</v>
      </c>
      <c r="I82" s="19" t="n">
        <v>0.00152</v>
      </c>
      <c r="J82" s="19" t="n">
        <v>6E-005</v>
      </c>
      <c r="K82" s="19" t="n">
        <v>0.00026</v>
      </c>
      <c r="L82" s="19" t="n">
        <v>0</v>
      </c>
      <c r="M82" s="19" t="n">
        <v>-1E-005</v>
      </c>
      <c r="N82" s="11" t="n">
        <f aca="false">SQRT(C82^2+D82^2+E82^2)</f>
        <v>0.00155145093380358</v>
      </c>
      <c r="O82" s="11" t="n">
        <f aca="false">SQRT(I82^2+J82^2+K82^2)</f>
        <v>0.00154324333790883</v>
      </c>
      <c r="P82" s="11" t="n">
        <f aca="false">O82-N82</f>
        <v>-8.20759589474532E-006</v>
      </c>
      <c r="Q82" s="12" t="n">
        <f aca="false">IF(N82&lt;0.001,"-",O82/N82-1)</f>
        <v>-0.00529027100755508</v>
      </c>
      <c r="R82" s="19" t="n">
        <v>-1E-005</v>
      </c>
      <c r="S82" s="4"/>
      <c r="T82" s="4" t="str">
        <f aca="false">IF(N82&gt;=0.01,"SÍ","no")</f>
        <v>no</v>
      </c>
      <c r="U82" s="11" t="n">
        <f aca="false">ABS(C82)</f>
        <v>0.00153</v>
      </c>
      <c r="V82" s="11" t="n">
        <f aca="false">ABS(I82)</f>
        <v>0.00152</v>
      </c>
      <c r="W82" s="11" t="n">
        <f aca="false">ABS(D82)</f>
        <v>6E-005</v>
      </c>
      <c r="X82" s="11" t="n">
        <f aca="false">ABS(J82)</f>
        <v>6E-005</v>
      </c>
      <c r="Y82" s="11" t="n">
        <f aca="false">ABS(E82)</f>
        <v>0.00025</v>
      </c>
      <c r="Z82" s="11" t="n">
        <f aca="false">ABS(K82)</f>
        <v>0.00026</v>
      </c>
    </row>
    <row r="83" customFormat="false" ht="15" hidden="false" customHeight="false" outlineLevel="0" collapsed="false">
      <c r="A83" s="4" t="n">
        <v>213</v>
      </c>
      <c r="B83" s="4" t="n">
        <v>80</v>
      </c>
      <c r="C83" s="19" t="n">
        <v>0.01123</v>
      </c>
      <c r="D83" s="19" t="n">
        <v>0.00203</v>
      </c>
      <c r="E83" s="19" t="n">
        <v>-0.00105</v>
      </c>
      <c r="F83" s="19" t="n">
        <v>8E-005</v>
      </c>
      <c r="G83" s="19" t="n">
        <v>-0.00038</v>
      </c>
      <c r="H83" s="19" t="n">
        <v>-2E-005</v>
      </c>
      <c r="I83" s="19" t="n">
        <v>0.01308</v>
      </c>
      <c r="J83" s="19" t="n">
        <v>0.00214</v>
      </c>
      <c r="K83" s="19" t="n">
        <v>-0.00203</v>
      </c>
      <c r="L83" s="19" t="n">
        <v>7E-005</v>
      </c>
      <c r="M83" s="19" t="n">
        <v>-0.0004</v>
      </c>
      <c r="N83" s="11" t="n">
        <f aca="false">SQRT(C83^2+D83^2+E83^2)</f>
        <v>0.0114602050592474</v>
      </c>
      <c r="O83" s="11" t="n">
        <f aca="false">SQRT(I83^2+J83^2+K83^2)</f>
        <v>0.0134084637449635</v>
      </c>
      <c r="P83" s="11" t="n">
        <f aca="false">O83-N83</f>
        <v>0.00194825868571606</v>
      </c>
      <c r="Q83" s="12" t="n">
        <f aca="false">IF(N83&lt;0.001,"-",O83/N83-1)</f>
        <v>0.170002078989327</v>
      </c>
      <c r="R83" s="19" t="n">
        <v>-2E-005</v>
      </c>
      <c r="S83" s="4"/>
      <c r="T83" s="4" t="str">
        <f aca="false">IF(N83&gt;=0.01,"SÍ","no")</f>
        <v>SÍ</v>
      </c>
      <c r="U83" s="11" t="n">
        <f aca="false">ABS(C83)</f>
        <v>0.01123</v>
      </c>
      <c r="V83" s="11" t="n">
        <f aca="false">ABS(I83)</f>
        <v>0.01308</v>
      </c>
      <c r="W83" s="11" t="n">
        <f aca="false">ABS(D83)</f>
        <v>0.00203</v>
      </c>
      <c r="X83" s="11" t="n">
        <f aca="false">ABS(J83)</f>
        <v>0.00214</v>
      </c>
      <c r="Y83" s="11" t="n">
        <f aca="false">ABS(E83)</f>
        <v>0.00105</v>
      </c>
      <c r="Z83" s="11" t="n">
        <f aca="false">ABS(K83)</f>
        <v>0.00203</v>
      </c>
    </row>
    <row r="84" customFormat="false" ht="15" hidden="false" customHeight="false" outlineLevel="0" collapsed="false">
      <c r="A84" s="4" t="n">
        <v>214</v>
      </c>
      <c r="B84" s="4" t="n">
        <v>81</v>
      </c>
      <c r="C84" s="19" t="n">
        <v>0.01316</v>
      </c>
      <c r="D84" s="19" t="n">
        <v>0.00116</v>
      </c>
      <c r="E84" s="19" t="n">
        <v>-0.00179</v>
      </c>
      <c r="F84" s="19" t="n">
        <v>-0.00012</v>
      </c>
      <c r="G84" s="19" t="n">
        <v>0.00026</v>
      </c>
      <c r="H84" s="19" t="n">
        <v>-3E-005</v>
      </c>
      <c r="I84" s="19" t="n">
        <v>0.01572</v>
      </c>
      <c r="J84" s="19" t="n">
        <v>0.001</v>
      </c>
      <c r="K84" s="19" t="n">
        <v>-0.00267</v>
      </c>
      <c r="L84" s="19" t="n">
        <v>-0.00013</v>
      </c>
      <c r="M84" s="19" t="n">
        <v>0.00023</v>
      </c>
      <c r="N84" s="11" t="n">
        <f aca="false">SQRT(C84^2+D84^2+E84^2)</f>
        <v>0.0133317403215034</v>
      </c>
      <c r="O84" s="11" t="n">
        <f aca="false">SQRT(I84^2+J84^2+K84^2)</f>
        <v>0.0159764608095786</v>
      </c>
      <c r="P84" s="11" t="n">
        <f aca="false">O84-N84</f>
        <v>0.00264472048807516</v>
      </c>
      <c r="Q84" s="12" t="n">
        <f aca="false">IF(N84&lt;0.001,"-",O84/N84-1)</f>
        <v>0.198377737961889</v>
      </c>
      <c r="R84" s="19" t="n">
        <v>-4E-005</v>
      </c>
      <c r="S84" s="4"/>
      <c r="T84" s="4" t="str">
        <f aca="false">IF(N84&gt;=0.01,"SÍ","no")</f>
        <v>SÍ</v>
      </c>
      <c r="U84" s="11" t="n">
        <f aca="false">ABS(C84)</f>
        <v>0.01316</v>
      </c>
      <c r="V84" s="11" t="n">
        <f aca="false">ABS(I84)</f>
        <v>0.01572</v>
      </c>
      <c r="W84" s="11" t="n">
        <f aca="false">ABS(D84)</f>
        <v>0.00116</v>
      </c>
      <c r="X84" s="11" t="n">
        <f aca="false">ABS(J84)</f>
        <v>0.001</v>
      </c>
      <c r="Y84" s="11" t="n">
        <f aca="false">ABS(E84)</f>
        <v>0.00179</v>
      </c>
      <c r="Z84" s="11" t="n">
        <f aca="false">ABS(K84)</f>
        <v>0.00267</v>
      </c>
    </row>
    <row r="85" customFormat="false" ht="15" hidden="false" customHeight="false" outlineLevel="0" collapsed="false">
      <c r="A85" s="4" t="n">
        <v>215</v>
      </c>
      <c r="B85" s="4" t="n">
        <v>82</v>
      </c>
      <c r="C85" s="19" t="n">
        <v>0.01106</v>
      </c>
      <c r="D85" s="19" t="n">
        <v>0.00203</v>
      </c>
      <c r="E85" s="19" t="n">
        <v>-0.00198</v>
      </c>
      <c r="F85" s="19" t="n">
        <v>8E-005</v>
      </c>
      <c r="G85" s="19" t="n">
        <v>-0.00038</v>
      </c>
      <c r="H85" s="19" t="n">
        <v>-2E-005</v>
      </c>
      <c r="I85" s="19" t="n">
        <v>0.01286</v>
      </c>
      <c r="J85" s="19" t="n">
        <v>0.00214</v>
      </c>
      <c r="K85" s="19" t="n">
        <v>-0.00285</v>
      </c>
      <c r="L85" s="19" t="n">
        <v>7E-005</v>
      </c>
      <c r="M85" s="19" t="n">
        <v>-0.0004</v>
      </c>
      <c r="N85" s="11" t="n">
        <f aca="false">SQRT(C85^2+D85^2+E85^2)</f>
        <v>0.0114177449612434</v>
      </c>
      <c r="O85" s="11" t="n">
        <f aca="false">SQRT(I85^2+J85^2+K85^2)</f>
        <v>0.0133447255498193</v>
      </c>
      <c r="P85" s="11" t="n">
        <f aca="false">O85-N85</f>
        <v>0.00192698058857586</v>
      </c>
      <c r="Q85" s="12" t="n">
        <f aca="false">IF(N85&lt;0.001,"-",O85/N85-1)</f>
        <v>0.168770680648134</v>
      </c>
      <c r="R85" s="19" t="n">
        <v>-2E-005</v>
      </c>
      <c r="S85" s="4"/>
      <c r="T85" s="4" t="str">
        <f aca="false">IF(N85&gt;=0.01,"SÍ","no")</f>
        <v>SÍ</v>
      </c>
      <c r="U85" s="11" t="n">
        <f aca="false">ABS(C85)</f>
        <v>0.01106</v>
      </c>
      <c r="V85" s="11" t="n">
        <f aca="false">ABS(I85)</f>
        <v>0.01286</v>
      </c>
      <c r="W85" s="11" t="n">
        <f aca="false">ABS(D85)</f>
        <v>0.00203</v>
      </c>
      <c r="X85" s="11" t="n">
        <f aca="false">ABS(J85)</f>
        <v>0.00214</v>
      </c>
      <c r="Y85" s="11" t="n">
        <f aca="false">ABS(E85)</f>
        <v>0.00198</v>
      </c>
      <c r="Z85" s="11" t="n">
        <f aca="false">ABS(K85)</f>
        <v>0.00285</v>
      </c>
    </row>
    <row r="86" customFormat="false" ht="15" hidden="false" customHeight="false" outlineLevel="0" collapsed="false">
      <c r="A86" s="4" t="n">
        <v>216</v>
      </c>
      <c r="B86" s="4" t="n">
        <v>83</v>
      </c>
      <c r="C86" s="19" t="n">
        <v>0.009</v>
      </c>
      <c r="D86" s="19" t="n">
        <v>0.00075</v>
      </c>
      <c r="E86" s="19" t="n">
        <v>-0.00084</v>
      </c>
      <c r="F86" s="19" t="n">
        <v>-0.0001</v>
      </c>
      <c r="G86" s="19" t="n">
        <v>0.00031</v>
      </c>
      <c r="H86" s="19" t="n">
        <v>-5E-005</v>
      </c>
      <c r="I86" s="19" t="n">
        <v>0.01</v>
      </c>
      <c r="J86" s="19" t="n">
        <v>0.00068</v>
      </c>
      <c r="K86" s="19" t="n">
        <v>-0.00115</v>
      </c>
      <c r="L86" s="19" t="n">
        <v>-0.00011</v>
      </c>
      <c r="M86" s="19" t="n">
        <v>0.00031</v>
      </c>
      <c r="N86" s="11" t="n">
        <f aca="false">SQRT(C86^2+D86^2+E86^2)</f>
        <v>0.00907017640401773</v>
      </c>
      <c r="O86" s="11" t="n">
        <f aca="false">SQRT(I86^2+J86^2+K86^2)</f>
        <v>0.010088850281375</v>
      </c>
      <c r="P86" s="11" t="n">
        <f aca="false">O86-N86</f>
        <v>0.00101867387735725</v>
      </c>
      <c r="Q86" s="12" t="n">
        <f aca="false">IF(N86&lt;0.001,"-",O86/N86-1)</f>
        <v>0.112310260791181</v>
      </c>
      <c r="R86" s="19" t="n">
        <v>-6E-005</v>
      </c>
      <c r="S86" s="4"/>
      <c r="T86" s="4" t="str">
        <f aca="false">IF(N86&gt;=0.01,"SÍ","no")</f>
        <v>no</v>
      </c>
      <c r="U86" s="11" t="n">
        <f aca="false">ABS(C86)</f>
        <v>0.009</v>
      </c>
      <c r="V86" s="11" t="n">
        <f aca="false">ABS(I86)</f>
        <v>0.01</v>
      </c>
      <c r="W86" s="11" t="n">
        <f aca="false">ABS(D86)</f>
        <v>0.00075</v>
      </c>
      <c r="X86" s="11" t="n">
        <f aca="false">ABS(J86)</f>
        <v>0.00068</v>
      </c>
      <c r="Y86" s="11" t="n">
        <f aca="false">ABS(E86)</f>
        <v>0.00084</v>
      </c>
      <c r="Z86" s="11" t="n">
        <f aca="false">ABS(K86)</f>
        <v>0.00115</v>
      </c>
    </row>
    <row r="87" customFormat="false" ht="15" hidden="false" customHeight="false" outlineLevel="0" collapsed="false">
      <c r="A87" s="4" t="n">
        <v>217</v>
      </c>
      <c r="B87" s="4" t="n">
        <v>84</v>
      </c>
      <c r="C87" s="19" t="n">
        <v>0.00828</v>
      </c>
      <c r="D87" s="19" t="n">
        <v>0.00119</v>
      </c>
      <c r="E87" s="19" t="n">
        <v>-0.00091</v>
      </c>
      <c r="F87" s="19" t="n">
        <v>9E-005</v>
      </c>
      <c r="G87" s="19" t="n">
        <v>-0.00032</v>
      </c>
      <c r="H87" s="19" t="n">
        <v>-4E-005</v>
      </c>
      <c r="I87" s="19" t="n">
        <v>0.00921</v>
      </c>
      <c r="J87" s="19" t="n">
        <v>0.00125</v>
      </c>
      <c r="K87" s="19" t="n">
        <v>-0.00123</v>
      </c>
      <c r="L87" s="19" t="n">
        <v>9E-005</v>
      </c>
      <c r="M87" s="19" t="n">
        <v>-0.00032</v>
      </c>
      <c r="N87" s="11" t="n">
        <f aca="false">SQRT(C87^2+D87^2+E87^2)</f>
        <v>0.00841442808514043</v>
      </c>
      <c r="O87" s="11" t="n">
        <f aca="false">SQRT(I87^2+J87^2+K87^2)</f>
        <v>0.0093754733213849</v>
      </c>
      <c r="P87" s="11" t="n">
        <f aca="false">O87-N87</f>
        <v>0.000961045236244473</v>
      </c>
      <c r="Q87" s="12" t="n">
        <f aca="false">IF(N87&lt;0.001,"-",O87/N87-1)</f>
        <v>0.114213969924069</v>
      </c>
      <c r="R87" s="19" t="n">
        <v>-5E-005</v>
      </c>
      <c r="S87" s="4"/>
      <c r="T87" s="4" t="str">
        <f aca="false">IF(N87&gt;=0.01,"SÍ","no")</f>
        <v>no</v>
      </c>
      <c r="U87" s="11" t="n">
        <f aca="false">ABS(C87)</f>
        <v>0.00828</v>
      </c>
      <c r="V87" s="11" t="n">
        <f aca="false">ABS(I87)</f>
        <v>0.00921</v>
      </c>
      <c r="W87" s="11" t="n">
        <f aca="false">ABS(D87)</f>
        <v>0.00119</v>
      </c>
      <c r="X87" s="11" t="n">
        <f aca="false">ABS(J87)</f>
        <v>0.00125</v>
      </c>
      <c r="Y87" s="11" t="n">
        <f aca="false">ABS(E87)</f>
        <v>0.00091</v>
      </c>
      <c r="Z87" s="11" t="n">
        <f aca="false">ABS(K87)</f>
        <v>0.00123</v>
      </c>
    </row>
    <row r="88" customFormat="false" ht="15" hidden="false" customHeight="false" outlineLevel="0" collapsed="false">
      <c r="A88" s="4" t="n">
        <v>218</v>
      </c>
      <c r="B88" s="4" t="n">
        <v>85</v>
      </c>
      <c r="C88" s="19" t="n">
        <v>0.00167</v>
      </c>
      <c r="D88" s="19" t="n">
        <v>6E-005</v>
      </c>
      <c r="E88" s="19" t="n">
        <v>-0.00019</v>
      </c>
      <c r="F88" s="19" t="n">
        <v>0</v>
      </c>
      <c r="G88" s="19" t="n">
        <v>1E-005</v>
      </c>
      <c r="H88" s="19" t="n">
        <v>-2E-005</v>
      </c>
      <c r="I88" s="19" t="n">
        <v>0.00169</v>
      </c>
      <c r="J88" s="19" t="n">
        <v>6E-005</v>
      </c>
      <c r="K88" s="19" t="n">
        <v>-0.00017</v>
      </c>
      <c r="L88" s="19" t="n">
        <v>0</v>
      </c>
      <c r="M88" s="19" t="n">
        <v>1E-005</v>
      </c>
      <c r="N88" s="11" t="n">
        <f aca="false">SQRT(C88^2+D88^2+E88^2)</f>
        <v>0.00168184422584257</v>
      </c>
      <c r="O88" s="11" t="n">
        <f aca="false">SQRT(I88^2+J88^2+K88^2)</f>
        <v>0.00169958818541434</v>
      </c>
      <c r="P88" s="11" t="n">
        <f aca="false">O88-N88</f>
        <v>1.77439595717655E-005</v>
      </c>
      <c r="Q88" s="12" t="n">
        <f aca="false">IF(N88&lt;0.001,"-",O88/N88-1)</f>
        <v>0.0105502990699844</v>
      </c>
      <c r="R88" s="19" t="n">
        <v>-2E-005</v>
      </c>
      <c r="S88" s="4"/>
      <c r="T88" s="4" t="str">
        <f aca="false">IF(N88&gt;=0.01,"SÍ","no")</f>
        <v>no</v>
      </c>
      <c r="U88" s="11" t="n">
        <f aca="false">ABS(C88)</f>
        <v>0.00167</v>
      </c>
      <c r="V88" s="11" t="n">
        <f aca="false">ABS(I88)</f>
        <v>0.00169</v>
      </c>
      <c r="W88" s="11" t="n">
        <f aca="false">ABS(D88)</f>
        <v>6E-005</v>
      </c>
      <c r="X88" s="11" t="n">
        <f aca="false">ABS(J88)</f>
        <v>6E-005</v>
      </c>
      <c r="Y88" s="11" t="n">
        <f aca="false">ABS(E88)</f>
        <v>0.00019</v>
      </c>
      <c r="Z88" s="11" t="n">
        <f aca="false">ABS(K88)</f>
        <v>0.00017</v>
      </c>
    </row>
    <row r="89" customFormat="false" ht="15" hidden="false" customHeight="false" outlineLevel="0" collapsed="false">
      <c r="A89" s="4" t="n">
        <v>219</v>
      </c>
      <c r="B89" s="4" t="n">
        <v>86</v>
      </c>
      <c r="C89" s="19" t="n">
        <v>0.02096</v>
      </c>
      <c r="D89" s="19" t="n">
        <v>0.00456</v>
      </c>
      <c r="E89" s="19" t="n">
        <v>-0.0018</v>
      </c>
      <c r="F89" s="19" t="n">
        <v>-0.00011</v>
      </c>
      <c r="G89" s="19" t="n">
        <v>0.00033</v>
      </c>
      <c r="H89" s="19" t="n">
        <v>-2E-005</v>
      </c>
      <c r="I89" s="19" t="n">
        <v>0.02273</v>
      </c>
      <c r="J89" s="19" t="n">
        <v>0.00467</v>
      </c>
      <c r="K89" s="19" t="n">
        <v>-0.00267</v>
      </c>
      <c r="L89" s="19" t="n">
        <v>-0.00012</v>
      </c>
      <c r="M89" s="19" t="n">
        <v>0.0003</v>
      </c>
      <c r="N89" s="11" t="n">
        <f aca="false">SQRT(C89^2+D89^2+E89^2)</f>
        <v>0.0215256869809073</v>
      </c>
      <c r="O89" s="11" t="n">
        <f aca="false">SQRT(I89^2+J89^2+K89^2)</f>
        <v>0.0233578830376385</v>
      </c>
      <c r="P89" s="11" t="n">
        <f aca="false">O89-N89</f>
        <v>0.00183219605673124</v>
      </c>
      <c r="Q89" s="12" t="n">
        <f aca="false">IF(N89&lt;0.001,"-",O89/N89-1)</f>
        <v>0.0851167286022672</v>
      </c>
      <c r="R89" s="19" t="n">
        <v>-2E-005</v>
      </c>
      <c r="S89" s="4"/>
      <c r="T89" s="4" t="str">
        <f aca="false">IF(N89&gt;=0.01,"SÍ","no")</f>
        <v>SÍ</v>
      </c>
      <c r="U89" s="11" t="n">
        <f aca="false">ABS(C89)</f>
        <v>0.02096</v>
      </c>
      <c r="V89" s="11" t="n">
        <f aca="false">ABS(I89)</f>
        <v>0.02273</v>
      </c>
      <c r="W89" s="11" t="n">
        <f aca="false">ABS(D89)</f>
        <v>0.00456</v>
      </c>
      <c r="X89" s="11" t="n">
        <f aca="false">ABS(J89)</f>
        <v>0.00467</v>
      </c>
      <c r="Y89" s="11" t="n">
        <f aca="false">ABS(E89)</f>
        <v>0.0018</v>
      </c>
      <c r="Z89" s="11" t="n">
        <f aca="false">ABS(K89)</f>
        <v>0.00267</v>
      </c>
    </row>
    <row r="90" customFormat="false" ht="15" hidden="false" customHeight="false" outlineLevel="0" collapsed="false">
      <c r="A90" s="4" t="n">
        <v>220</v>
      </c>
      <c r="B90" s="4" t="n">
        <v>87</v>
      </c>
      <c r="C90" s="19" t="n">
        <v>0.01762</v>
      </c>
      <c r="D90" s="19" t="n">
        <v>0.00372</v>
      </c>
      <c r="E90" s="19" t="n">
        <v>-0.00084</v>
      </c>
      <c r="F90" s="19" t="n">
        <v>-0.00011</v>
      </c>
      <c r="G90" s="19" t="n">
        <v>0.0003</v>
      </c>
      <c r="H90" s="19" t="n">
        <v>-5E-005</v>
      </c>
      <c r="I90" s="19" t="n">
        <v>0.01867</v>
      </c>
      <c r="J90" s="19" t="n">
        <v>0.00381</v>
      </c>
      <c r="K90" s="19" t="n">
        <v>-0.00116</v>
      </c>
      <c r="L90" s="19" t="n">
        <v>-0.00011</v>
      </c>
      <c r="M90" s="19" t="n">
        <v>0.0003</v>
      </c>
      <c r="N90" s="11" t="n">
        <f aca="false">SQRT(C90^2+D90^2+E90^2)</f>
        <v>0.018027989349897</v>
      </c>
      <c r="O90" s="11" t="n">
        <f aca="false">SQRT(I90^2+J90^2+K90^2)</f>
        <v>0.0190900654791962</v>
      </c>
      <c r="P90" s="11" t="n">
        <f aca="false">O90-N90</f>
        <v>0.00106207612929923</v>
      </c>
      <c r="Q90" s="12" t="n">
        <f aca="false">IF(N90&lt;0.001,"-",O90/N90-1)</f>
        <v>0.05891262240541</v>
      </c>
      <c r="R90" s="19" t="n">
        <v>-6E-005</v>
      </c>
      <c r="S90" s="4"/>
      <c r="T90" s="4" t="str">
        <f aca="false">IF(N90&gt;=0.01,"SÍ","no")</f>
        <v>SÍ</v>
      </c>
      <c r="U90" s="11" t="n">
        <f aca="false">ABS(C90)</f>
        <v>0.01762</v>
      </c>
      <c r="V90" s="11" t="n">
        <f aca="false">ABS(I90)</f>
        <v>0.01867</v>
      </c>
      <c r="W90" s="11" t="n">
        <f aca="false">ABS(D90)</f>
        <v>0.00372</v>
      </c>
      <c r="X90" s="11" t="n">
        <f aca="false">ABS(J90)</f>
        <v>0.00381</v>
      </c>
      <c r="Y90" s="11" t="n">
        <f aca="false">ABS(E90)</f>
        <v>0.00084</v>
      </c>
      <c r="Z90" s="11" t="n">
        <f aca="false">ABS(K90)</f>
        <v>0.00116</v>
      </c>
    </row>
    <row r="91" customFormat="false" ht="15" hidden="false" customHeight="false" outlineLevel="0" collapsed="false">
      <c r="A91" s="4" t="n">
        <v>221</v>
      </c>
      <c r="B91" s="4" t="n">
        <v>88</v>
      </c>
      <c r="C91" s="19" t="n">
        <v>0.04279</v>
      </c>
      <c r="D91" s="19" t="n">
        <v>0.0101</v>
      </c>
      <c r="E91" s="19" t="n">
        <v>-0.00182</v>
      </c>
      <c r="F91" s="19" t="n">
        <v>-8E-005</v>
      </c>
      <c r="G91" s="19" t="n">
        <v>0.00032</v>
      </c>
      <c r="H91" s="19" t="n">
        <v>-9E-005</v>
      </c>
      <c r="I91" s="19" t="n">
        <v>0.04403</v>
      </c>
      <c r="J91" s="19" t="n">
        <v>0.01039</v>
      </c>
      <c r="K91" s="19" t="n">
        <v>-0.00269</v>
      </c>
      <c r="L91" s="19" t="n">
        <v>-8E-005</v>
      </c>
      <c r="M91" s="19" t="n">
        <v>0.00032</v>
      </c>
      <c r="N91" s="11" t="n">
        <f aca="false">SQRT(C91^2+D91^2+E91^2)</f>
        <v>0.0440034828167044</v>
      </c>
      <c r="O91" s="11" t="n">
        <f aca="false">SQRT(I91^2+J91^2+K91^2)</f>
        <v>0.0453191912990512</v>
      </c>
      <c r="P91" s="11" t="n">
        <f aca="false">O91-N91</f>
        <v>0.00131570848234681</v>
      </c>
      <c r="Q91" s="12" t="n">
        <f aca="false">IF(N91&lt;0.001,"-",O91/N91-1)</f>
        <v>0.0299000987678038</v>
      </c>
      <c r="R91" s="19" t="n">
        <v>-9E-005</v>
      </c>
      <c r="S91" s="4"/>
      <c r="T91" s="4" t="str">
        <f aca="false">IF(N91&gt;=0.01,"SÍ","no")</f>
        <v>SÍ</v>
      </c>
      <c r="U91" s="11" t="n">
        <f aca="false">ABS(C91)</f>
        <v>0.04279</v>
      </c>
      <c r="V91" s="11" t="n">
        <f aca="false">ABS(I91)</f>
        <v>0.04403</v>
      </c>
      <c r="W91" s="11" t="n">
        <f aca="false">ABS(D91)</f>
        <v>0.0101</v>
      </c>
      <c r="X91" s="11" t="n">
        <f aca="false">ABS(J91)</f>
        <v>0.01039</v>
      </c>
      <c r="Y91" s="11" t="n">
        <f aca="false">ABS(E91)</f>
        <v>0.00182</v>
      </c>
      <c r="Z91" s="11" t="n">
        <f aca="false">ABS(K91)</f>
        <v>0.00269</v>
      </c>
    </row>
    <row r="92" customFormat="false" ht="15" hidden="false" customHeight="false" outlineLevel="0" collapsed="false">
      <c r="A92" s="4" t="n">
        <v>222</v>
      </c>
      <c r="B92" s="4" t="n">
        <v>89</v>
      </c>
      <c r="C92" s="19" t="n">
        <v>0.03326</v>
      </c>
      <c r="D92" s="19" t="n">
        <v>0.00988</v>
      </c>
      <c r="E92" s="19" t="n">
        <v>-0.00085</v>
      </c>
      <c r="F92" s="19" t="n">
        <v>-9E-005</v>
      </c>
      <c r="G92" s="19" t="n">
        <v>0.00023</v>
      </c>
      <c r="H92" s="19" t="n">
        <v>-7E-005</v>
      </c>
      <c r="I92" s="19" t="n">
        <v>0.0344</v>
      </c>
      <c r="J92" s="19" t="n">
        <v>0.01016</v>
      </c>
      <c r="K92" s="19" t="n">
        <v>-0.00117</v>
      </c>
      <c r="L92" s="19" t="n">
        <v>-9E-005</v>
      </c>
      <c r="M92" s="19" t="n">
        <v>0.00023</v>
      </c>
      <c r="N92" s="11" t="n">
        <f aca="false">SQRT(C92^2+D92^2+E92^2)</f>
        <v>0.0347068365023377</v>
      </c>
      <c r="O92" s="11" t="n">
        <f aca="false">SQRT(I92^2+J92^2+K92^2)</f>
        <v>0.0358880829802875</v>
      </c>
      <c r="P92" s="11" t="n">
        <f aca="false">O92-N92</f>
        <v>0.00118124647794979</v>
      </c>
      <c r="Q92" s="12" t="n">
        <f aca="false">IF(N92&lt;0.001,"-",O92/N92-1)</f>
        <v>0.0340349797617028</v>
      </c>
      <c r="R92" s="19" t="n">
        <v>-7E-005</v>
      </c>
      <c r="S92" s="4"/>
      <c r="T92" s="4" t="str">
        <f aca="false">IF(N92&gt;=0.01,"SÍ","no")</f>
        <v>SÍ</v>
      </c>
      <c r="U92" s="11" t="n">
        <f aca="false">ABS(C92)</f>
        <v>0.03326</v>
      </c>
      <c r="V92" s="11" t="n">
        <f aca="false">ABS(I92)</f>
        <v>0.0344</v>
      </c>
      <c r="W92" s="11" t="n">
        <f aca="false">ABS(D92)</f>
        <v>0.00988</v>
      </c>
      <c r="X92" s="11" t="n">
        <f aca="false">ABS(J92)</f>
        <v>0.01016</v>
      </c>
      <c r="Y92" s="11" t="n">
        <f aca="false">ABS(E92)</f>
        <v>0.00085</v>
      </c>
      <c r="Z92" s="11" t="n">
        <f aca="false">ABS(K92)</f>
        <v>0.00117</v>
      </c>
    </row>
    <row r="93" customFormat="false" ht="15" hidden="false" customHeight="false" outlineLevel="0" collapsed="false">
      <c r="A93" s="4" t="n">
        <v>223</v>
      </c>
      <c r="B93" s="4" t="n">
        <v>90</v>
      </c>
      <c r="C93" s="19" t="n">
        <v>0.05074</v>
      </c>
      <c r="D93" s="19" t="n">
        <v>0.01209</v>
      </c>
      <c r="E93" s="19" t="n">
        <v>-0.00183</v>
      </c>
      <c r="F93" s="19" t="n">
        <v>-5E-005</v>
      </c>
      <c r="G93" s="19" t="n">
        <v>0.00026</v>
      </c>
      <c r="H93" s="19" t="n">
        <v>-0.00011</v>
      </c>
      <c r="I93" s="19" t="n">
        <v>0.05203</v>
      </c>
      <c r="J93" s="19" t="n">
        <v>0.01237</v>
      </c>
      <c r="K93" s="19" t="n">
        <v>-0.00271</v>
      </c>
      <c r="L93" s="19" t="n">
        <v>-6E-005</v>
      </c>
      <c r="M93" s="19" t="n">
        <v>0.00026</v>
      </c>
      <c r="N93" s="11" t="n">
        <f aca="false">SQRT(C93^2+D93^2+E93^2)</f>
        <v>0.0521925722684751</v>
      </c>
      <c r="O93" s="11" t="n">
        <f aca="false">SQRT(I93^2+J93^2+K93^2)</f>
        <v>0.0535488739377403</v>
      </c>
      <c r="P93" s="11" t="n">
        <f aca="false">O93-N93</f>
        <v>0.00135630166926514</v>
      </c>
      <c r="Q93" s="12" t="n">
        <f aca="false">IF(N93&lt;0.001,"-",O93/N93-1)</f>
        <v>0.0259864883127128</v>
      </c>
      <c r="R93" s="19" t="n">
        <v>-0.00011</v>
      </c>
      <c r="S93" s="4"/>
      <c r="T93" s="4" t="str">
        <f aca="false">IF(N93&gt;=0.01,"SÍ","no")</f>
        <v>SÍ</v>
      </c>
      <c r="U93" s="11" t="n">
        <f aca="false">ABS(C93)</f>
        <v>0.05074</v>
      </c>
      <c r="V93" s="11" t="n">
        <f aca="false">ABS(I93)</f>
        <v>0.05203</v>
      </c>
      <c r="W93" s="11" t="n">
        <f aca="false">ABS(D93)</f>
        <v>0.01209</v>
      </c>
      <c r="X93" s="11" t="n">
        <f aca="false">ABS(J93)</f>
        <v>0.01237</v>
      </c>
      <c r="Y93" s="11" t="n">
        <f aca="false">ABS(E93)</f>
        <v>0.00183</v>
      </c>
      <c r="Z93" s="11" t="n">
        <f aca="false">ABS(K93)</f>
        <v>0.00271</v>
      </c>
    </row>
    <row r="94" customFormat="false" ht="15" hidden="false" customHeight="false" outlineLevel="0" collapsed="false">
      <c r="A94" s="4" t="n">
        <v>224</v>
      </c>
      <c r="B94" s="4" t="n">
        <v>91</v>
      </c>
      <c r="C94" s="19" t="n">
        <v>0.03872</v>
      </c>
      <c r="D94" s="19" t="n">
        <v>0.01198</v>
      </c>
      <c r="E94" s="19" t="n">
        <v>-0.00086</v>
      </c>
      <c r="F94" s="19" t="n">
        <v>-6E-005</v>
      </c>
      <c r="G94" s="19" t="n">
        <v>0.00016</v>
      </c>
      <c r="H94" s="19" t="n">
        <v>-7E-005</v>
      </c>
      <c r="I94" s="19" t="n">
        <v>0.0399</v>
      </c>
      <c r="J94" s="19" t="n">
        <v>0.01225</v>
      </c>
      <c r="K94" s="19" t="n">
        <v>-0.00118</v>
      </c>
      <c r="L94" s="19" t="n">
        <v>-6E-005</v>
      </c>
      <c r="M94" s="19" t="n">
        <v>0.00016</v>
      </c>
      <c r="N94" s="11" t="n">
        <f aca="false">SQRT(C94^2+D94^2+E94^2)</f>
        <v>0.0405400838676982</v>
      </c>
      <c r="O94" s="11" t="n">
        <f aca="false">SQRT(I94^2+J94^2+K94^2)</f>
        <v>0.0417548188835732</v>
      </c>
      <c r="P94" s="11" t="n">
        <f aca="false">O94-N94</f>
        <v>0.00121473501587503</v>
      </c>
      <c r="Q94" s="12" t="n">
        <f aca="false">IF(N94&lt;0.001,"-",O94/N94-1)</f>
        <v>0.0299638012550565</v>
      </c>
      <c r="R94" s="19" t="n">
        <v>-7E-005</v>
      </c>
      <c r="S94" s="4"/>
      <c r="T94" s="4" t="str">
        <f aca="false">IF(N94&gt;=0.01,"SÍ","no")</f>
        <v>SÍ</v>
      </c>
      <c r="U94" s="11" t="n">
        <f aca="false">ABS(C94)</f>
        <v>0.03872</v>
      </c>
      <c r="V94" s="11" t="n">
        <f aca="false">ABS(I94)</f>
        <v>0.0399</v>
      </c>
      <c r="W94" s="11" t="n">
        <f aca="false">ABS(D94)</f>
        <v>0.01198</v>
      </c>
      <c r="X94" s="11" t="n">
        <f aca="false">ABS(J94)</f>
        <v>0.01225</v>
      </c>
      <c r="Y94" s="11" t="n">
        <f aca="false">ABS(E94)</f>
        <v>0.00086</v>
      </c>
      <c r="Z94" s="11" t="n">
        <f aca="false">ABS(K94)</f>
        <v>0.00118</v>
      </c>
    </row>
    <row r="95" customFormat="false" ht="15" hidden="false" customHeight="false" outlineLevel="0" collapsed="false">
      <c r="A95" s="4" t="n">
        <v>225</v>
      </c>
      <c r="B95" s="4" t="n">
        <v>92</v>
      </c>
      <c r="C95" s="19" t="n">
        <v>0.05134</v>
      </c>
      <c r="D95" s="19" t="n">
        <v>0.01189</v>
      </c>
      <c r="E95" s="19" t="n">
        <v>-0.00193</v>
      </c>
      <c r="F95" s="19" t="n">
        <v>5E-005</v>
      </c>
      <c r="G95" s="19" t="n">
        <v>-0.00026</v>
      </c>
      <c r="H95" s="19" t="n">
        <v>-0.00012</v>
      </c>
      <c r="I95" s="19" t="n">
        <v>0.05294</v>
      </c>
      <c r="J95" s="19" t="n">
        <v>0.012</v>
      </c>
      <c r="K95" s="19" t="n">
        <v>-0.0028</v>
      </c>
      <c r="L95" s="19" t="n">
        <v>5E-005</v>
      </c>
      <c r="M95" s="19" t="n">
        <v>-0.00026</v>
      </c>
      <c r="N95" s="11" t="n">
        <f aca="false">SQRT(C95^2+D95^2+E95^2)</f>
        <v>0.0527341691884873</v>
      </c>
      <c r="O95" s="11" t="n">
        <f aca="false">SQRT(I95^2+J95^2+K95^2)</f>
        <v>0.0543551616684193</v>
      </c>
      <c r="P95" s="11" t="n">
        <f aca="false">O95-N95</f>
        <v>0.00162099247993205</v>
      </c>
      <c r="Q95" s="12" t="n">
        <f aca="false">IF(N95&lt;0.001,"-",O95/N95-1)</f>
        <v>0.0307389403280092</v>
      </c>
      <c r="R95" s="19" t="n">
        <v>-0.00013</v>
      </c>
      <c r="S95" s="4"/>
      <c r="T95" s="4" t="str">
        <f aca="false">IF(N95&gt;=0.01,"SÍ","no")</f>
        <v>SÍ</v>
      </c>
      <c r="U95" s="11" t="n">
        <f aca="false">ABS(C95)</f>
        <v>0.05134</v>
      </c>
      <c r="V95" s="11" t="n">
        <f aca="false">ABS(I95)</f>
        <v>0.05294</v>
      </c>
      <c r="W95" s="11" t="n">
        <f aca="false">ABS(D95)</f>
        <v>0.01189</v>
      </c>
      <c r="X95" s="11" t="n">
        <f aca="false">ABS(J95)</f>
        <v>0.012</v>
      </c>
      <c r="Y95" s="11" t="n">
        <f aca="false">ABS(E95)</f>
        <v>0.00193</v>
      </c>
      <c r="Z95" s="11" t="n">
        <f aca="false">ABS(K95)</f>
        <v>0.0028</v>
      </c>
    </row>
    <row r="96" customFormat="false" ht="15" hidden="false" customHeight="false" outlineLevel="0" collapsed="false">
      <c r="A96" s="4" t="n">
        <v>226</v>
      </c>
      <c r="B96" s="4" t="n">
        <v>93</v>
      </c>
      <c r="C96" s="19" t="n">
        <v>0.03871</v>
      </c>
      <c r="D96" s="19" t="n">
        <v>0.01185</v>
      </c>
      <c r="E96" s="19" t="n">
        <v>-0.00089</v>
      </c>
      <c r="F96" s="19" t="n">
        <v>6E-005</v>
      </c>
      <c r="G96" s="19" t="n">
        <v>-0.00016</v>
      </c>
      <c r="H96" s="19" t="n">
        <v>-7E-005</v>
      </c>
      <c r="I96" s="19" t="n">
        <v>0.03999</v>
      </c>
      <c r="J96" s="19" t="n">
        <v>0.01199</v>
      </c>
      <c r="K96" s="19" t="n">
        <v>-0.00121</v>
      </c>
      <c r="L96" s="19" t="n">
        <v>6E-005</v>
      </c>
      <c r="M96" s="19" t="n">
        <v>-0.00016</v>
      </c>
      <c r="N96" s="11" t="n">
        <f aca="false">SQRT(C96^2+D96^2+E96^2)</f>
        <v>0.0404929462993248</v>
      </c>
      <c r="O96" s="11" t="n">
        <f aca="false">SQRT(I96^2+J96^2+K96^2)</f>
        <v>0.0417663057978558</v>
      </c>
      <c r="P96" s="11" t="n">
        <f aca="false">O96-N96</f>
        <v>0.00127335949853099</v>
      </c>
      <c r="Q96" s="12" t="n">
        <f aca="false">IF(N96&lt;0.001,"-",O96/N96-1)</f>
        <v>0.0314464521578224</v>
      </c>
      <c r="R96" s="19" t="n">
        <v>-7E-005</v>
      </c>
      <c r="S96" s="4"/>
      <c r="T96" s="4" t="str">
        <f aca="false">IF(N96&gt;=0.01,"SÍ","no")</f>
        <v>SÍ</v>
      </c>
      <c r="U96" s="11" t="n">
        <f aca="false">ABS(C96)</f>
        <v>0.03871</v>
      </c>
      <c r="V96" s="11" t="n">
        <f aca="false">ABS(I96)</f>
        <v>0.03999</v>
      </c>
      <c r="W96" s="11" t="n">
        <f aca="false">ABS(D96)</f>
        <v>0.01185</v>
      </c>
      <c r="X96" s="11" t="n">
        <f aca="false">ABS(J96)</f>
        <v>0.01199</v>
      </c>
      <c r="Y96" s="11" t="n">
        <f aca="false">ABS(E96)</f>
        <v>0.00089</v>
      </c>
      <c r="Z96" s="11" t="n">
        <f aca="false">ABS(K96)</f>
        <v>0.00121</v>
      </c>
    </row>
    <row r="97" customFormat="false" ht="15" hidden="false" customHeight="false" outlineLevel="0" collapsed="false">
      <c r="A97" s="4" t="n">
        <v>227</v>
      </c>
      <c r="B97" s="4" t="n">
        <v>94</v>
      </c>
      <c r="C97" s="19" t="n">
        <v>0.04325</v>
      </c>
      <c r="D97" s="19" t="n">
        <v>0.01006</v>
      </c>
      <c r="E97" s="19" t="n">
        <v>-0.00194</v>
      </c>
      <c r="F97" s="19" t="n">
        <v>8E-005</v>
      </c>
      <c r="G97" s="19" t="n">
        <v>-0.00031</v>
      </c>
      <c r="H97" s="19" t="n">
        <v>-8E-005</v>
      </c>
      <c r="I97" s="19" t="n">
        <v>0.04484</v>
      </c>
      <c r="J97" s="19" t="n">
        <v>0.01019</v>
      </c>
      <c r="K97" s="19" t="n">
        <v>-0.00282</v>
      </c>
      <c r="L97" s="19" t="n">
        <v>8E-005</v>
      </c>
      <c r="M97" s="19" t="n">
        <v>-0.00031</v>
      </c>
      <c r="N97" s="11" t="n">
        <f aca="false">SQRT(C97^2+D97^2+E97^2)</f>
        <v>0.0444469312776484</v>
      </c>
      <c r="O97" s="11" t="n">
        <f aca="false">SQRT(I97^2+J97^2+K97^2)</f>
        <v>0.0460696657248563</v>
      </c>
      <c r="P97" s="11" t="n">
        <f aca="false">O97-N97</f>
        <v>0.0016227344472079</v>
      </c>
      <c r="Q97" s="12" t="n">
        <f aca="false">IF(N97&lt;0.001,"-",O97/N97-1)</f>
        <v>0.0365094822198433</v>
      </c>
      <c r="R97" s="19" t="n">
        <v>-9E-005</v>
      </c>
      <c r="S97" s="4"/>
      <c r="T97" s="4" t="str">
        <f aca="false">IF(N97&gt;=0.01,"SÍ","no")</f>
        <v>SÍ</v>
      </c>
      <c r="U97" s="11" t="n">
        <f aca="false">ABS(C97)</f>
        <v>0.04325</v>
      </c>
      <c r="V97" s="11" t="n">
        <f aca="false">ABS(I97)</f>
        <v>0.04484</v>
      </c>
      <c r="W97" s="11" t="n">
        <f aca="false">ABS(D97)</f>
        <v>0.01006</v>
      </c>
      <c r="X97" s="11" t="n">
        <f aca="false">ABS(J97)</f>
        <v>0.01019</v>
      </c>
      <c r="Y97" s="11" t="n">
        <f aca="false">ABS(E97)</f>
        <v>0.00194</v>
      </c>
      <c r="Z97" s="11" t="n">
        <f aca="false">ABS(K97)</f>
        <v>0.00282</v>
      </c>
    </row>
    <row r="98" customFormat="false" ht="15" hidden="false" customHeight="false" outlineLevel="0" collapsed="false">
      <c r="A98" s="4" t="n">
        <v>228</v>
      </c>
      <c r="B98" s="4" t="n">
        <v>95</v>
      </c>
      <c r="C98" s="19" t="n">
        <v>0.0332</v>
      </c>
      <c r="D98" s="19" t="n">
        <v>0.00976</v>
      </c>
      <c r="E98" s="19" t="n">
        <v>-0.0009</v>
      </c>
      <c r="F98" s="19" t="n">
        <v>8E-005</v>
      </c>
      <c r="G98" s="19" t="n">
        <v>-0.00023</v>
      </c>
      <c r="H98" s="19" t="n">
        <v>-7E-005</v>
      </c>
      <c r="I98" s="19" t="n">
        <v>0.03444</v>
      </c>
      <c r="J98" s="19" t="n">
        <v>0.00988</v>
      </c>
      <c r="K98" s="19" t="n">
        <v>-0.00121</v>
      </c>
      <c r="L98" s="19" t="n">
        <v>8E-005</v>
      </c>
      <c r="M98" s="19" t="n">
        <v>-0.00023</v>
      </c>
      <c r="N98" s="11" t="n">
        <f aca="false">SQRT(C98^2+D98^2+E98^2)</f>
        <v>0.034616579842613</v>
      </c>
      <c r="O98" s="11" t="n">
        <f aca="false">SQRT(I98^2+J98^2+K98^2)</f>
        <v>0.0358495760086504</v>
      </c>
      <c r="P98" s="11" t="n">
        <f aca="false">O98-N98</f>
        <v>0.00123299616603738</v>
      </c>
      <c r="Q98" s="12" t="n">
        <f aca="false">IF(N98&lt;0.001,"-",O98/N98-1)</f>
        <v>0.0356186593719914</v>
      </c>
      <c r="R98" s="19" t="n">
        <v>-7E-005</v>
      </c>
      <c r="S98" s="4"/>
      <c r="T98" s="4" t="str">
        <f aca="false">IF(N98&gt;=0.01,"SÍ","no")</f>
        <v>SÍ</v>
      </c>
      <c r="U98" s="11" t="n">
        <f aca="false">ABS(C98)</f>
        <v>0.0332</v>
      </c>
      <c r="V98" s="11" t="n">
        <f aca="false">ABS(I98)</f>
        <v>0.03444</v>
      </c>
      <c r="W98" s="11" t="n">
        <f aca="false">ABS(D98)</f>
        <v>0.00976</v>
      </c>
      <c r="X98" s="11" t="n">
        <f aca="false">ABS(J98)</f>
        <v>0.00988</v>
      </c>
      <c r="Y98" s="11" t="n">
        <f aca="false">ABS(E98)</f>
        <v>0.0009</v>
      </c>
      <c r="Z98" s="11" t="n">
        <f aca="false">ABS(K98)</f>
        <v>0.00121</v>
      </c>
    </row>
    <row r="99" customFormat="false" ht="15" hidden="false" customHeight="false" outlineLevel="0" collapsed="false">
      <c r="A99" s="4" t="n">
        <v>229</v>
      </c>
      <c r="B99" s="4" t="n">
        <v>96</v>
      </c>
      <c r="C99" s="19" t="n">
        <v>0.02195</v>
      </c>
      <c r="D99" s="19" t="n">
        <v>0.00442</v>
      </c>
      <c r="E99" s="19" t="n">
        <v>-0.00197</v>
      </c>
      <c r="F99" s="19" t="n">
        <v>9E-005</v>
      </c>
      <c r="G99" s="19" t="n">
        <v>-0.0004</v>
      </c>
      <c r="H99" s="19" t="n">
        <v>-3E-005</v>
      </c>
      <c r="I99" s="19" t="n">
        <v>0.02401</v>
      </c>
      <c r="J99" s="19" t="n">
        <v>0.00446</v>
      </c>
      <c r="K99" s="19" t="n">
        <v>-0.00284</v>
      </c>
      <c r="L99" s="19" t="n">
        <v>9E-005</v>
      </c>
      <c r="M99" s="19" t="n">
        <v>-0.00039</v>
      </c>
      <c r="N99" s="11" t="n">
        <f aca="false">SQRT(C99^2+D99^2+E99^2)</f>
        <v>0.0224770950080298</v>
      </c>
      <c r="O99" s="11" t="n">
        <f aca="false">SQRT(I99^2+J99^2+K99^2)</f>
        <v>0.0245853065874721</v>
      </c>
      <c r="P99" s="11" t="n">
        <f aca="false">O99-N99</f>
        <v>0.00210821157944228</v>
      </c>
      <c r="Q99" s="12" t="n">
        <f aca="false">IF(N99&lt;0.001,"-",O99/N99-1)</f>
        <v>0.0937937744485722</v>
      </c>
      <c r="R99" s="19" t="n">
        <v>-4E-005</v>
      </c>
      <c r="S99" s="4"/>
      <c r="T99" s="4" t="str">
        <f aca="false">IF(N99&gt;=0.01,"SÍ","no")</f>
        <v>SÍ</v>
      </c>
      <c r="U99" s="11" t="n">
        <f aca="false">ABS(C99)</f>
        <v>0.02195</v>
      </c>
      <c r="V99" s="11" t="n">
        <f aca="false">ABS(I99)</f>
        <v>0.02401</v>
      </c>
      <c r="W99" s="11" t="n">
        <f aca="false">ABS(D99)</f>
        <v>0.00442</v>
      </c>
      <c r="X99" s="11" t="n">
        <f aca="false">ABS(J99)</f>
        <v>0.00446</v>
      </c>
      <c r="Y99" s="11" t="n">
        <f aca="false">ABS(E99)</f>
        <v>0.00197</v>
      </c>
      <c r="Z99" s="11" t="n">
        <f aca="false">ABS(K99)</f>
        <v>0.00284</v>
      </c>
    </row>
    <row r="100" customFormat="false" ht="15" hidden="false" customHeight="false" outlineLevel="0" collapsed="false">
      <c r="A100" s="4" t="n">
        <v>230</v>
      </c>
      <c r="B100" s="4" t="n">
        <v>97</v>
      </c>
      <c r="C100" s="19" t="n">
        <v>0.01717</v>
      </c>
      <c r="D100" s="19" t="n">
        <v>0.00387</v>
      </c>
      <c r="E100" s="19" t="n">
        <v>-0.00091</v>
      </c>
      <c r="F100" s="19" t="n">
        <v>0.0001</v>
      </c>
      <c r="G100" s="19" t="n">
        <v>-0.00031</v>
      </c>
      <c r="H100" s="19" t="n">
        <v>-6E-005</v>
      </c>
      <c r="I100" s="19" t="n">
        <v>0.01823</v>
      </c>
      <c r="J100" s="19" t="n">
        <v>0.00394</v>
      </c>
      <c r="K100" s="19" t="n">
        <v>-0.00122</v>
      </c>
      <c r="L100" s="19" t="n">
        <v>0.0001</v>
      </c>
      <c r="M100" s="19" t="n">
        <v>-0.00032</v>
      </c>
      <c r="N100" s="11" t="n">
        <f aca="false">SQRT(C100^2+D100^2+E100^2)</f>
        <v>0.0176242418276645</v>
      </c>
      <c r="O100" s="11" t="n">
        <f aca="false">SQRT(I100^2+J100^2+K100^2)</f>
        <v>0.0186907704496096</v>
      </c>
      <c r="P100" s="11" t="n">
        <f aca="false">O100-N100</f>
        <v>0.00106652862194508</v>
      </c>
      <c r="Q100" s="12" t="n">
        <f aca="false">IF(N100&lt;0.001,"-",O100/N100-1)</f>
        <v>0.0605148653981227</v>
      </c>
      <c r="R100" s="19" t="n">
        <v>-6E-005</v>
      </c>
      <c r="S100" s="4"/>
      <c r="T100" s="4" t="str">
        <f aca="false">IF(N100&gt;=0.01,"SÍ","no")</f>
        <v>SÍ</v>
      </c>
      <c r="U100" s="11" t="n">
        <f aca="false">ABS(C100)</f>
        <v>0.01717</v>
      </c>
      <c r="V100" s="11" t="n">
        <f aca="false">ABS(I100)</f>
        <v>0.01823</v>
      </c>
      <c r="W100" s="11" t="n">
        <f aca="false">ABS(D100)</f>
        <v>0.00387</v>
      </c>
      <c r="X100" s="11" t="n">
        <f aca="false">ABS(J100)</f>
        <v>0.00394</v>
      </c>
      <c r="Y100" s="11" t="n">
        <f aca="false">ABS(E100)</f>
        <v>0.00091</v>
      </c>
      <c r="Z100" s="11" t="n">
        <f aca="false">ABS(K100)</f>
        <v>0.00122</v>
      </c>
    </row>
    <row r="101" customFormat="false" ht="15" hidden="false" customHeight="false" outlineLevel="0" collapsed="false">
      <c r="A101" s="4" t="n">
        <v>231</v>
      </c>
      <c r="B101" s="4" t="n">
        <v>98</v>
      </c>
      <c r="C101" s="19" t="n">
        <v>0</v>
      </c>
      <c r="D101" s="19" t="n">
        <v>0</v>
      </c>
      <c r="E101" s="19" t="n">
        <v>0</v>
      </c>
      <c r="F101" s="19" t="n">
        <v>0</v>
      </c>
      <c r="G101" s="19" t="n">
        <v>0</v>
      </c>
      <c r="H101" s="19" t="n">
        <v>0</v>
      </c>
      <c r="I101" s="19" t="n">
        <v>0</v>
      </c>
      <c r="J101" s="19" t="n">
        <v>0</v>
      </c>
      <c r="K101" s="19" t="n">
        <v>0</v>
      </c>
      <c r="L101" s="19" t="n">
        <v>0</v>
      </c>
      <c r="M101" s="19" t="n">
        <v>0</v>
      </c>
      <c r="N101" s="11" t="n">
        <f aca="false">SQRT(C101^2+D101^2+E101^2)</f>
        <v>0</v>
      </c>
      <c r="O101" s="11" t="n">
        <f aca="false">SQRT(I101^2+J101^2+K101^2)</f>
        <v>0</v>
      </c>
      <c r="P101" s="11" t="n">
        <f aca="false">O101-N101</f>
        <v>0</v>
      </c>
      <c r="Q101" s="12" t="str">
        <f aca="false">IF(N101&lt;0.001,"-",O101/N101-1)</f>
        <v>-</v>
      </c>
      <c r="R101" s="19" t="n">
        <v>0</v>
      </c>
      <c r="S101" s="4"/>
      <c r="T101" s="4" t="str">
        <f aca="false">IF(N101&gt;=0.01,"SÍ","no")</f>
        <v>no</v>
      </c>
      <c r="U101" s="11" t="n">
        <f aca="false">ABS(C101)</f>
        <v>0</v>
      </c>
      <c r="V101" s="11" t="n">
        <f aca="false">ABS(I101)</f>
        <v>0</v>
      </c>
      <c r="W101" s="11" t="n">
        <f aca="false">ABS(D101)</f>
        <v>0</v>
      </c>
      <c r="X101" s="11" t="n">
        <f aca="false">ABS(J101)</f>
        <v>0</v>
      </c>
      <c r="Y101" s="11" t="n">
        <f aca="false">ABS(E101)</f>
        <v>0</v>
      </c>
      <c r="Z101" s="11" t="n">
        <f aca="false">ABS(K101)</f>
        <v>0</v>
      </c>
    </row>
    <row r="102" customFormat="false" ht="15" hidden="false" customHeight="false" outlineLevel="0" collapsed="false">
      <c r="A102" s="4" t="n">
        <v>232</v>
      </c>
      <c r="B102" s="4" t="n">
        <v>99</v>
      </c>
      <c r="C102" s="19" t="n">
        <v>0</v>
      </c>
      <c r="D102" s="19" t="n">
        <v>0</v>
      </c>
      <c r="E102" s="19" t="n">
        <v>0</v>
      </c>
      <c r="F102" s="19" t="n">
        <v>0</v>
      </c>
      <c r="G102" s="19" t="n">
        <v>0</v>
      </c>
      <c r="H102" s="19" t="n">
        <v>0</v>
      </c>
      <c r="I102" s="19" t="n">
        <v>0</v>
      </c>
      <c r="J102" s="19" t="n">
        <v>0</v>
      </c>
      <c r="K102" s="19" t="n">
        <v>0</v>
      </c>
      <c r="L102" s="19" t="n">
        <v>0</v>
      </c>
      <c r="M102" s="19" t="n">
        <v>0</v>
      </c>
      <c r="N102" s="11" t="n">
        <f aca="false">SQRT(C102^2+D102^2+E102^2)</f>
        <v>0</v>
      </c>
      <c r="O102" s="11" t="n">
        <f aca="false">SQRT(I102^2+J102^2+K102^2)</f>
        <v>0</v>
      </c>
      <c r="P102" s="11" t="n">
        <f aca="false">O102-N102</f>
        <v>0</v>
      </c>
      <c r="Q102" s="12" t="str">
        <f aca="false">IF(N102&lt;0.001,"-",O102/N102-1)</f>
        <v>-</v>
      </c>
      <c r="R102" s="19" t="n">
        <v>0</v>
      </c>
      <c r="S102" s="4"/>
      <c r="T102" s="4" t="str">
        <f aca="false">IF(N102&gt;=0.01,"SÍ","no")</f>
        <v>no</v>
      </c>
      <c r="U102" s="11" t="n">
        <f aca="false">ABS(C102)</f>
        <v>0</v>
      </c>
      <c r="V102" s="11" t="n">
        <f aca="false">ABS(I102)</f>
        <v>0</v>
      </c>
      <c r="W102" s="11" t="n">
        <f aca="false">ABS(D102)</f>
        <v>0</v>
      </c>
      <c r="X102" s="11" t="n">
        <f aca="false">ABS(J102)</f>
        <v>0</v>
      </c>
      <c r="Y102" s="11" t="n">
        <f aca="false">ABS(E102)</f>
        <v>0</v>
      </c>
      <c r="Z102" s="11" t="n">
        <f aca="false">ABS(K102)</f>
        <v>0</v>
      </c>
    </row>
    <row r="103" customFormat="false" ht="15" hidden="false" customHeight="false" outlineLevel="0" collapsed="false">
      <c r="A103" s="4" t="n">
        <v>233</v>
      </c>
      <c r="B103" s="4" t="n">
        <v>100</v>
      </c>
      <c r="C103" s="19" t="n">
        <v>0</v>
      </c>
      <c r="D103" s="19" t="n">
        <v>0</v>
      </c>
      <c r="E103" s="19" t="n">
        <v>0</v>
      </c>
      <c r="F103" s="19" t="n">
        <v>0</v>
      </c>
      <c r="G103" s="19" t="n">
        <v>0</v>
      </c>
      <c r="H103" s="19" t="n">
        <v>0</v>
      </c>
      <c r="I103" s="19" t="n">
        <v>0</v>
      </c>
      <c r="J103" s="19" t="n">
        <v>0</v>
      </c>
      <c r="K103" s="19" t="n">
        <v>0</v>
      </c>
      <c r="L103" s="19" t="n">
        <v>0</v>
      </c>
      <c r="M103" s="19" t="n">
        <v>0</v>
      </c>
      <c r="N103" s="11" t="n">
        <f aca="false">SQRT(C103^2+D103^2+E103^2)</f>
        <v>0</v>
      </c>
      <c r="O103" s="11" t="n">
        <f aca="false">SQRT(I103^2+J103^2+K103^2)</f>
        <v>0</v>
      </c>
      <c r="P103" s="11" t="n">
        <f aca="false">O103-N103</f>
        <v>0</v>
      </c>
      <c r="Q103" s="12" t="str">
        <f aca="false">IF(N103&lt;0.001,"-",O103/N103-1)</f>
        <v>-</v>
      </c>
      <c r="R103" s="19" t="n">
        <v>0</v>
      </c>
      <c r="S103" s="4"/>
      <c r="T103" s="4" t="str">
        <f aca="false">IF(N103&gt;=0.01,"SÍ","no")</f>
        <v>no</v>
      </c>
      <c r="U103" s="11" t="n">
        <f aca="false">ABS(C103)</f>
        <v>0</v>
      </c>
      <c r="V103" s="11" t="n">
        <f aca="false">ABS(I103)</f>
        <v>0</v>
      </c>
      <c r="W103" s="11" t="n">
        <f aca="false">ABS(D103)</f>
        <v>0</v>
      </c>
      <c r="X103" s="11" t="n">
        <f aca="false">ABS(J103)</f>
        <v>0</v>
      </c>
      <c r="Y103" s="11" t="n">
        <f aca="false">ABS(E103)</f>
        <v>0</v>
      </c>
      <c r="Z103" s="11" t="n">
        <f aca="false">ABS(K103)</f>
        <v>0</v>
      </c>
    </row>
    <row r="104" customFormat="false" ht="15" hidden="false" customHeight="false" outlineLevel="0" collapsed="false">
      <c r="A104" s="4" t="n">
        <v>234</v>
      </c>
      <c r="B104" s="4" t="n">
        <v>101</v>
      </c>
      <c r="C104" s="19" t="n">
        <v>0</v>
      </c>
      <c r="D104" s="19" t="n">
        <v>0</v>
      </c>
      <c r="E104" s="19" t="n">
        <v>0</v>
      </c>
      <c r="F104" s="19" t="n">
        <v>0</v>
      </c>
      <c r="G104" s="19" t="n">
        <v>0</v>
      </c>
      <c r="H104" s="19" t="n">
        <v>0</v>
      </c>
      <c r="I104" s="19" t="n">
        <v>0</v>
      </c>
      <c r="J104" s="19" t="n">
        <v>0</v>
      </c>
      <c r="K104" s="19" t="n">
        <v>0</v>
      </c>
      <c r="L104" s="19" t="n">
        <v>0</v>
      </c>
      <c r="M104" s="19" t="n">
        <v>0</v>
      </c>
      <c r="N104" s="11" t="n">
        <f aca="false">SQRT(C104^2+D104^2+E104^2)</f>
        <v>0</v>
      </c>
      <c r="O104" s="11" t="n">
        <f aca="false">SQRT(I104^2+J104^2+K104^2)</f>
        <v>0</v>
      </c>
      <c r="P104" s="11" t="n">
        <f aca="false">O104-N104</f>
        <v>0</v>
      </c>
      <c r="Q104" s="12" t="str">
        <f aca="false">IF(N104&lt;0.001,"-",O104/N104-1)</f>
        <v>-</v>
      </c>
      <c r="R104" s="19" t="n">
        <v>0</v>
      </c>
      <c r="S104" s="4"/>
      <c r="T104" s="4" t="str">
        <f aca="false">IF(N104&gt;=0.01,"SÍ","no")</f>
        <v>no</v>
      </c>
      <c r="U104" s="11" t="n">
        <f aca="false">ABS(C104)</f>
        <v>0</v>
      </c>
      <c r="V104" s="11" t="n">
        <f aca="false">ABS(I104)</f>
        <v>0</v>
      </c>
      <c r="W104" s="11" t="n">
        <f aca="false">ABS(D104)</f>
        <v>0</v>
      </c>
      <c r="X104" s="11" t="n">
        <f aca="false">ABS(J104)</f>
        <v>0</v>
      </c>
      <c r="Y104" s="11" t="n">
        <f aca="false">ABS(E104)</f>
        <v>0</v>
      </c>
      <c r="Z104" s="11" t="n">
        <f aca="false">ABS(K104)</f>
        <v>0</v>
      </c>
    </row>
    <row r="105" customFormat="false" ht="15" hidden="false" customHeight="false" outlineLevel="0" collapsed="false">
      <c r="A105" s="4" t="n">
        <v>235</v>
      </c>
      <c r="B105" s="4" t="n">
        <v>102</v>
      </c>
      <c r="C105" s="19" t="n">
        <v>0</v>
      </c>
      <c r="D105" s="19" t="n">
        <v>0</v>
      </c>
      <c r="E105" s="19" t="n">
        <v>0</v>
      </c>
      <c r="F105" s="19" t="n">
        <v>0</v>
      </c>
      <c r="G105" s="19" t="n">
        <v>0</v>
      </c>
      <c r="H105" s="19" t="n">
        <v>0</v>
      </c>
      <c r="I105" s="19" t="n">
        <v>0</v>
      </c>
      <c r="J105" s="19" t="n">
        <v>0</v>
      </c>
      <c r="K105" s="19" t="n">
        <v>0</v>
      </c>
      <c r="L105" s="19" t="n">
        <v>0</v>
      </c>
      <c r="M105" s="19" t="n">
        <v>0</v>
      </c>
      <c r="N105" s="11" t="n">
        <f aca="false">SQRT(C105^2+D105^2+E105^2)</f>
        <v>0</v>
      </c>
      <c r="O105" s="11" t="n">
        <f aca="false">SQRT(I105^2+J105^2+K105^2)</f>
        <v>0</v>
      </c>
      <c r="P105" s="11" t="n">
        <f aca="false">O105-N105</f>
        <v>0</v>
      </c>
      <c r="Q105" s="12" t="str">
        <f aca="false">IF(N105&lt;0.001,"-",O105/N105-1)</f>
        <v>-</v>
      </c>
      <c r="R105" s="19" t="n">
        <v>0</v>
      </c>
      <c r="S105" s="4"/>
      <c r="T105" s="4" t="str">
        <f aca="false">IF(N105&gt;=0.01,"SÍ","no")</f>
        <v>no</v>
      </c>
      <c r="U105" s="11" t="n">
        <f aca="false">ABS(C105)</f>
        <v>0</v>
      </c>
      <c r="V105" s="11" t="n">
        <f aca="false">ABS(I105)</f>
        <v>0</v>
      </c>
      <c r="W105" s="11" t="n">
        <f aca="false">ABS(D105)</f>
        <v>0</v>
      </c>
      <c r="X105" s="11" t="n">
        <f aca="false">ABS(J105)</f>
        <v>0</v>
      </c>
      <c r="Y105" s="11" t="n">
        <f aca="false">ABS(E105)</f>
        <v>0</v>
      </c>
      <c r="Z105" s="11" t="n">
        <f aca="false">ABS(K105)</f>
        <v>0</v>
      </c>
    </row>
    <row r="106" customFormat="false" ht="15" hidden="false" customHeight="false" outlineLevel="0" collapsed="false">
      <c r="A106" s="4" t="n">
        <v>236</v>
      </c>
      <c r="B106" s="4" t="n">
        <v>103</v>
      </c>
      <c r="C106" s="19" t="n">
        <v>0</v>
      </c>
      <c r="D106" s="19" t="n">
        <v>0</v>
      </c>
      <c r="E106" s="19" t="n">
        <v>0</v>
      </c>
      <c r="F106" s="19" t="n">
        <v>0</v>
      </c>
      <c r="G106" s="19" t="n">
        <v>0</v>
      </c>
      <c r="H106" s="19" t="n">
        <v>0</v>
      </c>
      <c r="I106" s="19" t="n">
        <v>0</v>
      </c>
      <c r="J106" s="19" t="n">
        <v>0</v>
      </c>
      <c r="K106" s="19" t="n">
        <v>0</v>
      </c>
      <c r="L106" s="19" t="n">
        <v>0</v>
      </c>
      <c r="M106" s="19" t="n">
        <v>0</v>
      </c>
      <c r="N106" s="11" t="n">
        <f aca="false">SQRT(C106^2+D106^2+E106^2)</f>
        <v>0</v>
      </c>
      <c r="O106" s="11" t="n">
        <f aca="false">SQRT(I106^2+J106^2+K106^2)</f>
        <v>0</v>
      </c>
      <c r="P106" s="11" t="n">
        <f aca="false">O106-N106</f>
        <v>0</v>
      </c>
      <c r="Q106" s="12" t="str">
        <f aca="false">IF(N106&lt;0.001,"-",O106/N106-1)</f>
        <v>-</v>
      </c>
      <c r="R106" s="19" t="n">
        <v>0</v>
      </c>
      <c r="S106" s="4"/>
      <c r="T106" s="4" t="str">
        <f aca="false">IF(N106&gt;=0.01,"SÍ","no")</f>
        <v>no</v>
      </c>
      <c r="U106" s="11" t="n">
        <f aca="false">ABS(C106)</f>
        <v>0</v>
      </c>
      <c r="V106" s="11" t="n">
        <f aca="false">ABS(I106)</f>
        <v>0</v>
      </c>
      <c r="W106" s="11" t="n">
        <f aca="false">ABS(D106)</f>
        <v>0</v>
      </c>
      <c r="X106" s="11" t="n">
        <f aca="false">ABS(J106)</f>
        <v>0</v>
      </c>
      <c r="Y106" s="11" t="n">
        <f aca="false">ABS(E106)</f>
        <v>0</v>
      </c>
      <c r="Z106" s="11" t="n">
        <f aca="false">ABS(K106)</f>
        <v>0</v>
      </c>
    </row>
    <row r="107" customFormat="false" ht="15" hidden="false" customHeight="false" outlineLevel="0" collapsed="false">
      <c r="A107" s="4" t="n">
        <v>237</v>
      </c>
      <c r="B107" s="4" t="n">
        <v>105</v>
      </c>
      <c r="C107" s="19" t="n">
        <v>0.01644</v>
      </c>
      <c r="D107" s="19" t="n">
        <v>0.0032</v>
      </c>
      <c r="E107" s="19" t="n">
        <v>-0.00198</v>
      </c>
      <c r="F107" s="19" t="n">
        <v>9E-005</v>
      </c>
      <c r="G107" s="19" t="n">
        <v>-0.00036</v>
      </c>
      <c r="H107" s="19" t="n">
        <v>-1E-005</v>
      </c>
      <c r="I107" s="19" t="n">
        <v>0.01848</v>
      </c>
      <c r="J107" s="19" t="n">
        <v>0.00325</v>
      </c>
      <c r="K107" s="19" t="n">
        <v>-0.00285</v>
      </c>
      <c r="L107" s="19" t="n">
        <v>8E-005</v>
      </c>
      <c r="M107" s="19" t="n">
        <v>-0.00037</v>
      </c>
      <c r="N107" s="11" t="n">
        <f aca="false">SQRT(C107^2+D107^2+E107^2)</f>
        <v>0.0168651712117014</v>
      </c>
      <c r="O107" s="11" t="n">
        <f aca="false">SQRT(I107^2+J107^2+K107^2)</f>
        <v>0.0189788145045996</v>
      </c>
      <c r="P107" s="11" t="n">
        <f aca="false">O107-N107</f>
        <v>0.00211364329289824</v>
      </c>
      <c r="Q107" s="12" t="n">
        <f aca="false">IF(N107&lt;0.001,"-",O107/N107-1)</f>
        <v>0.125325931552462</v>
      </c>
      <c r="R107" s="19" t="n">
        <v>-1E-005</v>
      </c>
      <c r="S107" s="4"/>
      <c r="T107" s="4" t="str">
        <f aca="false">IF(N107&gt;=0.01,"SÍ","no")</f>
        <v>SÍ</v>
      </c>
      <c r="U107" s="11" t="n">
        <f aca="false">ABS(C107)</f>
        <v>0.01644</v>
      </c>
      <c r="V107" s="11" t="n">
        <f aca="false">ABS(I107)</f>
        <v>0.01848</v>
      </c>
      <c r="W107" s="11" t="n">
        <f aca="false">ABS(D107)</f>
        <v>0.0032</v>
      </c>
      <c r="X107" s="11" t="n">
        <f aca="false">ABS(J107)</f>
        <v>0.00325</v>
      </c>
      <c r="Y107" s="11" t="n">
        <f aca="false">ABS(E107)</f>
        <v>0.00198</v>
      </c>
      <c r="Z107" s="11" t="n">
        <f aca="false">ABS(K107)</f>
        <v>0.00285</v>
      </c>
    </row>
    <row r="108" customFormat="false" ht="15" hidden="false" customHeight="false" outlineLevel="0" collapsed="false">
      <c r="A108" s="4" t="n">
        <v>238</v>
      </c>
      <c r="B108" s="4" t="n">
        <v>106</v>
      </c>
      <c r="C108" s="19" t="n">
        <v>0.01682</v>
      </c>
      <c r="D108" s="19" t="n">
        <v>-0.00357</v>
      </c>
      <c r="E108" s="19" t="n">
        <v>-0.0008</v>
      </c>
      <c r="F108" s="19" t="n">
        <v>-0.00016</v>
      </c>
      <c r="G108" s="19" t="n">
        <v>-0.00026</v>
      </c>
      <c r="H108" s="19" t="n">
        <v>-2E-005</v>
      </c>
      <c r="I108" s="19" t="n">
        <v>0.01902</v>
      </c>
      <c r="J108" s="19" t="n">
        <v>-0.00356</v>
      </c>
      <c r="K108" s="19" t="n">
        <v>-0.0012</v>
      </c>
      <c r="L108" s="19" t="n">
        <v>-0.00017</v>
      </c>
      <c r="M108" s="19" t="n">
        <v>-0.00024</v>
      </c>
      <c r="N108" s="11" t="n">
        <f aca="false">SQRT(C108^2+D108^2+E108^2)</f>
        <v>0.0172132884714107</v>
      </c>
      <c r="O108" s="11" t="n">
        <f aca="false">SQRT(I108^2+J108^2+K108^2)</f>
        <v>0.0193874701805058</v>
      </c>
      <c r="P108" s="11" t="n">
        <f aca="false">O108-N108</f>
        <v>0.00217418170909507</v>
      </c>
      <c r="Q108" s="12" t="n">
        <f aca="false">IF(N108&lt;0.001,"-",O108/N108-1)</f>
        <v>0.126308329329758</v>
      </c>
      <c r="R108" s="19" t="n">
        <v>-2E-005</v>
      </c>
      <c r="S108" s="4"/>
      <c r="T108" s="4" t="str">
        <f aca="false">IF(N108&gt;=0.01,"SÍ","no")</f>
        <v>SÍ</v>
      </c>
      <c r="U108" s="11" t="n">
        <f aca="false">ABS(C108)</f>
        <v>0.01682</v>
      </c>
      <c r="V108" s="11" t="n">
        <f aca="false">ABS(I108)</f>
        <v>0.01902</v>
      </c>
      <c r="W108" s="11" t="n">
        <f aca="false">ABS(D108)</f>
        <v>0.00357</v>
      </c>
      <c r="X108" s="11" t="n">
        <f aca="false">ABS(J108)</f>
        <v>0.00356</v>
      </c>
      <c r="Y108" s="11" t="n">
        <f aca="false">ABS(E108)</f>
        <v>0.0008</v>
      </c>
      <c r="Z108" s="11" t="n">
        <f aca="false">ABS(K108)</f>
        <v>0.0012</v>
      </c>
    </row>
    <row r="109" customFormat="false" ht="15" hidden="false" customHeight="false" outlineLevel="0" collapsed="false">
      <c r="A109" s="4" t="n">
        <v>239</v>
      </c>
      <c r="B109" s="4" t="n">
        <v>107</v>
      </c>
      <c r="C109" s="19" t="n">
        <v>0.04741</v>
      </c>
      <c r="D109" s="19" t="n">
        <v>0.01107</v>
      </c>
      <c r="E109" s="19" t="n">
        <v>-0.00194</v>
      </c>
      <c r="F109" s="19" t="n">
        <v>7E-005</v>
      </c>
      <c r="G109" s="19" t="n">
        <v>-0.00027</v>
      </c>
      <c r="H109" s="19" t="n">
        <v>-3E-005</v>
      </c>
      <c r="I109" s="19" t="n">
        <v>0.04902</v>
      </c>
      <c r="J109" s="19" t="n">
        <v>0.01118</v>
      </c>
      <c r="K109" s="19" t="n">
        <v>-0.00281</v>
      </c>
      <c r="L109" s="19" t="n">
        <v>6E-005</v>
      </c>
      <c r="M109" s="19" t="n">
        <v>-0.00027</v>
      </c>
      <c r="N109" s="11" t="n">
        <f aca="false">SQRT(C109^2+D109^2+E109^2)</f>
        <v>0.0487238812082946</v>
      </c>
      <c r="O109" s="11" t="n">
        <f aca="false">SQRT(I109^2+J109^2+K109^2)</f>
        <v>0.0503572129888063</v>
      </c>
      <c r="P109" s="11" t="n">
        <f aca="false">O109-N109</f>
        <v>0.00163333178051172</v>
      </c>
      <c r="Q109" s="12" t="n">
        <f aca="false">IF(N109&lt;0.001,"-",O109/N109-1)</f>
        <v>0.0335222018444965</v>
      </c>
      <c r="R109" s="19" t="n">
        <v>-4E-005</v>
      </c>
      <c r="S109" s="4"/>
      <c r="T109" s="4" t="str">
        <f aca="false">IF(N109&gt;=0.01,"SÍ","no")</f>
        <v>SÍ</v>
      </c>
      <c r="U109" s="11" t="n">
        <f aca="false">ABS(C109)</f>
        <v>0.04741</v>
      </c>
      <c r="V109" s="11" t="n">
        <f aca="false">ABS(I109)</f>
        <v>0.04902</v>
      </c>
      <c r="W109" s="11" t="n">
        <f aca="false">ABS(D109)</f>
        <v>0.01107</v>
      </c>
      <c r="X109" s="11" t="n">
        <f aca="false">ABS(J109)</f>
        <v>0.01118</v>
      </c>
      <c r="Y109" s="11" t="n">
        <f aca="false">ABS(E109)</f>
        <v>0.00194</v>
      </c>
      <c r="Z109" s="11" t="n">
        <f aca="false">ABS(K109)</f>
        <v>0.00281</v>
      </c>
    </row>
    <row r="110" customFormat="false" ht="15" hidden="false" customHeight="false" outlineLevel="0" collapsed="false">
      <c r="A110" s="4" t="n">
        <v>240</v>
      </c>
      <c r="B110" s="4" t="n">
        <v>108</v>
      </c>
      <c r="C110" s="19" t="n">
        <v>0.04735</v>
      </c>
      <c r="D110" s="19" t="n">
        <v>-0.01582</v>
      </c>
      <c r="E110" s="19" t="n">
        <v>-0.00081</v>
      </c>
      <c r="F110" s="19" t="n">
        <v>-0.0001</v>
      </c>
      <c r="G110" s="19" t="n">
        <v>-0.00027</v>
      </c>
      <c r="H110" s="19" t="n">
        <v>-6E-005</v>
      </c>
      <c r="I110" s="19" t="n">
        <v>0.04881</v>
      </c>
      <c r="J110" s="19" t="n">
        <v>-0.01618</v>
      </c>
      <c r="K110" s="19" t="n">
        <v>-0.0012</v>
      </c>
      <c r="L110" s="19" t="n">
        <v>-0.0001</v>
      </c>
      <c r="M110" s="19" t="n">
        <v>-0.00027</v>
      </c>
      <c r="N110" s="11" t="n">
        <f aca="false">SQRT(C110^2+D110^2+E110^2)</f>
        <v>0.0499294602414246</v>
      </c>
      <c r="O110" s="11" t="n">
        <f aca="false">SQRT(I110^2+J110^2+K110^2)</f>
        <v>0.0514358678355873</v>
      </c>
      <c r="P110" s="11" t="n">
        <f aca="false">O110-N110</f>
        <v>0.00150640759416266</v>
      </c>
      <c r="Q110" s="12" t="n">
        <f aca="false">IF(N110&lt;0.001,"-",O110/N110-1)</f>
        <v>0.0301707165845315</v>
      </c>
      <c r="R110" s="19" t="n">
        <v>-6E-005</v>
      </c>
      <c r="S110" s="4"/>
      <c r="T110" s="4" t="str">
        <f aca="false">IF(N110&gt;=0.01,"SÍ","no")</f>
        <v>SÍ</v>
      </c>
      <c r="U110" s="11" t="n">
        <f aca="false">ABS(C110)</f>
        <v>0.04735</v>
      </c>
      <c r="V110" s="11" t="n">
        <f aca="false">ABS(I110)</f>
        <v>0.04881</v>
      </c>
      <c r="W110" s="11" t="n">
        <f aca="false">ABS(D110)</f>
        <v>0.01582</v>
      </c>
      <c r="X110" s="11" t="n">
        <f aca="false">ABS(J110)</f>
        <v>0.01618</v>
      </c>
      <c r="Y110" s="11" t="n">
        <f aca="false">ABS(E110)</f>
        <v>0.00081</v>
      </c>
      <c r="Z110" s="11" t="n">
        <f aca="false">ABS(K110)</f>
        <v>0.0012</v>
      </c>
    </row>
    <row r="111" customFormat="false" ht="15" hidden="false" customHeight="false" outlineLevel="0" collapsed="false">
      <c r="A111" s="4" t="n">
        <v>241</v>
      </c>
      <c r="B111" s="4" t="n">
        <v>109</v>
      </c>
      <c r="C111" s="19" t="n">
        <v>0.04695</v>
      </c>
      <c r="D111" s="19" t="n">
        <v>0.01118</v>
      </c>
      <c r="E111" s="19" t="n">
        <v>-0.00182</v>
      </c>
      <c r="F111" s="19" t="n">
        <v>-7E-005</v>
      </c>
      <c r="G111" s="19" t="n">
        <v>0.00026</v>
      </c>
      <c r="H111" s="19" t="n">
        <v>-3E-005</v>
      </c>
      <c r="I111" s="19" t="n">
        <v>0.04824</v>
      </c>
      <c r="J111" s="19" t="n">
        <v>0.01146</v>
      </c>
      <c r="K111" s="19" t="n">
        <v>-0.00269</v>
      </c>
      <c r="L111" s="19" t="n">
        <v>-7E-005</v>
      </c>
      <c r="M111" s="19" t="n">
        <v>0.00026</v>
      </c>
      <c r="N111" s="11" t="n">
        <f aca="false">SQRT(C111^2+D111^2+E111^2)</f>
        <v>0.048297073410301</v>
      </c>
      <c r="O111" s="11" t="n">
        <f aca="false">SQRT(I111^2+J111^2+K111^2)</f>
        <v>0.0496554659629733</v>
      </c>
      <c r="P111" s="11" t="n">
        <f aca="false">O111-N111</f>
        <v>0.00135839255267235</v>
      </c>
      <c r="Q111" s="12" t="n">
        <f aca="false">IF(N111&lt;0.001,"-",O111/N111-1)</f>
        <v>0.0281257736081091</v>
      </c>
      <c r="R111" s="19" t="n">
        <v>-3E-005</v>
      </c>
      <c r="S111" s="4"/>
      <c r="T111" s="4" t="str">
        <f aca="false">IF(N111&gt;=0.01,"SÍ","no")</f>
        <v>SÍ</v>
      </c>
      <c r="U111" s="11" t="n">
        <f aca="false">ABS(C111)</f>
        <v>0.04695</v>
      </c>
      <c r="V111" s="11" t="n">
        <f aca="false">ABS(I111)</f>
        <v>0.04824</v>
      </c>
      <c r="W111" s="11" t="n">
        <f aca="false">ABS(D111)</f>
        <v>0.01118</v>
      </c>
      <c r="X111" s="11" t="n">
        <f aca="false">ABS(J111)</f>
        <v>0.01146</v>
      </c>
      <c r="Y111" s="11" t="n">
        <f aca="false">ABS(E111)</f>
        <v>0.00182</v>
      </c>
      <c r="Z111" s="11" t="n">
        <f aca="false">ABS(K111)</f>
        <v>0.00269</v>
      </c>
    </row>
    <row r="112" customFormat="false" ht="15" hidden="false" customHeight="false" outlineLevel="0" collapsed="false">
      <c r="A112" s="4" t="n">
        <v>242</v>
      </c>
      <c r="B112" s="4" t="n">
        <v>110</v>
      </c>
      <c r="C112" s="19" t="n">
        <v>0.04721</v>
      </c>
      <c r="D112" s="19" t="n">
        <v>-0.01581</v>
      </c>
      <c r="E112" s="19" t="n">
        <v>-0.00085</v>
      </c>
      <c r="F112" s="19" t="n">
        <v>0.0001</v>
      </c>
      <c r="G112" s="19" t="n">
        <v>0.00026</v>
      </c>
      <c r="H112" s="19" t="n">
        <v>-6E-005</v>
      </c>
      <c r="I112" s="19" t="n">
        <v>0.04858</v>
      </c>
      <c r="J112" s="19" t="n">
        <v>-0.01611</v>
      </c>
      <c r="K112" s="19" t="n">
        <v>-0.00124</v>
      </c>
      <c r="L112" s="19" t="n">
        <v>0.0001</v>
      </c>
      <c r="M112" s="19" t="n">
        <v>0.00025</v>
      </c>
      <c r="N112" s="11" t="n">
        <f aca="false">SQRT(C112^2+D112^2+E112^2)</f>
        <v>0.049794203477915</v>
      </c>
      <c r="O112" s="11" t="n">
        <f aca="false">SQRT(I112^2+J112^2+K112^2)</f>
        <v>0.0511965438286609</v>
      </c>
      <c r="P112" s="11" t="n">
        <f aca="false">O112-N112</f>
        <v>0.00140234035074595</v>
      </c>
      <c r="Q112" s="12" t="n">
        <f aca="false">IF(N112&lt;0.001,"-",O112/N112-1)</f>
        <v>0.0281627228231078</v>
      </c>
      <c r="R112" s="19" t="n">
        <v>-6E-005</v>
      </c>
      <c r="S112" s="4"/>
      <c r="T112" s="4" t="str">
        <f aca="false">IF(N112&gt;=0.01,"SÍ","no")</f>
        <v>SÍ</v>
      </c>
      <c r="U112" s="11" t="n">
        <f aca="false">ABS(C112)</f>
        <v>0.04721</v>
      </c>
      <c r="V112" s="11" t="n">
        <f aca="false">ABS(I112)</f>
        <v>0.04858</v>
      </c>
      <c r="W112" s="11" t="n">
        <f aca="false">ABS(D112)</f>
        <v>0.01581</v>
      </c>
      <c r="X112" s="11" t="n">
        <f aca="false">ABS(J112)</f>
        <v>0.01611</v>
      </c>
      <c r="Y112" s="11" t="n">
        <f aca="false">ABS(E112)</f>
        <v>0.00085</v>
      </c>
      <c r="Z112" s="11" t="n">
        <f aca="false">ABS(K112)</f>
        <v>0.00124</v>
      </c>
    </row>
    <row r="113" customFormat="false" ht="15" hidden="false" customHeight="false" outlineLevel="0" collapsed="false">
      <c r="A113" s="4" t="n">
        <v>243</v>
      </c>
      <c r="B113" s="4" t="n">
        <v>111</v>
      </c>
      <c r="C113" s="19" t="n">
        <v>0.01676</v>
      </c>
      <c r="D113" s="19" t="n">
        <v>0.00288</v>
      </c>
      <c r="E113" s="19" t="n">
        <v>-0.00179</v>
      </c>
      <c r="F113" s="19" t="n">
        <v>-0.00012</v>
      </c>
      <c r="G113" s="19" t="n">
        <v>0.00026</v>
      </c>
      <c r="H113" s="19" t="n">
        <v>-1E-005</v>
      </c>
      <c r="I113" s="19" t="n">
        <v>0.01894</v>
      </c>
      <c r="J113" s="19" t="n">
        <v>0.00284</v>
      </c>
      <c r="K113" s="19" t="n">
        <v>-0.00267</v>
      </c>
      <c r="L113" s="19" t="n">
        <v>-0.00013</v>
      </c>
      <c r="M113" s="19" t="n">
        <v>0.00023</v>
      </c>
      <c r="N113" s="11" t="n">
        <f aca="false">SQRT(C113^2+D113^2+E113^2)</f>
        <v>0.0170995935624213</v>
      </c>
      <c r="O113" s="11" t="n">
        <f aca="false">SQRT(I113^2+J113^2+K113^2)</f>
        <v>0.0193369620157873</v>
      </c>
      <c r="P113" s="11" t="n">
        <f aca="false">O113-N113</f>
        <v>0.00223736845336597</v>
      </c>
      <c r="Q113" s="12" t="n">
        <f aca="false">IF(N113&lt;0.001,"-",O113/N113-1)</f>
        <v>0.13084337035255</v>
      </c>
      <c r="R113" s="19" t="n">
        <v>-1E-005</v>
      </c>
      <c r="S113" s="4"/>
      <c r="T113" s="4" t="str">
        <f aca="false">IF(N113&gt;=0.01,"SÍ","no")</f>
        <v>SÍ</v>
      </c>
      <c r="U113" s="11" t="n">
        <f aca="false">ABS(C113)</f>
        <v>0.01676</v>
      </c>
      <c r="V113" s="11" t="n">
        <f aca="false">ABS(I113)</f>
        <v>0.01894</v>
      </c>
      <c r="W113" s="11" t="n">
        <f aca="false">ABS(D113)</f>
        <v>0.00288</v>
      </c>
      <c r="X113" s="11" t="n">
        <f aca="false">ABS(J113)</f>
        <v>0.00284</v>
      </c>
      <c r="Y113" s="11" t="n">
        <f aca="false">ABS(E113)</f>
        <v>0.00179</v>
      </c>
      <c r="Z113" s="11" t="n">
        <f aca="false">ABS(K113)</f>
        <v>0.00267</v>
      </c>
    </row>
    <row r="114" customFormat="false" ht="15" hidden="false" customHeight="false" outlineLevel="0" collapsed="false">
      <c r="A114" s="4" t="n">
        <v>244</v>
      </c>
      <c r="B114" s="4" t="n">
        <v>112</v>
      </c>
      <c r="C114" s="19" t="n">
        <v>0.01635</v>
      </c>
      <c r="D114" s="19" t="n">
        <v>-0.00392</v>
      </c>
      <c r="E114" s="19" t="n">
        <v>-0.00086</v>
      </c>
      <c r="F114" s="19" t="n">
        <v>0.00013</v>
      </c>
      <c r="G114" s="19" t="n">
        <v>0.00036</v>
      </c>
      <c r="H114" s="19" t="n">
        <v>-1E-005</v>
      </c>
      <c r="I114" s="19" t="n">
        <v>0.01834</v>
      </c>
      <c r="J114" s="19" t="n">
        <v>-0.00402</v>
      </c>
      <c r="K114" s="19" t="n">
        <v>-0.00125</v>
      </c>
      <c r="L114" s="19" t="n">
        <v>0.00013</v>
      </c>
      <c r="M114" s="19" t="n">
        <v>0.00037</v>
      </c>
      <c r="N114" s="11" t="n">
        <f aca="false">SQRT(C114^2+D114^2+E114^2)</f>
        <v>0.0168353348645045</v>
      </c>
      <c r="O114" s="11" t="n">
        <f aca="false">SQRT(I114^2+J114^2+K114^2)</f>
        <v>0.0188169737205535</v>
      </c>
      <c r="P114" s="11" t="n">
        <f aca="false">O114-N114</f>
        <v>0.00198163885604899</v>
      </c>
      <c r="Q114" s="12" t="n">
        <f aca="false">IF(N114&lt;0.001,"-",O114/N114-1)</f>
        <v>0.117707124449723</v>
      </c>
      <c r="R114" s="19" t="n">
        <v>-1E-005</v>
      </c>
      <c r="S114" s="4"/>
      <c r="T114" s="4" t="str">
        <f aca="false">IF(N114&gt;=0.01,"SÍ","no")</f>
        <v>SÍ</v>
      </c>
      <c r="U114" s="11" t="n">
        <f aca="false">ABS(C114)</f>
        <v>0.01635</v>
      </c>
      <c r="V114" s="11" t="n">
        <f aca="false">ABS(I114)</f>
        <v>0.01834</v>
      </c>
      <c r="W114" s="11" t="n">
        <f aca="false">ABS(D114)</f>
        <v>0.00392</v>
      </c>
      <c r="X114" s="11" t="n">
        <f aca="false">ABS(J114)</f>
        <v>0.00402</v>
      </c>
      <c r="Y114" s="11" t="n">
        <f aca="false">ABS(E114)</f>
        <v>0.00086</v>
      </c>
      <c r="Z114" s="11" t="n">
        <f aca="false">ABS(K114)</f>
        <v>0.00125</v>
      </c>
    </row>
    <row r="115" customFormat="false" ht="15" hidden="false" customHeight="false" outlineLevel="0" collapsed="false">
      <c r="A115" s="4" t="n">
        <v>245</v>
      </c>
      <c r="B115" s="4" t="n">
        <v>114</v>
      </c>
      <c r="C115" s="19" t="n">
        <v>0</v>
      </c>
      <c r="D115" s="19" t="n">
        <v>0</v>
      </c>
      <c r="E115" s="19" t="n">
        <v>0</v>
      </c>
      <c r="F115" s="19" t="n">
        <v>0</v>
      </c>
      <c r="G115" s="19" t="n">
        <v>0</v>
      </c>
      <c r="H115" s="19" t="n">
        <v>0.0001</v>
      </c>
      <c r="I115" s="19" t="n">
        <v>0</v>
      </c>
      <c r="J115" s="19" t="n">
        <v>0</v>
      </c>
      <c r="K115" s="19" t="n">
        <v>0</v>
      </c>
      <c r="L115" s="19" t="n">
        <v>0</v>
      </c>
      <c r="M115" s="19" t="n">
        <v>0</v>
      </c>
      <c r="N115" s="11" t="n">
        <f aca="false">SQRT(C115^2+D115^2+E115^2)</f>
        <v>0</v>
      </c>
      <c r="O115" s="11" t="n">
        <f aca="false">SQRT(I115^2+J115^2+K115^2)</f>
        <v>0</v>
      </c>
      <c r="P115" s="11" t="n">
        <f aca="false">O115-N115</f>
        <v>0</v>
      </c>
      <c r="Q115" s="12" t="str">
        <f aca="false">IF(N115&lt;0.001,"-",O115/N115-1)</f>
        <v>-</v>
      </c>
      <c r="R115" s="19" t="n">
        <v>9E-005</v>
      </c>
      <c r="S115" s="4"/>
      <c r="T115" s="4" t="str">
        <f aca="false">IF(N115&gt;=0.01,"SÍ","no")</f>
        <v>no</v>
      </c>
      <c r="U115" s="11" t="n">
        <f aca="false">ABS(C115)</f>
        <v>0</v>
      </c>
      <c r="V115" s="11" t="n">
        <f aca="false">ABS(I115)</f>
        <v>0</v>
      </c>
      <c r="W115" s="11" t="n">
        <f aca="false">ABS(D115)</f>
        <v>0</v>
      </c>
      <c r="X115" s="11" t="n">
        <f aca="false">ABS(J115)</f>
        <v>0</v>
      </c>
      <c r="Y115" s="11" t="n">
        <f aca="false">ABS(E115)</f>
        <v>0</v>
      </c>
      <c r="Z115" s="11" t="n">
        <f aca="false">ABS(K115)</f>
        <v>0</v>
      </c>
    </row>
    <row r="116" customFormat="false" ht="15" hidden="false" customHeight="false" outlineLevel="0" collapsed="false">
      <c r="A116" s="4" t="n">
        <v>246</v>
      </c>
      <c r="B116" s="4" t="n">
        <v>116</v>
      </c>
      <c r="C116" s="19" t="n">
        <v>0</v>
      </c>
      <c r="D116" s="19" t="n">
        <v>0</v>
      </c>
      <c r="E116" s="19" t="n">
        <v>0</v>
      </c>
      <c r="F116" s="19" t="n">
        <v>0</v>
      </c>
      <c r="G116" s="19" t="n">
        <v>0</v>
      </c>
      <c r="H116" s="19" t="n">
        <v>0.00016</v>
      </c>
      <c r="I116" s="19" t="n">
        <v>0</v>
      </c>
      <c r="J116" s="19" t="n">
        <v>0</v>
      </c>
      <c r="K116" s="19" t="n">
        <v>0</v>
      </c>
      <c r="L116" s="19" t="n">
        <v>0</v>
      </c>
      <c r="M116" s="19" t="n">
        <v>0</v>
      </c>
      <c r="N116" s="11" t="n">
        <f aca="false">SQRT(C116^2+D116^2+E116^2)</f>
        <v>0</v>
      </c>
      <c r="O116" s="11" t="n">
        <f aca="false">SQRT(I116^2+J116^2+K116^2)</f>
        <v>0</v>
      </c>
      <c r="P116" s="11" t="n">
        <f aca="false">O116-N116</f>
        <v>0</v>
      </c>
      <c r="Q116" s="12" t="str">
        <f aca="false">IF(N116&lt;0.001,"-",O116/N116-1)</f>
        <v>-</v>
      </c>
      <c r="R116" s="19" t="n">
        <v>0.0002</v>
      </c>
      <c r="S116" s="4"/>
      <c r="T116" s="4" t="str">
        <f aca="false">IF(N116&gt;=0.01,"SÍ","no")</f>
        <v>no</v>
      </c>
      <c r="U116" s="11" t="n">
        <f aca="false">ABS(C116)</f>
        <v>0</v>
      </c>
      <c r="V116" s="11" t="n">
        <f aca="false">ABS(I116)</f>
        <v>0</v>
      </c>
      <c r="W116" s="11" t="n">
        <f aca="false">ABS(D116)</f>
        <v>0</v>
      </c>
      <c r="X116" s="11" t="n">
        <f aca="false">ABS(J116)</f>
        <v>0</v>
      </c>
      <c r="Y116" s="11" t="n">
        <f aca="false">ABS(E116)</f>
        <v>0</v>
      </c>
      <c r="Z116" s="11" t="n">
        <f aca="false">ABS(K116)</f>
        <v>0</v>
      </c>
    </row>
    <row r="117" customFormat="false" ht="15" hidden="false" customHeight="false" outlineLevel="0" collapsed="false">
      <c r="A117" s="4" t="n">
        <v>247</v>
      </c>
      <c r="B117" s="4" t="n">
        <v>117</v>
      </c>
      <c r="C117" s="19" t="n">
        <v>0</v>
      </c>
      <c r="D117" s="19" t="n">
        <v>0</v>
      </c>
      <c r="E117" s="19" t="n">
        <v>0</v>
      </c>
      <c r="F117" s="19" t="n">
        <v>0</v>
      </c>
      <c r="G117" s="19" t="n">
        <v>0</v>
      </c>
      <c r="H117" s="19" t="n">
        <v>0.00034</v>
      </c>
      <c r="I117" s="19" t="n">
        <v>0</v>
      </c>
      <c r="J117" s="19" t="n">
        <v>0</v>
      </c>
      <c r="K117" s="19" t="n">
        <v>0</v>
      </c>
      <c r="L117" s="19" t="n">
        <v>0</v>
      </c>
      <c r="M117" s="19" t="n">
        <v>0</v>
      </c>
      <c r="N117" s="11" t="n">
        <f aca="false">SQRT(C117^2+D117^2+E117^2)</f>
        <v>0</v>
      </c>
      <c r="O117" s="11" t="n">
        <f aca="false">SQRT(I117^2+J117^2+K117^2)</f>
        <v>0</v>
      </c>
      <c r="P117" s="11" t="n">
        <f aca="false">O117-N117</f>
        <v>0</v>
      </c>
      <c r="Q117" s="12" t="str">
        <f aca="false">IF(N117&lt;0.001,"-",O117/N117-1)</f>
        <v>-</v>
      </c>
      <c r="R117" s="19" t="n">
        <v>0.00033</v>
      </c>
      <c r="S117" s="4"/>
      <c r="T117" s="4" t="str">
        <f aca="false">IF(N117&gt;=0.01,"SÍ","no")</f>
        <v>no</v>
      </c>
      <c r="U117" s="11" t="n">
        <f aca="false">ABS(C117)</f>
        <v>0</v>
      </c>
      <c r="V117" s="11" t="n">
        <f aca="false">ABS(I117)</f>
        <v>0</v>
      </c>
      <c r="W117" s="11" t="n">
        <f aca="false">ABS(D117)</f>
        <v>0</v>
      </c>
      <c r="X117" s="11" t="n">
        <f aca="false">ABS(J117)</f>
        <v>0</v>
      </c>
      <c r="Y117" s="11" t="n">
        <f aca="false">ABS(E117)</f>
        <v>0</v>
      </c>
      <c r="Z117" s="11" t="n">
        <f aca="false">ABS(K117)</f>
        <v>0</v>
      </c>
    </row>
    <row r="118" customFormat="false" ht="15" hidden="false" customHeight="false" outlineLevel="0" collapsed="false">
      <c r="A118" s="4" t="n">
        <v>248</v>
      </c>
      <c r="B118" s="4" t="n">
        <v>118</v>
      </c>
      <c r="C118" s="19" t="n">
        <v>0</v>
      </c>
      <c r="D118" s="19" t="n">
        <v>0</v>
      </c>
      <c r="E118" s="19" t="n">
        <v>0</v>
      </c>
      <c r="F118" s="19" t="n">
        <v>0</v>
      </c>
      <c r="G118" s="19" t="n">
        <v>0</v>
      </c>
      <c r="H118" s="19" t="n">
        <v>0.0004</v>
      </c>
      <c r="I118" s="19" t="n">
        <v>0</v>
      </c>
      <c r="J118" s="19" t="n">
        <v>0</v>
      </c>
      <c r="K118" s="19" t="n">
        <v>0</v>
      </c>
      <c r="L118" s="19" t="n">
        <v>0</v>
      </c>
      <c r="M118" s="19" t="n">
        <v>0</v>
      </c>
      <c r="N118" s="11" t="n">
        <f aca="false">SQRT(C118^2+D118^2+E118^2)</f>
        <v>0</v>
      </c>
      <c r="O118" s="11" t="n">
        <f aca="false">SQRT(I118^2+J118^2+K118^2)</f>
        <v>0</v>
      </c>
      <c r="P118" s="11" t="n">
        <f aca="false">O118-N118</f>
        <v>0</v>
      </c>
      <c r="Q118" s="12" t="str">
        <f aca="false">IF(N118&lt;0.001,"-",O118/N118-1)</f>
        <v>-</v>
      </c>
      <c r="R118" s="19" t="n">
        <v>0.00042</v>
      </c>
      <c r="S118" s="4"/>
      <c r="T118" s="4" t="str">
        <f aca="false">IF(N118&gt;=0.01,"SÍ","no")</f>
        <v>no</v>
      </c>
      <c r="U118" s="11" t="n">
        <f aca="false">ABS(C118)</f>
        <v>0</v>
      </c>
      <c r="V118" s="11" t="n">
        <f aca="false">ABS(I118)</f>
        <v>0</v>
      </c>
      <c r="W118" s="11" t="n">
        <f aca="false">ABS(D118)</f>
        <v>0</v>
      </c>
      <c r="X118" s="11" t="n">
        <f aca="false">ABS(J118)</f>
        <v>0</v>
      </c>
      <c r="Y118" s="11" t="n">
        <f aca="false">ABS(E118)</f>
        <v>0</v>
      </c>
      <c r="Z118" s="11" t="n">
        <f aca="false">ABS(K118)</f>
        <v>0</v>
      </c>
    </row>
    <row r="119" customFormat="false" ht="15" hidden="false" customHeight="false" outlineLevel="0" collapsed="false">
      <c r="A119" s="4" t="n">
        <v>249</v>
      </c>
      <c r="B119" s="4" t="n">
        <v>119</v>
      </c>
      <c r="C119" s="19" t="n">
        <v>0</v>
      </c>
      <c r="D119" s="19" t="n">
        <v>0</v>
      </c>
      <c r="E119" s="19" t="n">
        <v>0</v>
      </c>
      <c r="F119" s="19" t="n">
        <v>0</v>
      </c>
      <c r="G119" s="19" t="n">
        <v>0</v>
      </c>
      <c r="H119" s="19" t="n">
        <v>0.0004</v>
      </c>
      <c r="I119" s="19" t="n">
        <v>0</v>
      </c>
      <c r="J119" s="19" t="n">
        <v>0</v>
      </c>
      <c r="K119" s="19" t="n">
        <v>0</v>
      </c>
      <c r="L119" s="19" t="n">
        <v>0</v>
      </c>
      <c r="M119" s="19" t="n">
        <v>0</v>
      </c>
      <c r="N119" s="11" t="n">
        <f aca="false">SQRT(C119^2+D119^2+E119^2)</f>
        <v>0</v>
      </c>
      <c r="O119" s="11" t="n">
        <f aca="false">SQRT(I119^2+J119^2+K119^2)</f>
        <v>0</v>
      </c>
      <c r="P119" s="11" t="n">
        <f aca="false">O119-N119</f>
        <v>0</v>
      </c>
      <c r="Q119" s="12" t="str">
        <f aca="false">IF(N119&lt;0.001,"-",O119/N119-1)</f>
        <v>-</v>
      </c>
      <c r="R119" s="19" t="n">
        <v>0.00042</v>
      </c>
      <c r="S119" s="4"/>
      <c r="T119" s="4" t="str">
        <f aca="false">IF(N119&gt;=0.01,"SÍ","no")</f>
        <v>no</v>
      </c>
      <c r="U119" s="11" t="n">
        <f aca="false">ABS(C119)</f>
        <v>0</v>
      </c>
      <c r="V119" s="11" t="n">
        <f aca="false">ABS(I119)</f>
        <v>0</v>
      </c>
      <c r="W119" s="11" t="n">
        <f aca="false">ABS(D119)</f>
        <v>0</v>
      </c>
      <c r="X119" s="11" t="n">
        <f aca="false">ABS(J119)</f>
        <v>0</v>
      </c>
      <c r="Y119" s="11" t="n">
        <f aca="false">ABS(E119)</f>
        <v>0</v>
      </c>
      <c r="Z119" s="11" t="n">
        <f aca="false">ABS(K119)</f>
        <v>0</v>
      </c>
    </row>
    <row r="120" customFormat="false" ht="15" hidden="false" customHeight="false" outlineLevel="0" collapsed="false">
      <c r="A120" s="4" t="n">
        <v>250</v>
      </c>
      <c r="B120" s="4" t="n">
        <v>120</v>
      </c>
      <c r="C120" s="19" t="n">
        <v>0</v>
      </c>
      <c r="D120" s="19" t="n">
        <v>0</v>
      </c>
      <c r="E120" s="19" t="n">
        <v>0</v>
      </c>
      <c r="F120" s="19" t="n">
        <v>0</v>
      </c>
      <c r="G120" s="19" t="n">
        <v>0</v>
      </c>
      <c r="H120" s="19" t="n">
        <v>0.00034</v>
      </c>
      <c r="I120" s="19" t="n">
        <v>0</v>
      </c>
      <c r="J120" s="19" t="n">
        <v>0</v>
      </c>
      <c r="K120" s="19" t="n">
        <v>0</v>
      </c>
      <c r="L120" s="19" t="n">
        <v>0</v>
      </c>
      <c r="M120" s="19" t="n">
        <v>0</v>
      </c>
      <c r="N120" s="11" t="n">
        <f aca="false">SQRT(C120^2+D120^2+E120^2)</f>
        <v>0</v>
      </c>
      <c r="O120" s="11" t="n">
        <f aca="false">SQRT(I120^2+J120^2+K120^2)</f>
        <v>0</v>
      </c>
      <c r="P120" s="11" t="n">
        <f aca="false">O120-N120</f>
        <v>0</v>
      </c>
      <c r="Q120" s="12" t="str">
        <f aca="false">IF(N120&lt;0.001,"-",O120/N120-1)</f>
        <v>-</v>
      </c>
      <c r="R120" s="19" t="n">
        <v>0.00033</v>
      </c>
      <c r="S120" s="4"/>
      <c r="T120" s="4" t="str">
        <f aca="false">IF(N120&gt;=0.01,"SÍ","no")</f>
        <v>no</v>
      </c>
      <c r="U120" s="11" t="n">
        <f aca="false">ABS(C120)</f>
        <v>0</v>
      </c>
      <c r="V120" s="11" t="n">
        <f aca="false">ABS(I120)</f>
        <v>0</v>
      </c>
      <c r="W120" s="11" t="n">
        <f aca="false">ABS(D120)</f>
        <v>0</v>
      </c>
      <c r="X120" s="11" t="n">
        <f aca="false">ABS(J120)</f>
        <v>0</v>
      </c>
      <c r="Y120" s="11" t="n">
        <f aca="false">ABS(E120)</f>
        <v>0</v>
      </c>
      <c r="Z120" s="11" t="n">
        <f aca="false">ABS(K120)</f>
        <v>0</v>
      </c>
    </row>
    <row r="121" customFormat="false" ht="15" hidden="false" customHeight="false" outlineLevel="0" collapsed="false">
      <c r="A121" s="4" t="n">
        <v>251</v>
      </c>
      <c r="B121" s="4" t="n">
        <v>121</v>
      </c>
      <c r="C121" s="19" t="n">
        <v>0</v>
      </c>
      <c r="D121" s="19" t="n">
        <v>0</v>
      </c>
      <c r="E121" s="19" t="n">
        <v>0</v>
      </c>
      <c r="F121" s="19" t="n">
        <v>0</v>
      </c>
      <c r="G121" s="19" t="n">
        <v>0</v>
      </c>
      <c r="H121" s="19" t="n">
        <v>0.00017</v>
      </c>
      <c r="I121" s="19" t="n">
        <v>0</v>
      </c>
      <c r="J121" s="19" t="n">
        <v>0</v>
      </c>
      <c r="K121" s="19" t="n">
        <v>0</v>
      </c>
      <c r="L121" s="19" t="n">
        <v>0</v>
      </c>
      <c r="M121" s="19" t="n">
        <v>0</v>
      </c>
      <c r="N121" s="11" t="n">
        <f aca="false">SQRT(C121^2+D121^2+E121^2)</f>
        <v>0</v>
      </c>
      <c r="O121" s="11" t="n">
        <f aca="false">SQRT(I121^2+J121^2+K121^2)</f>
        <v>0</v>
      </c>
      <c r="P121" s="11" t="n">
        <f aca="false">O121-N121</f>
        <v>0</v>
      </c>
      <c r="Q121" s="12" t="str">
        <f aca="false">IF(N121&lt;0.001,"-",O121/N121-1)</f>
        <v>-</v>
      </c>
      <c r="R121" s="19" t="n">
        <v>0.0002</v>
      </c>
      <c r="S121" s="4"/>
      <c r="T121" s="4" t="str">
        <f aca="false">IF(N121&gt;=0.01,"SÍ","no")</f>
        <v>no</v>
      </c>
      <c r="U121" s="11" t="n">
        <f aca="false">ABS(C121)</f>
        <v>0</v>
      </c>
      <c r="V121" s="11" t="n">
        <f aca="false">ABS(I121)</f>
        <v>0</v>
      </c>
      <c r="W121" s="11" t="n">
        <f aca="false">ABS(D121)</f>
        <v>0</v>
      </c>
      <c r="X121" s="11" t="n">
        <f aca="false">ABS(J121)</f>
        <v>0</v>
      </c>
      <c r="Y121" s="11" t="n">
        <f aca="false">ABS(E121)</f>
        <v>0</v>
      </c>
      <c r="Z121" s="11" t="n">
        <f aca="false">ABS(K121)</f>
        <v>0</v>
      </c>
    </row>
    <row r="122" customFormat="false" ht="15" hidden="false" customHeight="false" outlineLevel="0" collapsed="false">
      <c r="A122" s="4" t="n">
        <v>252</v>
      </c>
      <c r="B122" s="4" t="n">
        <v>122</v>
      </c>
      <c r="C122" s="19" t="n">
        <v>0</v>
      </c>
      <c r="D122" s="19" t="n">
        <v>0</v>
      </c>
      <c r="E122" s="19" t="n">
        <v>0</v>
      </c>
      <c r="F122" s="19" t="n">
        <v>0</v>
      </c>
      <c r="G122" s="19" t="n">
        <v>0</v>
      </c>
      <c r="H122" s="19" t="n">
        <v>9E-005</v>
      </c>
      <c r="I122" s="19" t="n">
        <v>0</v>
      </c>
      <c r="J122" s="19" t="n">
        <v>0</v>
      </c>
      <c r="K122" s="19" t="n">
        <v>0</v>
      </c>
      <c r="L122" s="19" t="n">
        <v>0</v>
      </c>
      <c r="M122" s="19" t="n">
        <v>0</v>
      </c>
      <c r="N122" s="11" t="n">
        <f aca="false">SQRT(C122^2+D122^2+E122^2)</f>
        <v>0</v>
      </c>
      <c r="O122" s="11" t="n">
        <f aca="false">SQRT(I122^2+J122^2+K122^2)</f>
        <v>0</v>
      </c>
      <c r="P122" s="11" t="n">
        <f aca="false">O122-N122</f>
        <v>0</v>
      </c>
      <c r="Q122" s="12" t="str">
        <f aca="false">IF(N122&lt;0.001,"-",O122/N122-1)</f>
        <v>-</v>
      </c>
      <c r="R122" s="19" t="n">
        <v>8E-005</v>
      </c>
      <c r="S122" s="4"/>
      <c r="T122" s="4" t="str">
        <f aca="false">IF(N122&gt;=0.01,"SÍ","no")</f>
        <v>no</v>
      </c>
      <c r="U122" s="11" t="n">
        <f aca="false">ABS(C122)</f>
        <v>0</v>
      </c>
      <c r="V122" s="11" t="n">
        <f aca="false">ABS(I122)</f>
        <v>0</v>
      </c>
      <c r="W122" s="11" t="n">
        <f aca="false">ABS(D122)</f>
        <v>0</v>
      </c>
      <c r="X122" s="11" t="n">
        <f aca="false">ABS(J122)</f>
        <v>0</v>
      </c>
      <c r="Y122" s="11" t="n">
        <f aca="false">ABS(E122)</f>
        <v>0</v>
      </c>
      <c r="Z122" s="11" t="n">
        <f aca="false">ABS(K122)</f>
        <v>0</v>
      </c>
    </row>
    <row r="123" customFormat="false" ht="15" hidden="false" customHeight="false" outlineLevel="0" collapsed="false">
      <c r="A123" s="4" t="n">
        <v>253</v>
      </c>
      <c r="B123" s="4" t="n">
        <v>123</v>
      </c>
      <c r="C123" s="19" t="n">
        <v>0.01602</v>
      </c>
      <c r="D123" s="19" t="n">
        <v>-0.00045</v>
      </c>
      <c r="E123" s="19" t="n">
        <v>0.00065</v>
      </c>
      <c r="F123" s="19" t="n">
        <v>-4E-005</v>
      </c>
      <c r="G123" s="19" t="n">
        <v>0.00023</v>
      </c>
      <c r="H123" s="19" t="n">
        <v>-1E-005</v>
      </c>
      <c r="I123" s="19" t="n">
        <v>0.0181</v>
      </c>
      <c r="J123" s="19" t="n">
        <v>-0.00054</v>
      </c>
      <c r="K123" s="19" t="n">
        <v>0.00061</v>
      </c>
      <c r="L123" s="19" t="n">
        <v>-6E-005</v>
      </c>
      <c r="M123" s="19" t="n">
        <v>0.00022</v>
      </c>
      <c r="N123" s="11" t="n">
        <f aca="false">SQRT(C123^2+D123^2+E123^2)</f>
        <v>0.0160394950045193</v>
      </c>
      <c r="O123" s="11" t="n">
        <f aca="false">SQRT(I123^2+J123^2+K123^2)</f>
        <v>0.0181183249777677</v>
      </c>
      <c r="P123" s="11" t="n">
        <f aca="false">O123-N123</f>
        <v>0.00207882997324836</v>
      </c>
      <c r="Q123" s="12" t="n">
        <f aca="false">IF(N123&lt;0.001,"-",O123/N123-1)</f>
        <v>0.129606946644057</v>
      </c>
      <c r="R123" s="19" t="n">
        <v>-1E-005</v>
      </c>
      <c r="S123" s="4"/>
      <c r="T123" s="4" t="str">
        <f aca="false">IF(N123&gt;=0.01,"SÍ","no")</f>
        <v>SÍ</v>
      </c>
      <c r="U123" s="11" t="n">
        <f aca="false">ABS(C123)</f>
        <v>0.01602</v>
      </c>
      <c r="V123" s="11" t="n">
        <f aca="false">ABS(I123)</f>
        <v>0.0181</v>
      </c>
      <c r="W123" s="11" t="n">
        <f aca="false">ABS(D123)</f>
        <v>0.00045</v>
      </c>
      <c r="X123" s="11" t="n">
        <f aca="false">ABS(J123)</f>
        <v>0.00054</v>
      </c>
      <c r="Y123" s="11" t="n">
        <f aca="false">ABS(E123)</f>
        <v>0.00065</v>
      </c>
      <c r="Z123" s="11" t="n">
        <f aca="false">ABS(K123)</f>
        <v>0.00061</v>
      </c>
    </row>
    <row r="124" customFormat="false" ht="15" hidden="false" customHeight="false" outlineLevel="0" collapsed="false">
      <c r="A124" s="4" t="n">
        <v>254</v>
      </c>
      <c r="B124" s="4" t="n">
        <v>124</v>
      </c>
      <c r="C124" s="19" t="n">
        <v>0.0462</v>
      </c>
      <c r="D124" s="19" t="n">
        <v>0.00041</v>
      </c>
      <c r="E124" s="19" t="n">
        <v>0.00065</v>
      </c>
      <c r="F124" s="19" t="n">
        <v>-1E-005</v>
      </c>
      <c r="G124" s="19" t="n">
        <v>0.00021</v>
      </c>
      <c r="H124" s="19" t="n">
        <v>-4E-005</v>
      </c>
      <c r="I124" s="19" t="n">
        <v>0.04753</v>
      </c>
      <c r="J124" s="19" t="n">
        <v>0.00067</v>
      </c>
      <c r="K124" s="19" t="n">
        <v>0.00061</v>
      </c>
      <c r="L124" s="19" t="n">
        <v>-1E-005</v>
      </c>
      <c r="M124" s="19" t="n">
        <v>0.00021</v>
      </c>
      <c r="N124" s="11" t="n">
        <f aca="false">SQRT(C124^2+D124^2+E124^2)</f>
        <v>0.0462063913328016</v>
      </c>
      <c r="O124" s="11" t="n">
        <f aca="false">SQRT(I124^2+J124^2+K124^2)</f>
        <v>0.0475386358659985</v>
      </c>
      <c r="P124" s="11" t="n">
        <f aca="false">O124-N124</f>
        <v>0.00133224453319694</v>
      </c>
      <c r="Q124" s="12" t="n">
        <f aca="false">IF(N124&lt;0.001,"-",O124/N124-1)</f>
        <v>0.0288324730577085</v>
      </c>
      <c r="R124" s="19" t="n">
        <v>-5E-005</v>
      </c>
      <c r="S124" s="4"/>
      <c r="T124" s="4" t="str">
        <f aca="false">IF(N124&gt;=0.01,"SÍ","no")</f>
        <v>SÍ</v>
      </c>
      <c r="U124" s="11" t="n">
        <f aca="false">ABS(C124)</f>
        <v>0.0462</v>
      </c>
      <c r="V124" s="11" t="n">
        <f aca="false">ABS(I124)</f>
        <v>0.04753</v>
      </c>
      <c r="W124" s="11" t="n">
        <f aca="false">ABS(D124)</f>
        <v>0.00041</v>
      </c>
      <c r="X124" s="11" t="n">
        <f aca="false">ABS(J124)</f>
        <v>0.00067</v>
      </c>
      <c r="Y124" s="11" t="n">
        <f aca="false">ABS(E124)</f>
        <v>0.00065</v>
      </c>
      <c r="Z124" s="11" t="n">
        <f aca="false">ABS(K124)</f>
        <v>0.00061</v>
      </c>
    </row>
    <row r="125" customFormat="false" ht="15" hidden="false" customHeight="false" outlineLevel="0" collapsed="false">
      <c r="A125" s="4" t="n">
        <v>255</v>
      </c>
      <c r="B125" s="4" t="n">
        <v>125</v>
      </c>
      <c r="C125" s="19" t="n">
        <v>0.04652</v>
      </c>
      <c r="D125" s="19" t="n">
        <v>0.0001</v>
      </c>
      <c r="E125" s="19" t="n">
        <v>0.00065</v>
      </c>
      <c r="F125" s="19" t="n">
        <v>-1E-005</v>
      </c>
      <c r="G125" s="19" t="n">
        <v>-0.00023</v>
      </c>
      <c r="H125" s="19" t="n">
        <v>-4E-005</v>
      </c>
      <c r="I125" s="19" t="n">
        <v>0.04806</v>
      </c>
      <c r="J125" s="19" t="n">
        <v>-8E-005</v>
      </c>
      <c r="K125" s="19" t="n">
        <v>0.00061</v>
      </c>
      <c r="L125" s="19" t="n">
        <v>-1E-005</v>
      </c>
      <c r="M125" s="19" t="n">
        <v>-0.00023</v>
      </c>
      <c r="N125" s="11" t="n">
        <f aca="false">SQRT(C125^2+D125^2+E125^2)</f>
        <v>0.0465246483060324</v>
      </c>
      <c r="O125" s="11" t="n">
        <f aca="false">SQRT(I125^2+J125^2+K125^2)</f>
        <v>0.0480639376247931</v>
      </c>
      <c r="P125" s="11" t="n">
        <f aca="false">O125-N125</f>
        <v>0.00153928931876072</v>
      </c>
      <c r="Q125" s="12" t="n">
        <f aca="false">IF(N125&lt;0.001,"-",O125/N125-1)</f>
        <v>0.0330854584571063</v>
      </c>
      <c r="R125" s="19" t="n">
        <v>-5E-005</v>
      </c>
      <c r="S125" s="4"/>
      <c r="T125" s="4" t="str">
        <f aca="false">IF(N125&gt;=0.01,"SÍ","no")</f>
        <v>SÍ</v>
      </c>
      <c r="U125" s="11" t="n">
        <f aca="false">ABS(C125)</f>
        <v>0.04652</v>
      </c>
      <c r="V125" s="11" t="n">
        <f aca="false">ABS(I125)</f>
        <v>0.04806</v>
      </c>
      <c r="W125" s="11" t="n">
        <f aca="false">ABS(D125)</f>
        <v>0.0001</v>
      </c>
      <c r="X125" s="11" t="n">
        <f aca="false">ABS(J125)</f>
        <v>8E-005</v>
      </c>
      <c r="Y125" s="11" t="n">
        <f aca="false">ABS(E125)</f>
        <v>0.00065</v>
      </c>
      <c r="Z125" s="11" t="n">
        <f aca="false">ABS(K125)</f>
        <v>0.00061</v>
      </c>
    </row>
    <row r="126" customFormat="false" ht="15" hidden="false" customHeight="false" outlineLevel="0" collapsed="false">
      <c r="A126" s="4" t="n">
        <v>256</v>
      </c>
      <c r="B126" s="4" t="n">
        <v>126</v>
      </c>
      <c r="C126" s="19" t="n">
        <v>0.01607</v>
      </c>
      <c r="D126" s="19" t="n">
        <v>0.00052</v>
      </c>
      <c r="E126" s="19" t="n">
        <v>0.00065</v>
      </c>
      <c r="F126" s="19" t="n">
        <v>-3E-005</v>
      </c>
      <c r="G126" s="19" t="n">
        <v>-0.00023</v>
      </c>
      <c r="H126" s="19" t="n">
        <v>-1E-005</v>
      </c>
      <c r="I126" s="19" t="n">
        <v>0.01817</v>
      </c>
      <c r="J126" s="19" t="n">
        <v>0.00064</v>
      </c>
      <c r="K126" s="19" t="n">
        <v>0.00062</v>
      </c>
      <c r="L126" s="19" t="n">
        <v>-5E-005</v>
      </c>
      <c r="M126" s="19" t="n">
        <v>-0.00022</v>
      </c>
      <c r="N126" s="11" t="n">
        <f aca="false">SQRT(C126^2+D126^2+E126^2)</f>
        <v>0.0160915443634227</v>
      </c>
      <c r="O126" s="11" t="n">
        <f aca="false">SQRT(I126^2+J126^2+K126^2)</f>
        <v>0.0181918360810557</v>
      </c>
      <c r="P126" s="11" t="n">
        <f aca="false">O126-N126</f>
        <v>0.00210029171763302</v>
      </c>
      <c r="Q126" s="12" t="n">
        <f aca="false">IF(N126&lt;0.001,"-",O126/N126-1)</f>
        <v>0.130521450906052</v>
      </c>
      <c r="R126" s="19" t="n">
        <v>-1E-005</v>
      </c>
      <c r="S126" s="4"/>
      <c r="T126" s="4" t="str">
        <f aca="false">IF(N126&gt;=0.01,"SÍ","no")</f>
        <v>SÍ</v>
      </c>
      <c r="U126" s="11" t="n">
        <f aca="false">ABS(C126)</f>
        <v>0.01607</v>
      </c>
      <c r="V126" s="11" t="n">
        <f aca="false">ABS(I126)</f>
        <v>0.01817</v>
      </c>
      <c r="W126" s="11" t="n">
        <f aca="false">ABS(D126)</f>
        <v>0.00052</v>
      </c>
      <c r="X126" s="11" t="n">
        <f aca="false">ABS(J126)</f>
        <v>0.00064</v>
      </c>
      <c r="Y126" s="11" t="n">
        <f aca="false">ABS(E126)</f>
        <v>0.00065</v>
      </c>
      <c r="Z126" s="11" t="n">
        <f aca="false">ABS(K126)</f>
        <v>0.00062</v>
      </c>
    </row>
    <row r="127" customFormat="false" ht="15" hidden="false" customHeight="false" outlineLevel="0" collapsed="false">
      <c r="A127" s="4" t="n">
        <v>257</v>
      </c>
      <c r="B127" s="4" t="n">
        <v>127</v>
      </c>
      <c r="C127" s="19" t="n">
        <v>0.00752</v>
      </c>
      <c r="D127" s="19" t="n">
        <v>-0.00606</v>
      </c>
      <c r="E127" s="19" t="n">
        <v>0.00546</v>
      </c>
      <c r="F127" s="19" t="n">
        <v>6E-005</v>
      </c>
      <c r="G127" s="19" t="n">
        <v>7E-005</v>
      </c>
      <c r="H127" s="19" t="n">
        <v>-2E-005</v>
      </c>
      <c r="I127" s="19" t="n">
        <v>0.00675</v>
      </c>
      <c r="J127" s="19" t="n">
        <v>-0.00533</v>
      </c>
      <c r="K127" s="19" t="n">
        <v>0.00536</v>
      </c>
      <c r="L127" s="19" t="n">
        <v>6E-005</v>
      </c>
      <c r="M127" s="19" t="n">
        <v>6E-005</v>
      </c>
      <c r="N127" s="11" t="n">
        <f aca="false">SQRT(C127^2+D127^2+E127^2)</f>
        <v>0.0110943949812507</v>
      </c>
      <c r="O127" s="11" t="n">
        <f aca="false">SQRT(I127^2+J127^2+K127^2)</f>
        <v>0.0101341501863748</v>
      </c>
      <c r="P127" s="11" t="n">
        <f aca="false">O127-N127</f>
        <v>-0.000960244794875888</v>
      </c>
      <c r="Q127" s="12" t="n">
        <f aca="false">IF(N127&lt;0.001,"-",O127/N127-1)</f>
        <v>-0.0865522452101881</v>
      </c>
      <c r="R127" s="19" t="n">
        <v>-3E-005</v>
      </c>
      <c r="S127" s="4"/>
      <c r="T127" s="4" t="str">
        <f aca="false">IF(N127&gt;=0.01,"SÍ","no")</f>
        <v>SÍ</v>
      </c>
      <c r="U127" s="11" t="n">
        <f aca="false">ABS(C127)</f>
        <v>0.00752</v>
      </c>
      <c r="V127" s="11" t="n">
        <f aca="false">ABS(I127)</f>
        <v>0.00675</v>
      </c>
      <c r="W127" s="11" t="n">
        <f aca="false">ABS(D127)</f>
        <v>0.00606</v>
      </c>
      <c r="X127" s="11" t="n">
        <f aca="false">ABS(J127)</f>
        <v>0.00533</v>
      </c>
      <c r="Y127" s="11" t="n">
        <f aca="false">ABS(E127)</f>
        <v>0.00546</v>
      </c>
      <c r="Z127" s="11" t="n">
        <f aca="false">ABS(K127)</f>
        <v>0.00536</v>
      </c>
    </row>
    <row r="128" customFormat="false" ht="15" hidden="false" customHeight="false" outlineLevel="0" collapsed="false">
      <c r="A128" s="4" t="n">
        <v>258</v>
      </c>
      <c r="B128" s="4" t="n">
        <v>128</v>
      </c>
      <c r="C128" s="19" t="n">
        <v>0.01396</v>
      </c>
      <c r="D128" s="19" t="n">
        <v>-0.01204</v>
      </c>
      <c r="E128" s="19" t="n">
        <v>0.00715</v>
      </c>
      <c r="F128" s="19" t="n">
        <v>6E-005</v>
      </c>
      <c r="G128" s="19" t="n">
        <v>8E-005</v>
      </c>
      <c r="H128" s="19" t="n">
        <v>-1E-005</v>
      </c>
      <c r="I128" s="19" t="n">
        <v>0.01729</v>
      </c>
      <c r="J128" s="19" t="n">
        <v>-0.01484</v>
      </c>
      <c r="K128" s="19" t="n">
        <v>0.00695</v>
      </c>
      <c r="L128" s="19" t="n">
        <v>6E-005</v>
      </c>
      <c r="M128" s="19" t="n">
        <v>7E-005</v>
      </c>
      <c r="N128" s="11" t="n">
        <f aca="false">SQRT(C128^2+D128^2+E128^2)</f>
        <v>0.0197728526014837</v>
      </c>
      <c r="O128" s="11" t="n">
        <f aca="false">SQRT(I128^2+J128^2+K128^2)</f>
        <v>0.0238216750040798</v>
      </c>
      <c r="P128" s="11" t="n">
        <f aca="false">O128-N128</f>
        <v>0.00404882240259611</v>
      </c>
      <c r="Q128" s="12" t="n">
        <f aca="false">IF(N128&lt;0.001,"-",O128/N128-1)</f>
        <v>0.204766731649651</v>
      </c>
      <c r="R128" s="19" t="n">
        <v>-1E-005</v>
      </c>
      <c r="S128" s="4"/>
      <c r="T128" s="4" t="str">
        <f aca="false">IF(N128&gt;=0.01,"SÍ","no")</f>
        <v>SÍ</v>
      </c>
      <c r="U128" s="11" t="n">
        <f aca="false">ABS(C128)</f>
        <v>0.01396</v>
      </c>
      <c r="V128" s="11" t="n">
        <f aca="false">ABS(I128)</f>
        <v>0.01729</v>
      </c>
      <c r="W128" s="11" t="n">
        <f aca="false">ABS(D128)</f>
        <v>0.01204</v>
      </c>
      <c r="X128" s="11" t="n">
        <f aca="false">ABS(J128)</f>
        <v>0.01484</v>
      </c>
      <c r="Y128" s="11" t="n">
        <f aca="false">ABS(E128)</f>
        <v>0.00715</v>
      </c>
      <c r="Z128" s="11" t="n">
        <f aca="false">ABS(K128)</f>
        <v>0.00695</v>
      </c>
    </row>
    <row r="129" customFormat="false" ht="15" hidden="false" customHeight="false" outlineLevel="0" collapsed="false">
      <c r="A129" s="4" t="n">
        <v>259</v>
      </c>
      <c r="B129" s="4" t="n">
        <v>129</v>
      </c>
      <c r="C129" s="19" t="n">
        <v>0.03004</v>
      </c>
      <c r="D129" s="19" t="n">
        <v>-0.02547</v>
      </c>
      <c r="E129" s="19" t="n">
        <v>0.00682</v>
      </c>
      <c r="F129" s="19" t="n">
        <v>5E-005</v>
      </c>
      <c r="G129" s="19" t="n">
        <v>7E-005</v>
      </c>
      <c r="H129" s="19" t="n">
        <v>0</v>
      </c>
      <c r="I129" s="19" t="n">
        <v>0.02883</v>
      </c>
      <c r="J129" s="19" t="n">
        <v>-0.02442</v>
      </c>
      <c r="K129" s="19" t="n">
        <v>0.00669</v>
      </c>
      <c r="L129" s="19" t="n">
        <v>5E-005</v>
      </c>
      <c r="M129" s="19" t="n">
        <v>6E-005</v>
      </c>
      <c r="N129" s="11" t="n">
        <f aca="false">SQRT(C129^2+D129^2+E129^2)</f>
        <v>0.0399704253167264</v>
      </c>
      <c r="O129" s="11" t="n">
        <f aca="false">SQRT(I129^2+J129^2+K129^2)</f>
        <v>0.0383700586395174</v>
      </c>
      <c r="P129" s="11" t="n">
        <f aca="false">O129-N129</f>
        <v>-0.00160036667720902</v>
      </c>
      <c r="Q129" s="12" t="n">
        <f aca="false">IF(N129&lt;0.001,"-",O129/N129-1)</f>
        <v>-0.0400387702789671</v>
      </c>
      <c r="R129" s="19" t="n">
        <v>0</v>
      </c>
      <c r="S129" s="4"/>
      <c r="T129" s="4" t="str">
        <f aca="false">IF(N129&gt;=0.01,"SÍ","no")</f>
        <v>SÍ</v>
      </c>
      <c r="U129" s="11" t="n">
        <f aca="false">ABS(C129)</f>
        <v>0.03004</v>
      </c>
      <c r="V129" s="11" t="n">
        <f aca="false">ABS(I129)</f>
        <v>0.02883</v>
      </c>
      <c r="W129" s="11" t="n">
        <f aca="false">ABS(D129)</f>
        <v>0.02547</v>
      </c>
      <c r="X129" s="11" t="n">
        <f aca="false">ABS(J129)</f>
        <v>0.02442</v>
      </c>
      <c r="Y129" s="11" t="n">
        <f aca="false">ABS(E129)</f>
        <v>0.00682</v>
      </c>
      <c r="Z129" s="11" t="n">
        <f aca="false">ABS(K129)</f>
        <v>0.00669</v>
      </c>
    </row>
    <row r="130" customFormat="false" ht="15" hidden="false" customHeight="false" outlineLevel="0" collapsed="false">
      <c r="A130" s="4" t="n">
        <v>260</v>
      </c>
      <c r="B130" s="4" t="n">
        <v>130</v>
      </c>
      <c r="C130" s="19" t="n">
        <v>0.03587</v>
      </c>
      <c r="D130" s="19" t="n">
        <v>-0.03034</v>
      </c>
      <c r="E130" s="19" t="n">
        <v>0.00507</v>
      </c>
      <c r="F130" s="19" t="n">
        <v>4E-005</v>
      </c>
      <c r="G130" s="19" t="n">
        <v>5E-005</v>
      </c>
      <c r="H130" s="19" t="n">
        <v>0</v>
      </c>
      <c r="I130" s="19" t="n">
        <v>0.03835</v>
      </c>
      <c r="J130" s="19" t="n">
        <v>-0.03255</v>
      </c>
      <c r="K130" s="19" t="n">
        <v>0.00445</v>
      </c>
      <c r="L130" s="19" t="n">
        <v>4E-005</v>
      </c>
      <c r="M130" s="19" t="n">
        <v>5E-005</v>
      </c>
      <c r="N130" s="11" t="n">
        <f aca="false">SQRT(C130^2+D130^2+E130^2)</f>
        <v>0.0472533321576373</v>
      </c>
      <c r="O130" s="11" t="n">
        <f aca="false">SQRT(I130^2+J130^2+K130^2)</f>
        <v>0.0504977969816506</v>
      </c>
      <c r="P130" s="11" t="n">
        <f aca="false">O130-N130</f>
        <v>0.00324446482401329</v>
      </c>
      <c r="Q130" s="12" t="n">
        <f aca="false">IF(N130&lt;0.001,"-",O130/N130-1)</f>
        <v>0.0686610800946215</v>
      </c>
      <c r="R130" s="19" t="n">
        <v>0</v>
      </c>
      <c r="S130" s="4"/>
      <c r="T130" s="4" t="str">
        <f aca="false">IF(N130&gt;=0.01,"SÍ","no")</f>
        <v>SÍ</v>
      </c>
      <c r="U130" s="11" t="n">
        <f aca="false">ABS(C130)</f>
        <v>0.03587</v>
      </c>
      <c r="V130" s="11" t="n">
        <f aca="false">ABS(I130)</f>
        <v>0.03835</v>
      </c>
      <c r="W130" s="11" t="n">
        <f aca="false">ABS(D130)</f>
        <v>0.03034</v>
      </c>
      <c r="X130" s="11" t="n">
        <f aca="false">ABS(J130)</f>
        <v>0.03255</v>
      </c>
      <c r="Y130" s="11" t="n">
        <f aca="false">ABS(E130)</f>
        <v>0.00507</v>
      </c>
      <c r="Z130" s="11" t="n">
        <f aca="false">ABS(K130)</f>
        <v>0.00445</v>
      </c>
    </row>
    <row r="131" customFormat="false" ht="15" hidden="false" customHeight="false" outlineLevel="0" collapsed="false">
      <c r="A131" s="4" t="n">
        <v>261</v>
      </c>
      <c r="B131" s="4" t="n">
        <v>131</v>
      </c>
      <c r="C131" s="19" t="n">
        <v>0.03584</v>
      </c>
      <c r="D131" s="19" t="n">
        <v>-0.03017</v>
      </c>
      <c r="E131" s="19" t="n">
        <v>-0.00568</v>
      </c>
      <c r="F131" s="19" t="n">
        <v>-4E-005</v>
      </c>
      <c r="G131" s="19" t="n">
        <v>-6E-005</v>
      </c>
      <c r="H131" s="19" t="n">
        <v>1E-005</v>
      </c>
      <c r="I131" s="19" t="n">
        <v>0.03841</v>
      </c>
      <c r="J131" s="19" t="n">
        <v>-0.03226</v>
      </c>
      <c r="K131" s="19" t="n">
        <v>-0.00524</v>
      </c>
      <c r="L131" s="19" t="n">
        <v>-5E-005</v>
      </c>
      <c r="M131" s="19" t="n">
        <v>-6E-005</v>
      </c>
      <c r="N131" s="11" t="n">
        <f aca="false">SQRT(C131^2+D131^2+E131^2)</f>
        <v>0.0471910680108005</v>
      </c>
      <c r="O131" s="11" t="n">
        <f aca="false">SQRT(I131^2+J131^2+K131^2)</f>
        <v>0.0504330576110551</v>
      </c>
      <c r="P131" s="11" t="n">
        <f aca="false">O131-N131</f>
        <v>0.00324198960025456</v>
      </c>
      <c r="Q131" s="12" t="n">
        <f aca="false">IF(N131&lt;0.001,"-",O131/N131-1)</f>
        <v>0.068699220782894</v>
      </c>
      <c r="R131" s="19" t="n">
        <v>1E-005</v>
      </c>
      <c r="S131" s="4"/>
      <c r="T131" s="4" t="str">
        <f aca="false">IF(N131&gt;=0.01,"SÍ","no")</f>
        <v>SÍ</v>
      </c>
      <c r="U131" s="11" t="n">
        <f aca="false">ABS(C131)</f>
        <v>0.03584</v>
      </c>
      <c r="V131" s="11" t="n">
        <f aca="false">ABS(I131)</f>
        <v>0.03841</v>
      </c>
      <c r="W131" s="11" t="n">
        <f aca="false">ABS(D131)</f>
        <v>0.03017</v>
      </c>
      <c r="X131" s="11" t="n">
        <f aca="false">ABS(J131)</f>
        <v>0.03226</v>
      </c>
      <c r="Y131" s="11" t="n">
        <f aca="false">ABS(E131)</f>
        <v>0.00568</v>
      </c>
      <c r="Z131" s="11" t="n">
        <f aca="false">ABS(K131)</f>
        <v>0.00524</v>
      </c>
    </row>
    <row r="132" customFormat="false" ht="15" hidden="false" customHeight="false" outlineLevel="0" collapsed="false">
      <c r="A132" s="4" t="n">
        <v>262</v>
      </c>
      <c r="B132" s="4" t="n">
        <v>132</v>
      </c>
      <c r="C132" s="19" t="n">
        <v>0.03</v>
      </c>
      <c r="D132" s="19" t="n">
        <v>-0.02556</v>
      </c>
      <c r="E132" s="19" t="n">
        <v>-0.00705</v>
      </c>
      <c r="F132" s="19" t="n">
        <v>-5E-005</v>
      </c>
      <c r="G132" s="19" t="n">
        <v>-7E-005</v>
      </c>
      <c r="H132" s="19" t="n">
        <v>0</v>
      </c>
      <c r="I132" s="19" t="n">
        <v>0.02875</v>
      </c>
      <c r="J132" s="19" t="n">
        <v>-0.02455</v>
      </c>
      <c r="K132" s="19" t="n">
        <v>-0.00711</v>
      </c>
      <c r="L132" s="19" t="n">
        <v>-6E-005</v>
      </c>
      <c r="M132" s="19" t="n">
        <v>-7E-005</v>
      </c>
      <c r="N132" s="11" t="n">
        <f aca="false">SQRT(C132^2+D132^2+E132^2)</f>
        <v>0.0400376834994234</v>
      </c>
      <c r="O132" s="11" t="n">
        <f aca="false">SQRT(I132^2+J132^2+K132^2)</f>
        <v>0.0384683909203387</v>
      </c>
      <c r="P132" s="11" t="n">
        <f aca="false">O132-N132</f>
        <v>-0.00156929257908465</v>
      </c>
      <c r="Q132" s="12" t="n">
        <f aca="false">IF(N132&lt;0.001,"-",O132/N132-1)</f>
        <v>-0.0391953889916545</v>
      </c>
      <c r="R132" s="19" t="n">
        <v>0</v>
      </c>
      <c r="S132" s="4"/>
      <c r="T132" s="4" t="str">
        <f aca="false">IF(N132&gt;=0.01,"SÍ","no")</f>
        <v>SÍ</v>
      </c>
      <c r="U132" s="11" t="n">
        <f aca="false">ABS(C132)</f>
        <v>0.03</v>
      </c>
      <c r="V132" s="11" t="n">
        <f aca="false">ABS(I132)</f>
        <v>0.02875</v>
      </c>
      <c r="W132" s="11" t="n">
        <f aca="false">ABS(D132)</f>
        <v>0.02556</v>
      </c>
      <c r="X132" s="11" t="n">
        <f aca="false">ABS(J132)</f>
        <v>0.02455</v>
      </c>
      <c r="Y132" s="11" t="n">
        <f aca="false">ABS(E132)</f>
        <v>0.00705</v>
      </c>
      <c r="Z132" s="11" t="n">
        <f aca="false">ABS(K132)</f>
        <v>0.00711</v>
      </c>
    </row>
    <row r="133" customFormat="false" ht="15" hidden="false" customHeight="false" outlineLevel="0" collapsed="false">
      <c r="A133" s="4" t="n">
        <v>263</v>
      </c>
      <c r="B133" s="4" t="n">
        <v>133</v>
      </c>
      <c r="C133" s="19" t="n">
        <v>0.01431</v>
      </c>
      <c r="D133" s="19" t="n">
        <v>-0.01227</v>
      </c>
      <c r="E133" s="19" t="n">
        <v>-0.00785</v>
      </c>
      <c r="F133" s="19" t="n">
        <v>-8E-005</v>
      </c>
      <c r="G133" s="19" t="n">
        <v>-9E-005</v>
      </c>
      <c r="H133" s="19" t="n">
        <v>-1E-005</v>
      </c>
      <c r="I133" s="19" t="n">
        <v>0.01805</v>
      </c>
      <c r="J133" s="19" t="n">
        <v>-0.01537</v>
      </c>
      <c r="K133" s="19" t="n">
        <v>-0.00808</v>
      </c>
      <c r="L133" s="19" t="n">
        <v>-8E-005</v>
      </c>
      <c r="M133" s="19" t="n">
        <v>-9E-005</v>
      </c>
      <c r="N133" s="11" t="n">
        <f aca="false">SQRT(C133^2+D133^2+E133^2)</f>
        <v>0.0204193902945215</v>
      </c>
      <c r="O133" s="11" t="n">
        <f aca="false">SQRT(I133^2+J133^2+K133^2)</f>
        <v>0.0250464728055669</v>
      </c>
      <c r="P133" s="11" t="n">
        <f aca="false">O133-N133</f>
        <v>0.00462708251104533</v>
      </c>
      <c r="Q133" s="12" t="n">
        <f aca="false">IF(N133&lt;0.001,"-",O133/N133-1)</f>
        <v>0.226602383533791</v>
      </c>
      <c r="R133" s="19" t="n">
        <v>-2E-005</v>
      </c>
      <c r="S133" s="4"/>
      <c r="T133" s="4" t="str">
        <f aca="false">IF(N133&gt;=0.01,"SÍ","no")</f>
        <v>SÍ</v>
      </c>
      <c r="U133" s="11" t="n">
        <f aca="false">ABS(C133)</f>
        <v>0.01431</v>
      </c>
      <c r="V133" s="11" t="n">
        <f aca="false">ABS(I133)</f>
        <v>0.01805</v>
      </c>
      <c r="W133" s="11" t="n">
        <f aca="false">ABS(D133)</f>
        <v>0.01227</v>
      </c>
      <c r="X133" s="11" t="n">
        <f aca="false">ABS(J133)</f>
        <v>0.01537</v>
      </c>
      <c r="Y133" s="11" t="n">
        <f aca="false">ABS(E133)</f>
        <v>0.00785</v>
      </c>
      <c r="Z133" s="11" t="n">
        <f aca="false">ABS(K133)</f>
        <v>0.00808</v>
      </c>
    </row>
    <row r="134" customFormat="false" ht="15" hidden="false" customHeight="false" outlineLevel="0" collapsed="false">
      <c r="A134" s="4" t="n">
        <v>264</v>
      </c>
      <c r="B134" s="4" t="n">
        <v>134</v>
      </c>
      <c r="C134" s="19" t="n">
        <v>0.00692</v>
      </c>
      <c r="D134" s="19" t="n">
        <v>-0.0056</v>
      </c>
      <c r="E134" s="19" t="n">
        <v>-0.0066</v>
      </c>
      <c r="F134" s="19" t="n">
        <v>-8E-005</v>
      </c>
      <c r="G134" s="19" t="n">
        <v>-9E-005</v>
      </c>
      <c r="H134" s="19" t="n">
        <v>-2E-005</v>
      </c>
      <c r="I134" s="19" t="n">
        <v>0.00534</v>
      </c>
      <c r="J134" s="19" t="n">
        <v>-0.00416</v>
      </c>
      <c r="K134" s="19" t="n">
        <v>-0.00695</v>
      </c>
      <c r="L134" s="19" t="n">
        <v>-8E-005</v>
      </c>
      <c r="M134" s="19" t="n">
        <v>-9E-005</v>
      </c>
      <c r="N134" s="11" t="n">
        <f aca="false">SQRT(C134^2+D134^2+E134^2)</f>
        <v>0.011081804907144</v>
      </c>
      <c r="O134" s="11" t="n">
        <f aca="false">SQRT(I134^2+J134^2+K134^2)</f>
        <v>0.00970173695788543</v>
      </c>
      <c r="P134" s="11" t="n">
        <f aca="false">O134-N134</f>
        <v>-0.00138006794925853</v>
      </c>
      <c r="Q134" s="12" t="n">
        <f aca="false">IF(N134&lt;0.001,"-",O134/N134-1)</f>
        <v>-0.12453458266251</v>
      </c>
      <c r="R134" s="19" t="n">
        <v>-2E-005</v>
      </c>
      <c r="S134" s="4"/>
      <c r="T134" s="4" t="str">
        <f aca="false">IF(N134&gt;=0.01,"SÍ","no")</f>
        <v>SÍ</v>
      </c>
      <c r="U134" s="11" t="n">
        <f aca="false">ABS(C134)</f>
        <v>0.00692</v>
      </c>
      <c r="V134" s="11" t="n">
        <f aca="false">ABS(I134)</f>
        <v>0.00534</v>
      </c>
      <c r="W134" s="11" t="n">
        <f aca="false">ABS(D134)</f>
        <v>0.0056</v>
      </c>
      <c r="X134" s="11" t="n">
        <f aca="false">ABS(J134)</f>
        <v>0.00416</v>
      </c>
      <c r="Y134" s="11" t="n">
        <f aca="false">ABS(E134)</f>
        <v>0.0066</v>
      </c>
      <c r="Z134" s="11" t="n">
        <f aca="false">ABS(K134)</f>
        <v>0.00695</v>
      </c>
    </row>
    <row r="136" customFormat="false" ht="15" hidden="false" customHeight="false" outlineLevel="0" collapsed="false">
      <c r="A136" s="20" t="s">
        <v>527</v>
      </c>
    </row>
  </sheetData>
  <conditionalFormatting sqref="Q5:Q134">
    <cfRule type="cellIs" priority="2" operator="greaterThan" aboveAverage="0" equalAverage="0" bottom="0" percent="0" rank="0" text="" dxfId="0">
      <formula>0.05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17" min="3" style="0" width="8"/>
    <col collapsed="false" customWidth="true" hidden="false" outlineLevel="0" max="19" min="18" style="0" width="10"/>
    <col collapsed="false" customWidth="true" hidden="false" outlineLevel="0" max="21" min="20" style="0" width="9"/>
  </cols>
  <sheetData>
    <row r="1" customFormat="false" ht="17.35" hidden="false" customHeight="false" outlineLevel="0" collapsed="false">
      <c r="A1" s="1" t="s">
        <v>528</v>
      </c>
    </row>
    <row r="2" customFormat="false" ht="15" hidden="false" customHeight="false" outlineLevel="0" collapsed="false">
      <c r="A2" s="2" t="s">
        <v>529</v>
      </c>
    </row>
    <row r="4" customFormat="false" ht="42" hidden="false" customHeight="true" outlineLevel="0" collapsed="false">
      <c r="A4" s="17" t="s">
        <v>55</v>
      </c>
      <c r="B4" s="17" t="s">
        <v>56</v>
      </c>
      <c r="C4" s="17" t="s">
        <v>530</v>
      </c>
      <c r="D4" s="17" t="s">
        <v>531</v>
      </c>
      <c r="E4" s="17" t="s">
        <v>532</v>
      </c>
      <c r="F4" s="17" t="s">
        <v>533</v>
      </c>
      <c r="G4" s="17" t="s">
        <v>534</v>
      </c>
      <c r="H4" s="17" t="s">
        <v>535</v>
      </c>
      <c r="I4" s="17" t="s">
        <v>536</v>
      </c>
      <c r="J4" s="17" t="s">
        <v>537</v>
      </c>
      <c r="K4" s="17" t="s">
        <v>538</v>
      </c>
      <c r="L4" s="17" t="s">
        <v>539</v>
      </c>
      <c r="M4" s="17" t="s">
        <v>540</v>
      </c>
      <c r="N4" s="17" t="s">
        <v>541</v>
      </c>
      <c r="O4" s="17" t="s">
        <v>542</v>
      </c>
      <c r="P4" s="17" t="s">
        <v>543</v>
      </c>
      <c r="Q4" s="17" t="s">
        <v>544</v>
      </c>
      <c r="R4" s="17" t="s">
        <v>545</v>
      </c>
      <c r="S4" s="17" t="s">
        <v>546</v>
      </c>
      <c r="T4" s="17" t="s">
        <v>547</v>
      </c>
      <c r="U4" s="17" t="s">
        <v>548</v>
      </c>
    </row>
    <row r="5" customFormat="false" ht="15" hidden="false" customHeight="false" outlineLevel="0" collapsed="false">
      <c r="A5" s="4" t="n">
        <v>225</v>
      </c>
      <c r="B5" s="4" t="n">
        <v>1</v>
      </c>
      <c r="C5" s="18" t="n">
        <v>0</v>
      </c>
      <c r="D5" s="21" t="n">
        <v>0</v>
      </c>
      <c r="E5" s="21" t="n">
        <v>0</v>
      </c>
      <c r="F5" s="21" t="n">
        <v>0</v>
      </c>
      <c r="G5" s="21" t="n">
        <v>0</v>
      </c>
      <c r="H5" s="21" t="n">
        <v>0</v>
      </c>
      <c r="I5" s="21" t="n">
        <v>0</v>
      </c>
      <c r="J5" s="21" t="n">
        <v>0</v>
      </c>
      <c r="K5" s="21" t="n">
        <v>0</v>
      </c>
      <c r="L5" s="21" t="n">
        <v>0</v>
      </c>
      <c r="M5" s="21" t="n">
        <v>0</v>
      </c>
      <c r="N5" s="21" t="n">
        <v>0</v>
      </c>
      <c r="O5" s="21" t="n">
        <v>0</v>
      </c>
      <c r="P5" s="21" t="n">
        <v>0</v>
      </c>
      <c r="Q5" s="21" t="n">
        <v>0</v>
      </c>
      <c r="R5" s="18" t="n">
        <f aca="false">ABS(D5)+MAX(ABS(G5),ABS(H5))+MAX(ABS(I5),ABS(J5))</f>
        <v>0</v>
      </c>
      <c r="S5" s="18" t="n">
        <f aca="false">ABS(K5)+MAX(ABS(N5),ABS(O5))+MAX(ABS(P5),ABS(Q5))</f>
        <v>0</v>
      </c>
      <c r="T5" s="18" t="n">
        <f aca="false">MAX(ABS(E5),ABS(F5))</f>
        <v>0</v>
      </c>
      <c r="U5" s="18" t="n">
        <f aca="false">MAX(ABS(L5),ABS(M5))</f>
        <v>0</v>
      </c>
    </row>
    <row r="6" customFormat="false" ht="15" hidden="false" customHeight="false" outlineLevel="0" collapsed="false">
      <c r="A6" s="4" t="n">
        <v>225</v>
      </c>
      <c r="B6" s="4" t="n">
        <v>1</v>
      </c>
      <c r="C6" s="18" t="n">
        <v>0.25</v>
      </c>
      <c r="D6" s="21" t="n">
        <v>0</v>
      </c>
      <c r="E6" s="21" t="n">
        <v>0</v>
      </c>
      <c r="F6" s="21" t="n">
        <v>0</v>
      </c>
      <c r="G6" s="21" t="n">
        <v>0</v>
      </c>
      <c r="H6" s="21" t="n">
        <v>0</v>
      </c>
      <c r="I6" s="21" t="n">
        <v>0</v>
      </c>
      <c r="J6" s="21" t="n">
        <v>0</v>
      </c>
      <c r="K6" s="21" t="n">
        <v>0</v>
      </c>
      <c r="L6" s="21" t="n">
        <v>0</v>
      </c>
      <c r="M6" s="21" t="n">
        <v>0</v>
      </c>
      <c r="N6" s="21" t="n">
        <v>0</v>
      </c>
      <c r="O6" s="21" t="n">
        <v>0</v>
      </c>
      <c r="P6" s="21" t="n">
        <v>0</v>
      </c>
      <c r="Q6" s="21" t="n">
        <v>0</v>
      </c>
      <c r="R6" s="18" t="n">
        <f aca="false">ABS(D6)+MAX(ABS(G6),ABS(H6))+MAX(ABS(I6),ABS(J6))</f>
        <v>0</v>
      </c>
      <c r="S6" s="18" t="n">
        <f aca="false">ABS(K6)+MAX(ABS(N6),ABS(O6))+MAX(ABS(P6),ABS(Q6))</f>
        <v>0</v>
      </c>
      <c r="T6" s="18" t="n">
        <f aca="false">MAX(ABS(E6),ABS(F6))</f>
        <v>0</v>
      </c>
      <c r="U6" s="18" t="n">
        <f aca="false">MAX(ABS(L6),ABS(M6))</f>
        <v>0</v>
      </c>
    </row>
    <row r="7" customFormat="false" ht="15" hidden="false" customHeight="false" outlineLevel="0" collapsed="false">
      <c r="A7" s="4" t="n">
        <v>225</v>
      </c>
      <c r="B7" s="4" t="n">
        <v>1</v>
      </c>
      <c r="C7" s="18" t="n">
        <v>0.5</v>
      </c>
      <c r="D7" s="21" t="n">
        <v>0</v>
      </c>
      <c r="E7" s="21" t="n">
        <v>0</v>
      </c>
      <c r="F7" s="21" t="n">
        <v>0</v>
      </c>
      <c r="G7" s="21" t="n">
        <v>0</v>
      </c>
      <c r="H7" s="21" t="n">
        <v>0</v>
      </c>
      <c r="I7" s="21" t="n">
        <v>0</v>
      </c>
      <c r="J7" s="21" t="n">
        <v>0</v>
      </c>
      <c r="K7" s="21" t="n">
        <v>0</v>
      </c>
      <c r="L7" s="21" t="n">
        <v>0</v>
      </c>
      <c r="M7" s="21" t="n">
        <v>0</v>
      </c>
      <c r="N7" s="21" t="n">
        <v>0</v>
      </c>
      <c r="O7" s="21" t="n">
        <v>0</v>
      </c>
      <c r="P7" s="21" t="n">
        <v>0</v>
      </c>
      <c r="Q7" s="21" t="n">
        <v>0</v>
      </c>
      <c r="R7" s="18" t="n">
        <f aca="false">ABS(D7)+MAX(ABS(G7),ABS(H7))+MAX(ABS(I7),ABS(J7))</f>
        <v>0</v>
      </c>
      <c r="S7" s="18" t="n">
        <f aca="false">ABS(K7)+MAX(ABS(N7),ABS(O7))+MAX(ABS(P7),ABS(Q7))</f>
        <v>0</v>
      </c>
      <c r="T7" s="18" t="n">
        <f aca="false">MAX(ABS(E7),ABS(F7))</f>
        <v>0</v>
      </c>
      <c r="U7" s="18" t="n">
        <f aca="false">MAX(ABS(L7),ABS(M7))</f>
        <v>0</v>
      </c>
    </row>
    <row r="8" customFormat="false" ht="15" hidden="false" customHeight="false" outlineLevel="0" collapsed="false">
      <c r="A8" s="4" t="n">
        <v>225</v>
      </c>
      <c r="B8" s="4" t="n">
        <v>1</v>
      </c>
      <c r="C8" s="18" t="n">
        <v>0.75</v>
      </c>
      <c r="D8" s="21" t="n">
        <v>0</v>
      </c>
      <c r="E8" s="21" t="n">
        <v>0</v>
      </c>
      <c r="F8" s="21" t="n">
        <v>0</v>
      </c>
      <c r="G8" s="21" t="n">
        <v>0</v>
      </c>
      <c r="H8" s="21" t="n">
        <v>0</v>
      </c>
      <c r="I8" s="21" t="n">
        <v>0</v>
      </c>
      <c r="J8" s="21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21" t="n">
        <v>0</v>
      </c>
      <c r="P8" s="21" t="n">
        <v>0</v>
      </c>
      <c r="Q8" s="21" t="n">
        <v>0</v>
      </c>
      <c r="R8" s="18" t="n">
        <f aca="false">ABS(D8)+MAX(ABS(G8),ABS(H8))+MAX(ABS(I8),ABS(J8))</f>
        <v>0</v>
      </c>
      <c r="S8" s="18" t="n">
        <f aca="false">ABS(K8)+MAX(ABS(N8),ABS(O8))+MAX(ABS(P8),ABS(Q8))</f>
        <v>0</v>
      </c>
      <c r="T8" s="18" t="n">
        <f aca="false">MAX(ABS(E8),ABS(F8))</f>
        <v>0</v>
      </c>
      <c r="U8" s="18" t="n">
        <f aca="false">MAX(ABS(L8),ABS(M8))</f>
        <v>0</v>
      </c>
    </row>
    <row r="9" customFormat="false" ht="15" hidden="false" customHeight="false" outlineLevel="0" collapsed="false">
      <c r="A9" s="4" t="n">
        <v>225</v>
      </c>
      <c r="B9" s="4" t="n">
        <v>1</v>
      </c>
      <c r="C9" s="18" t="n">
        <v>1</v>
      </c>
      <c r="D9" s="21" t="n">
        <v>0</v>
      </c>
      <c r="E9" s="21" t="n">
        <v>0</v>
      </c>
      <c r="F9" s="21" t="n">
        <v>0</v>
      </c>
      <c r="G9" s="21" t="n">
        <v>0</v>
      </c>
      <c r="H9" s="21" t="n">
        <v>0</v>
      </c>
      <c r="I9" s="21" t="n">
        <v>0</v>
      </c>
      <c r="J9" s="21" t="n">
        <v>0</v>
      </c>
      <c r="K9" s="21" t="n">
        <v>0</v>
      </c>
      <c r="L9" s="21" t="n">
        <v>0</v>
      </c>
      <c r="M9" s="21" t="n">
        <v>0</v>
      </c>
      <c r="N9" s="21" t="n">
        <v>0</v>
      </c>
      <c r="O9" s="21" t="n">
        <v>0</v>
      </c>
      <c r="P9" s="21" t="n">
        <v>0</v>
      </c>
      <c r="Q9" s="21" t="n">
        <v>0</v>
      </c>
      <c r="R9" s="18" t="n">
        <f aca="false">ABS(D9)+MAX(ABS(G9),ABS(H9))+MAX(ABS(I9),ABS(J9))</f>
        <v>0</v>
      </c>
      <c r="S9" s="18" t="n">
        <f aca="false">ABS(K9)+MAX(ABS(N9),ABS(O9))+MAX(ABS(P9),ABS(Q9))</f>
        <v>0</v>
      </c>
      <c r="T9" s="18" t="n">
        <f aca="false">MAX(ABS(E9),ABS(F9))</f>
        <v>0</v>
      </c>
      <c r="U9" s="18" t="n">
        <f aca="false">MAX(ABS(L9),ABS(M9))</f>
        <v>0</v>
      </c>
    </row>
    <row r="10" customFormat="false" ht="15" hidden="false" customHeight="false" outlineLevel="0" collapsed="false">
      <c r="A10" s="4" t="n">
        <v>226</v>
      </c>
      <c r="B10" s="4" t="n">
        <v>2</v>
      </c>
      <c r="C10" s="18" t="n">
        <v>0</v>
      </c>
      <c r="D10" s="21" t="n">
        <v>0</v>
      </c>
      <c r="E10" s="21" t="n">
        <v>0</v>
      </c>
      <c r="F10" s="21" t="n">
        <v>0</v>
      </c>
      <c r="G10" s="21" t="n">
        <v>0</v>
      </c>
      <c r="H10" s="21" t="n">
        <v>0</v>
      </c>
      <c r="I10" s="21" t="n">
        <v>0</v>
      </c>
      <c r="J10" s="21" t="n">
        <v>0</v>
      </c>
      <c r="K10" s="21" t="n">
        <v>0</v>
      </c>
      <c r="L10" s="21" t="n">
        <v>0</v>
      </c>
      <c r="M10" s="21" t="n">
        <v>0</v>
      </c>
      <c r="N10" s="21" t="n">
        <v>0</v>
      </c>
      <c r="O10" s="21" t="n">
        <v>0</v>
      </c>
      <c r="P10" s="21" t="n">
        <v>0</v>
      </c>
      <c r="Q10" s="21" t="n">
        <v>0</v>
      </c>
      <c r="R10" s="18" t="n">
        <f aca="false">ABS(D10)+MAX(ABS(G10),ABS(H10))+MAX(ABS(I10),ABS(J10))</f>
        <v>0</v>
      </c>
      <c r="S10" s="18" t="n">
        <f aca="false">ABS(K10)+MAX(ABS(N10),ABS(O10))+MAX(ABS(P10),ABS(Q10))</f>
        <v>0</v>
      </c>
      <c r="T10" s="18" t="n">
        <f aca="false">MAX(ABS(E10),ABS(F10))</f>
        <v>0</v>
      </c>
      <c r="U10" s="18" t="n">
        <f aca="false">MAX(ABS(L10),ABS(M10))</f>
        <v>0</v>
      </c>
    </row>
    <row r="11" customFormat="false" ht="15" hidden="false" customHeight="false" outlineLevel="0" collapsed="false">
      <c r="A11" s="4" t="n">
        <v>226</v>
      </c>
      <c r="B11" s="4" t="n">
        <v>2</v>
      </c>
      <c r="C11" s="18" t="n">
        <v>0.25</v>
      </c>
      <c r="D11" s="21" t="n">
        <v>0</v>
      </c>
      <c r="E11" s="21" t="n">
        <v>0</v>
      </c>
      <c r="F11" s="21" t="n">
        <v>0</v>
      </c>
      <c r="G11" s="21" t="n">
        <v>0</v>
      </c>
      <c r="H11" s="21" t="n">
        <v>0</v>
      </c>
      <c r="I11" s="21" t="n">
        <v>0</v>
      </c>
      <c r="J11" s="21" t="n">
        <v>0</v>
      </c>
      <c r="K11" s="21" t="n">
        <v>0</v>
      </c>
      <c r="L11" s="21" t="n">
        <v>0</v>
      </c>
      <c r="M11" s="21" t="n">
        <v>0</v>
      </c>
      <c r="N11" s="21" t="n">
        <v>0</v>
      </c>
      <c r="O11" s="21" t="n">
        <v>0</v>
      </c>
      <c r="P11" s="21" t="n">
        <v>0</v>
      </c>
      <c r="Q11" s="21" t="n">
        <v>0</v>
      </c>
      <c r="R11" s="18" t="n">
        <f aca="false">ABS(D11)+MAX(ABS(G11),ABS(H11))+MAX(ABS(I11),ABS(J11))</f>
        <v>0</v>
      </c>
      <c r="S11" s="18" t="n">
        <f aca="false">ABS(K11)+MAX(ABS(N11),ABS(O11))+MAX(ABS(P11),ABS(Q11))</f>
        <v>0</v>
      </c>
      <c r="T11" s="18" t="n">
        <f aca="false">MAX(ABS(E11),ABS(F11))</f>
        <v>0</v>
      </c>
      <c r="U11" s="18" t="n">
        <f aca="false">MAX(ABS(L11),ABS(M11))</f>
        <v>0</v>
      </c>
    </row>
    <row r="12" customFormat="false" ht="15" hidden="false" customHeight="false" outlineLevel="0" collapsed="false">
      <c r="A12" s="4" t="n">
        <v>226</v>
      </c>
      <c r="B12" s="4" t="n">
        <v>2</v>
      </c>
      <c r="C12" s="18" t="n">
        <v>0.5</v>
      </c>
      <c r="D12" s="21" t="n">
        <v>0</v>
      </c>
      <c r="E12" s="21" t="n">
        <v>0</v>
      </c>
      <c r="F12" s="21" t="n">
        <v>0</v>
      </c>
      <c r="G12" s="21" t="n">
        <v>0</v>
      </c>
      <c r="H12" s="21" t="n">
        <v>0</v>
      </c>
      <c r="I12" s="21" t="n">
        <v>0</v>
      </c>
      <c r="J12" s="21" t="n">
        <v>0</v>
      </c>
      <c r="K12" s="21" t="n">
        <v>0</v>
      </c>
      <c r="L12" s="21" t="n">
        <v>0</v>
      </c>
      <c r="M12" s="21" t="n">
        <v>0</v>
      </c>
      <c r="N12" s="21" t="n">
        <v>0</v>
      </c>
      <c r="O12" s="21" t="n">
        <v>0</v>
      </c>
      <c r="P12" s="21" t="n">
        <v>0</v>
      </c>
      <c r="Q12" s="21" t="n">
        <v>0</v>
      </c>
      <c r="R12" s="18" t="n">
        <f aca="false">ABS(D12)+MAX(ABS(G12),ABS(H12))+MAX(ABS(I12),ABS(J12))</f>
        <v>0</v>
      </c>
      <c r="S12" s="18" t="n">
        <f aca="false">ABS(K12)+MAX(ABS(N12),ABS(O12))+MAX(ABS(P12),ABS(Q12))</f>
        <v>0</v>
      </c>
      <c r="T12" s="18" t="n">
        <f aca="false">MAX(ABS(E12),ABS(F12))</f>
        <v>0</v>
      </c>
      <c r="U12" s="18" t="n">
        <f aca="false">MAX(ABS(L12),ABS(M12))</f>
        <v>0</v>
      </c>
    </row>
    <row r="13" customFormat="false" ht="15" hidden="false" customHeight="false" outlineLevel="0" collapsed="false">
      <c r="A13" s="4" t="n">
        <v>226</v>
      </c>
      <c r="B13" s="4" t="n">
        <v>2</v>
      </c>
      <c r="C13" s="18" t="n">
        <v>0.75</v>
      </c>
      <c r="D13" s="21" t="n">
        <v>0</v>
      </c>
      <c r="E13" s="21" t="n">
        <v>0</v>
      </c>
      <c r="F13" s="21" t="n">
        <v>0</v>
      </c>
      <c r="G13" s="21" t="n">
        <v>0</v>
      </c>
      <c r="H13" s="21" t="n">
        <v>0</v>
      </c>
      <c r="I13" s="21" t="n">
        <v>0</v>
      </c>
      <c r="J13" s="21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21" t="n">
        <v>0</v>
      </c>
      <c r="P13" s="21" t="n">
        <v>0</v>
      </c>
      <c r="Q13" s="21" t="n">
        <v>0</v>
      </c>
      <c r="R13" s="18" t="n">
        <f aca="false">ABS(D13)+MAX(ABS(G13),ABS(H13))+MAX(ABS(I13),ABS(J13))</f>
        <v>0</v>
      </c>
      <c r="S13" s="18" t="n">
        <f aca="false">ABS(K13)+MAX(ABS(N13),ABS(O13))+MAX(ABS(P13),ABS(Q13))</f>
        <v>0</v>
      </c>
      <c r="T13" s="18" t="n">
        <f aca="false">MAX(ABS(E13),ABS(F13))</f>
        <v>0</v>
      </c>
      <c r="U13" s="18" t="n">
        <f aca="false">MAX(ABS(L13),ABS(M13))</f>
        <v>0</v>
      </c>
    </row>
    <row r="14" customFormat="false" ht="15" hidden="false" customHeight="false" outlineLevel="0" collapsed="false">
      <c r="A14" s="4" t="n">
        <v>226</v>
      </c>
      <c r="B14" s="4" t="n">
        <v>2</v>
      </c>
      <c r="C14" s="18" t="n">
        <v>1</v>
      </c>
      <c r="D14" s="21" t="n">
        <v>0</v>
      </c>
      <c r="E14" s="21" t="n">
        <v>0</v>
      </c>
      <c r="F14" s="21" t="n">
        <v>0</v>
      </c>
      <c r="G14" s="21" t="n">
        <v>0</v>
      </c>
      <c r="H14" s="21" t="n">
        <v>0</v>
      </c>
      <c r="I14" s="21" t="n">
        <v>0</v>
      </c>
      <c r="J14" s="21" t="n">
        <v>0</v>
      </c>
      <c r="K14" s="21" t="n">
        <v>0</v>
      </c>
      <c r="L14" s="21" t="n">
        <v>0</v>
      </c>
      <c r="M14" s="21" t="n">
        <v>0</v>
      </c>
      <c r="N14" s="21" t="n">
        <v>0</v>
      </c>
      <c r="O14" s="21" t="n">
        <v>0</v>
      </c>
      <c r="P14" s="21" t="n">
        <v>0</v>
      </c>
      <c r="Q14" s="21" t="n">
        <v>0</v>
      </c>
      <c r="R14" s="18" t="n">
        <f aca="false">ABS(D14)+MAX(ABS(G14),ABS(H14))+MAX(ABS(I14),ABS(J14))</f>
        <v>0</v>
      </c>
      <c r="S14" s="18" t="n">
        <f aca="false">ABS(K14)+MAX(ABS(N14),ABS(O14))+MAX(ABS(P14),ABS(Q14))</f>
        <v>0</v>
      </c>
      <c r="T14" s="18" t="n">
        <f aca="false">MAX(ABS(E14),ABS(F14))</f>
        <v>0</v>
      </c>
      <c r="U14" s="18" t="n">
        <f aca="false">MAX(ABS(L14),ABS(M14))</f>
        <v>0</v>
      </c>
    </row>
    <row r="15" customFormat="false" ht="15" hidden="false" customHeight="false" outlineLevel="0" collapsed="false">
      <c r="A15" s="4" t="n">
        <v>227</v>
      </c>
      <c r="B15" s="4" t="n">
        <v>3</v>
      </c>
      <c r="C15" s="18" t="n">
        <v>0</v>
      </c>
      <c r="D15" s="21" t="n">
        <v>0</v>
      </c>
      <c r="E15" s="21" t="n">
        <v>0</v>
      </c>
      <c r="F15" s="21" t="n">
        <v>0</v>
      </c>
      <c r="G15" s="21" t="n">
        <v>0</v>
      </c>
      <c r="H15" s="21" t="n">
        <v>0</v>
      </c>
      <c r="I15" s="21" t="n">
        <v>0</v>
      </c>
      <c r="J15" s="21" t="n">
        <v>0</v>
      </c>
      <c r="K15" s="21" t="n">
        <v>0</v>
      </c>
      <c r="L15" s="21" t="n">
        <v>0</v>
      </c>
      <c r="M15" s="21" t="n">
        <v>0</v>
      </c>
      <c r="N15" s="21" t="n">
        <v>0</v>
      </c>
      <c r="O15" s="21" t="n">
        <v>0</v>
      </c>
      <c r="P15" s="21" t="n">
        <v>0</v>
      </c>
      <c r="Q15" s="21" t="n">
        <v>0</v>
      </c>
      <c r="R15" s="18" t="n">
        <f aca="false">ABS(D15)+MAX(ABS(G15),ABS(H15))+MAX(ABS(I15),ABS(J15))</f>
        <v>0</v>
      </c>
      <c r="S15" s="18" t="n">
        <f aca="false">ABS(K15)+MAX(ABS(N15),ABS(O15))+MAX(ABS(P15),ABS(Q15))</f>
        <v>0</v>
      </c>
      <c r="T15" s="18" t="n">
        <f aca="false">MAX(ABS(E15),ABS(F15))</f>
        <v>0</v>
      </c>
      <c r="U15" s="18" t="n">
        <f aca="false">MAX(ABS(L15),ABS(M15))</f>
        <v>0</v>
      </c>
    </row>
    <row r="16" customFormat="false" ht="15" hidden="false" customHeight="false" outlineLevel="0" collapsed="false">
      <c r="A16" s="4" t="n">
        <v>227</v>
      </c>
      <c r="B16" s="4" t="n">
        <v>3</v>
      </c>
      <c r="C16" s="18" t="n">
        <v>0.25</v>
      </c>
      <c r="D16" s="21" t="n">
        <v>0</v>
      </c>
      <c r="E16" s="21" t="n">
        <v>0</v>
      </c>
      <c r="F16" s="21" t="n">
        <v>0</v>
      </c>
      <c r="G16" s="21" t="n">
        <v>0</v>
      </c>
      <c r="H16" s="21" t="n">
        <v>0</v>
      </c>
      <c r="I16" s="21" t="n">
        <v>0</v>
      </c>
      <c r="J16" s="21" t="n">
        <v>0</v>
      </c>
      <c r="K16" s="21" t="n">
        <v>0</v>
      </c>
      <c r="L16" s="21" t="n">
        <v>0</v>
      </c>
      <c r="M16" s="21" t="n">
        <v>0</v>
      </c>
      <c r="N16" s="21" t="n">
        <v>0</v>
      </c>
      <c r="O16" s="21" t="n">
        <v>0</v>
      </c>
      <c r="P16" s="21" t="n">
        <v>0</v>
      </c>
      <c r="Q16" s="21" t="n">
        <v>0</v>
      </c>
      <c r="R16" s="18" t="n">
        <f aca="false">ABS(D16)+MAX(ABS(G16),ABS(H16))+MAX(ABS(I16),ABS(J16))</f>
        <v>0</v>
      </c>
      <c r="S16" s="18" t="n">
        <f aca="false">ABS(K16)+MAX(ABS(N16),ABS(O16))+MAX(ABS(P16),ABS(Q16))</f>
        <v>0</v>
      </c>
      <c r="T16" s="18" t="n">
        <f aca="false">MAX(ABS(E16),ABS(F16))</f>
        <v>0</v>
      </c>
      <c r="U16" s="18" t="n">
        <f aca="false">MAX(ABS(L16),ABS(M16))</f>
        <v>0</v>
      </c>
    </row>
    <row r="17" customFormat="false" ht="15" hidden="false" customHeight="false" outlineLevel="0" collapsed="false">
      <c r="A17" s="4" t="n">
        <v>227</v>
      </c>
      <c r="B17" s="4" t="n">
        <v>3</v>
      </c>
      <c r="C17" s="18" t="n">
        <v>0.5</v>
      </c>
      <c r="D17" s="21" t="n">
        <v>0</v>
      </c>
      <c r="E17" s="21" t="n">
        <v>0</v>
      </c>
      <c r="F17" s="21" t="n">
        <v>0</v>
      </c>
      <c r="G17" s="21" t="n">
        <v>0</v>
      </c>
      <c r="H17" s="21" t="n">
        <v>0</v>
      </c>
      <c r="I17" s="21" t="n">
        <v>0</v>
      </c>
      <c r="J17" s="21" t="n">
        <v>0</v>
      </c>
      <c r="K17" s="21" t="n">
        <v>0</v>
      </c>
      <c r="L17" s="21" t="n">
        <v>0</v>
      </c>
      <c r="M17" s="21" t="n">
        <v>0</v>
      </c>
      <c r="N17" s="21" t="n">
        <v>0</v>
      </c>
      <c r="O17" s="21" t="n">
        <v>0</v>
      </c>
      <c r="P17" s="21" t="n">
        <v>0</v>
      </c>
      <c r="Q17" s="21" t="n">
        <v>0</v>
      </c>
      <c r="R17" s="18" t="n">
        <f aca="false">ABS(D17)+MAX(ABS(G17),ABS(H17))+MAX(ABS(I17),ABS(J17))</f>
        <v>0</v>
      </c>
      <c r="S17" s="18" t="n">
        <f aca="false">ABS(K17)+MAX(ABS(N17),ABS(O17))+MAX(ABS(P17),ABS(Q17))</f>
        <v>0</v>
      </c>
      <c r="T17" s="18" t="n">
        <f aca="false">MAX(ABS(E17),ABS(F17))</f>
        <v>0</v>
      </c>
      <c r="U17" s="18" t="n">
        <f aca="false">MAX(ABS(L17),ABS(M17))</f>
        <v>0</v>
      </c>
    </row>
    <row r="18" customFormat="false" ht="15" hidden="false" customHeight="false" outlineLevel="0" collapsed="false">
      <c r="A18" s="4" t="n">
        <v>227</v>
      </c>
      <c r="B18" s="4" t="n">
        <v>3</v>
      </c>
      <c r="C18" s="18" t="n">
        <v>0.75</v>
      </c>
      <c r="D18" s="21" t="n">
        <v>0</v>
      </c>
      <c r="E18" s="21" t="n">
        <v>0</v>
      </c>
      <c r="F18" s="21" t="n">
        <v>0</v>
      </c>
      <c r="G18" s="21" t="n">
        <v>0</v>
      </c>
      <c r="H18" s="21" t="n">
        <v>0</v>
      </c>
      <c r="I18" s="21" t="n">
        <v>0</v>
      </c>
      <c r="J18" s="21" t="n">
        <v>0</v>
      </c>
      <c r="K18" s="21" t="n">
        <v>0</v>
      </c>
      <c r="L18" s="21" t="n">
        <v>0</v>
      </c>
      <c r="M18" s="21" t="n">
        <v>0</v>
      </c>
      <c r="N18" s="21" t="n">
        <v>0</v>
      </c>
      <c r="O18" s="21" t="n">
        <v>0</v>
      </c>
      <c r="P18" s="21" t="n">
        <v>0</v>
      </c>
      <c r="Q18" s="21" t="n">
        <v>0</v>
      </c>
      <c r="R18" s="18" t="n">
        <f aca="false">ABS(D18)+MAX(ABS(G18),ABS(H18))+MAX(ABS(I18),ABS(J18))</f>
        <v>0</v>
      </c>
      <c r="S18" s="18" t="n">
        <f aca="false">ABS(K18)+MAX(ABS(N18),ABS(O18))+MAX(ABS(P18),ABS(Q18))</f>
        <v>0</v>
      </c>
      <c r="T18" s="18" t="n">
        <f aca="false">MAX(ABS(E18),ABS(F18))</f>
        <v>0</v>
      </c>
      <c r="U18" s="18" t="n">
        <f aca="false">MAX(ABS(L18),ABS(M18))</f>
        <v>0</v>
      </c>
    </row>
    <row r="19" customFormat="false" ht="15" hidden="false" customHeight="false" outlineLevel="0" collapsed="false">
      <c r="A19" s="4" t="n">
        <v>227</v>
      </c>
      <c r="B19" s="4" t="n">
        <v>3</v>
      </c>
      <c r="C19" s="18" t="n">
        <v>1</v>
      </c>
      <c r="D19" s="21" t="n">
        <v>0</v>
      </c>
      <c r="E19" s="21" t="n">
        <v>0</v>
      </c>
      <c r="F19" s="21" t="n">
        <v>0</v>
      </c>
      <c r="G19" s="21" t="n">
        <v>0</v>
      </c>
      <c r="H19" s="21" t="n">
        <v>0</v>
      </c>
      <c r="I19" s="21" t="n">
        <v>0</v>
      </c>
      <c r="J19" s="21" t="n">
        <v>0</v>
      </c>
      <c r="K19" s="21" t="n">
        <v>0</v>
      </c>
      <c r="L19" s="21" t="n">
        <v>0</v>
      </c>
      <c r="M19" s="21" t="n">
        <v>0</v>
      </c>
      <c r="N19" s="21" t="n">
        <v>0</v>
      </c>
      <c r="O19" s="21" t="n">
        <v>0</v>
      </c>
      <c r="P19" s="21" t="n">
        <v>0</v>
      </c>
      <c r="Q19" s="21" t="n">
        <v>0</v>
      </c>
      <c r="R19" s="18" t="n">
        <f aca="false">ABS(D19)+MAX(ABS(G19),ABS(H19))+MAX(ABS(I19),ABS(J19))</f>
        <v>0</v>
      </c>
      <c r="S19" s="18" t="n">
        <f aca="false">ABS(K19)+MAX(ABS(N19),ABS(O19))+MAX(ABS(P19),ABS(Q19))</f>
        <v>0</v>
      </c>
      <c r="T19" s="18" t="n">
        <f aca="false">MAX(ABS(E19),ABS(F19))</f>
        <v>0</v>
      </c>
      <c r="U19" s="18" t="n">
        <f aca="false">MAX(ABS(L19),ABS(M19))</f>
        <v>0</v>
      </c>
    </row>
    <row r="20" customFormat="false" ht="15" hidden="false" customHeight="false" outlineLevel="0" collapsed="false">
      <c r="A20" s="4" t="n">
        <v>228</v>
      </c>
      <c r="B20" s="4" t="n">
        <v>4</v>
      </c>
      <c r="C20" s="18" t="n">
        <v>0</v>
      </c>
      <c r="D20" s="21" t="n">
        <v>0</v>
      </c>
      <c r="E20" s="21" t="n">
        <v>0</v>
      </c>
      <c r="F20" s="21" t="n">
        <v>0</v>
      </c>
      <c r="G20" s="21" t="n">
        <v>0</v>
      </c>
      <c r="H20" s="21" t="n">
        <v>0</v>
      </c>
      <c r="I20" s="21" t="n">
        <v>0</v>
      </c>
      <c r="J20" s="21" t="n">
        <v>0</v>
      </c>
      <c r="K20" s="21" t="n">
        <v>0</v>
      </c>
      <c r="L20" s="21" t="n">
        <v>0</v>
      </c>
      <c r="M20" s="21" t="n">
        <v>0</v>
      </c>
      <c r="N20" s="21" t="n">
        <v>0</v>
      </c>
      <c r="O20" s="21" t="n">
        <v>0</v>
      </c>
      <c r="P20" s="21" t="n">
        <v>0</v>
      </c>
      <c r="Q20" s="21" t="n">
        <v>0</v>
      </c>
      <c r="R20" s="18" t="n">
        <f aca="false">ABS(D20)+MAX(ABS(G20),ABS(H20))+MAX(ABS(I20),ABS(J20))</f>
        <v>0</v>
      </c>
      <c r="S20" s="18" t="n">
        <f aca="false">ABS(K20)+MAX(ABS(N20),ABS(O20))+MAX(ABS(P20),ABS(Q20))</f>
        <v>0</v>
      </c>
      <c r="T20" s="18" t="n">
        <f aca="false">MAX(ABS(E20),ABS(F20))</f>
        <v>0</v>
      </c>
      <c r="U20" s="18" t="n">
        <f aca="false">MAX(ABS(L20),ABS(M20))</f>
        <v>0</v>
      </c>
    </row>
    <row r="21" customFormat="false" ht="15" hidden="false" customHeight="false" outlineLevel="0" collapsed="false">
      <c r="A21" s="4" t="n">
        <v>228</v>
      </c>
      <c r="B21" s="4" t="n">
        <v>4</v>
      </c>
      <c r="C21" s="18" t="n">
        <v>0.25</v>
      </c>
      <c r="D21" s="21" t="n">
        <v>0</v>
      </c>
      <c r="E21" s="21" t="n">
        <v>0</v>
      </c>
      <c r="F21" s="21" t="n">
        <v>0</v>
      </c>
      <c r="G21" s="21" t="n">
        <v>0</v>
      </c>
      <c r="H21" s="21" t="n">
        <v>0</v>
      </c>
      <c r="I21" s="21" t="n">
        <v>0</v>
      </c>
      <c r="J21" s="21" t="n">
        <v>0</v>
      </c>
      <c r="K21" s="21" t="n">
        <v>0</v>
      </c>
      <c r="L21" s="21" t="n">
        <v>0</v>
      </c>
      <c r="M21" s="21" t="n">
        <v>0</v>
      </c>
      <c r="N21" s="21" t="n">
        <v>0</v>
      </c>
      <c r="O21" s="21" t="n">
        <v>0</v>
      </c>
      <c r="P21" s="21" t="n">
        <v>0</v>
      </c>
      <c r="Q21" s="21" t="n">
        <v>0</v>
      </c>
      <c r="R21" s="18" t="n">
        <f aca="false">ABS(D21)+MAX(ABS(G21),ABS(H21))+MAX(ABS(I21),ABS(J21))</f>
        <v>0</v>
      </c>
      <c r="S21" s="18" t="n">
        <f aca="false">ABS(K21)+MAX(ABS(N21),ABS(O21))+MAX(ABS(P21),ABS(Q21))</f>
        <v>0</v>
      </c>
      <c r="T21" s="18" t="n">
        <f aca="false">MAX(ABS(E21),ABS(F21))</f>
        <v>0</v>
      </c>
      <c r="U21" s="18" t="n">
        <f aca="false">MAX(ABS(L21),ABS(M21))</f>
        <v>0</v>
      </c>
    </row>
    <row r="22" customFormat="false" ht="15" hidden="false" customHeight="false" outlineLevel="0" collapsed="false">
      <c r="A22" s="4" t="n">
        <v>228</v>
      </c>
      <c r="B22" s="4" t="n">
        <v>4</v>
      </c>
      <c r="C22" s="18" t="n">
        <v>0.5</v>
      </c>
      <c r="D22" s="21" t="n">
        <v>0</v>
      </c>
      <c r="E22" s="21" t="n">
        <v>0</v>
      </c>
      <c r="F22" s="21" t="n">
        <v>0</v>
      </c>
      <c r="G22" s="21" t="n">
        <v>0</v>
      </c>
      <c r="H22" s="21" t="n">
        <v>0</v>
      </c>
      <c r="I22" s="21" t="n">
        <v>0</v>
      </c>
      <c r="J22" s="21" t="n">
        <v>0</v>
      </c>
      <c r="K22" s="21" t="n">
        <v>0</v>
      </c>
      <c r="L22" s="21" t="n">
        <v>0</v>
      </c>
      <c r="M22" s="21" t="n">
        <v>0</v>
      </c>
      <c r="N22" s="21" t="n">
        <v>0</v>
      </c>
      <c r="O22" s="21" t="n">
        <v>0</v>
      </c>
      <c r="P22" s="21" t="n">
        <v>0</v>
      </c>
      <c r="Q22" s="21" t="n">
        <v>0</v>
      </c>
      <c r="R22" s="18" t="n">
        <f aca="false">ABS(D22)+MAX(ABS(G22),ABS(H22))+MAX(ABS(I22),ABS(J22))</f>
        <v>0</v>
      </c>
      <c r="S22" s="18" t="n">
        <f aca="false">ABS(K22)+MAX(ABS(N22),ABS(O22))+MAX(ABS(P22),ABS(Q22))</f>
        <v>0</v>
      </c>
      <c r="T22" s="18" t="n">
        <f aca="false">MAX(ABS(E22),ABS(F22))</f>
        <v>0</v>
      </c>
      <c r="U22" s="18" t="n">
        <f aca="false">MAX(ABS(L22),ABS(M22))</f>
        <v>0</v>
      </c>
    </row>
    <row r="23" customFormat="false" ht="15" hidden="false" customHeight="false" outlineLevel="0" collapsed="false">
      <c r="A23" s="4" t="n">
        <v>228</v>
      </c>
      <c r="B23" s="4" t="n">
        <v>4</v>
      </c>
      <c r="C23" s="18" t="n">
        <v>0.75</v>
      </c>
      <c r="D23" s="21" t="n">
        <v>0</v>
      </c>
      <c r="E23" s="21" t="n">
        <v>0</v>
      </c>
      <c r="F23" s="21" t="n">
        <v>0</v>
      </c>
      <c r="G23" s="21" t="n">
        <v>0</v>
      </c>
      <c r="H23" s="21" t="n">
        <v>0</v>
      </c>
      <c r="I23" s="21" t="n">
        <v>0</v>
      </c>
      <c r="J23" s="21" t="n">
        <v>0</v>
      </c>
      <c r="K23" s="21" t="n">
        <v>0</v>
      </c>
      <c r="L23" s="21" t="n">
        <v>0</v>
      </c>
      <c r="M23" s="21" t="n">
        <v>0</v>
      </c>
      <c r="N23" s="21" t="n">
        <v>0</v>
      </c>
      <c r="O23" s="21" t="n">
        <v>0</v>
      </c>
      <c r="P23" s="21" t="n">
        <v>0</v>
      </c>
      <c r="Q23" s="21" t="n">
        <v>0</v>
      </c>
      <c r="R23" s="18" t="n">
        <f aca="false">ABS(D23)+MAX(ABS(G23),ABS(H23))+MAX(ABS(I23),ABS(J23))</f>
        <v>0</v>
      </c>
      <c r="S23" s="18" t="n">
        <f aca="false">ABS(K23)+MAX(ABS(N23),ABS(O23))+MAX(ABS(P23),ABS(Q23))</f>
        <v>0</v>
      </c>
      <c r="T23" s="18" t="n">
        <f aca="false">MAX(ABS(E23),ABS(F23))</f>
        <v>0</v>
      </c>
      <c r="U23" s="18" t="n">
        <f aca="false">MAX(ABS(L23),ABS(M23))</f>
        <v>0</v>
      </c>
    </row>
    <row r="24" customFormat="false" ht="15" hidden="false" customHeight="false" outlineLevel="0" collapsed="false">
      <c r="A24" s="4" t="n">
        <v>228</v>
      </c>
      <c r="B24" s="4" t="n">
        <v>4</v>
      </c>
      <c r="C24" s="18" t="n">
        <v>1</v>
      </c>
      <c r="D24" s="21" t="n">
        <v>0</v>
      </c>
      <c r="E24" s="21" t="n">
        <v>0</v>
      </c>
      <c r="F24" s="21" t="n">
        <v>0</v>
      </c>
      <c r="G24" s="21" t="n">
        <v>0</v>
      </c>
      <c r="H24" s="21" t="n">
        <v>0</v>
      </c>
      <c r="I24" s="21" t="n">
        <v>0</v>
      </c>
      <c r="J24" s="21" t="n">
        <v>0</v>
      </c>
      <c r="K24" s="21" t="n">
        <v>0</v>
      </c>
      <c r="L24" s="21" t="n">
        <v>0</v>
      </c>
      <c r="M24" s="21" t="n">
        <v>0</v>
      </c>
      <c r="N24" s="21" t="n">
        <v>0</v>
      </c>
      <c r="O24" s="21" t="n">
        <v>0</v>
      </c>
      <c r="P24" s="21" t="n">
        <v>0</v>
      </c>
      <c r="Q24" s="21" t="n">
        <v>0</v>
      </c>
      <c r="R24" s="18" t="n">
        <f aca="false">ABS(D24)+MAX(ABS(G24),ABS(H24))+MAX(ABS(I24),ABS(J24))</f>
        <v>0</v>
      </c>
      <c r="S24" s="18" t="n">
        <f aca="false">ABS(K24)+MAX(ABS(N24),ABS(O24))+MAX(ABS(P24),ABS(Q24))</f>
        <v>0</v>
      </c>
      <c r="T24" s="18" t="n">
        <f aca="false">MAX(ABS(E24),ABS(F24))</f>
        <v>0</v>
      </c>
      <c r="U24" s="18" t="n">
        <f aca="false">MAX(ABS(L24),ABS(M24))</f>
        <v>0</v>
      </c>
    </row>
    <row r="25" customFormat="false" ht="15" hidden="false" customHeight="false" outlineLevel="0" collapsed="false">
      <c r="A25" s="4" t="n">
        <v>229</v>
      </c>
      <c r="B25" s="4" t="n">
        <v>5</v>
      </c>
      <c r="C25" s="18" t="n">
        <v>0</v>
      </c>
      <c r="D25" s="21" t="n">
        <v>0</v>
      </c>
      <c r="E25" s="21" t="n">
        <v>0</v>
      </c>
      <c r="F25" s="21" t="n">
        <v>0</v>
      </c>
      <c r="G25" s="21" t="n">
        <v>0</v>
      </c>
      <c r="H25" s="21" t="n">
        <v>0</v>
      </c>
      <c r="I25" s="21" t="n">
        <v>0</v>
      </c>
      <c r="J25" s="21" t="n">
        <v>0</v>
      </c>
      <c r="K25" s="21" t="n">
        <v>0</v>
      </c>
      <c r="L25" s="21" t="n">
        <v>0</v>
      </c>
      <c r="M25" s="21" t="n">
        <v>0</v>
      </c>
      <c r="N25" s="21" t="n">
        <v>0</v>
      </c>
      <c r="O25" s="21" t="n">
        <v>0</v>
      </c>
      <c r="P25" s="21" t="n">
        <v>0</v>
      </c>
      <c r="Q25" s="21" t="n">
        <v>0</v>
      </c>
      <c r="R25" s="18" t="n">
        <f aca="false">ABS(D25)+MAX(ABS(G25),ABS(H25))+MAX(ABS(I25),ABS(J25))</f>
        <v>0</v>
      </c>
      <c r="S25" s="18" t="n">
        <f aca="false">ABS(K25)+MAX(ABS(N25),ABS(O25))+MAX(ABS(P25),ABS(Q25))</f>
        <v>0</v>
      </c>
      <c r="T25" s="18" t="n">
        <f aca="false">MAX(ABS(E25),ABS(F25))</f>
        <v>0</v>
      </c>
      <c r="U25" s="18" t="n">
        <f aca="false">MAX(ABS(L25),ABS(M25))</f>
        <v>0</v>
      </c>
    </row>
    <row r="26" customFormat="false" ht="15" hidden="false" customHeight="false" outlineLevel="0" collapsed="false">
      <c r="A26" s="4" t="n">
        <v>229</v>
      </c>
      <c r="B26" s="4" t="n">
        <v>5</v>
      </c>
      <c r="C26" s="18" t="n">
        <v>0.25</v>
      </c>
      <c r="D26" s="21" t="n">
        <v>0</v>
      </c>
      <c r="E26" s="21" t="n">
        <v>0</v>
      </c>
      <c r="F26" s="21" t="n">
        <v>0</v>
      </c>
      <c r="G26" s="21" t="n">
        <v>0</v>
      </c>
      <c r="H26" s="21" t="n">
        <v>0</v>
      </c>
      <c r="I26" s="21" t="n">
        <v>0</v>
      </c>
      <c r="J26" s="21" t="n">
        <v>0</v>
      </c>
      <c r="K26" s="21" t="n">
        <v>0</v>
      </c>
      <c r="L26" s="21" t="n">
        <v>0</v>
      </c>
      <c r="M26" s="21" t="n">
        <v>0</v>
      </c>
      <c r="N26" s="21" t="n">
        <v>0</v>
      </c>
      <c r="O26" s="21" t="n">
        <v>0</v>
      </c>
      <c r="P26" s="21" t="n">
        <v>0</v>
      </c>
      <c r="Q26" s="21" t="n">
        <v>0</v>
      </c>
      <c r="R26" s="18" t="n">
        <f aca="false">ABS(D26)+MAX(ABS(G26),ABS(H26))+MAX(ABS(I26),ABS(J26))</f>
        <v>0</v>
      </c>
      <c r="S26" s="18" t="n">
        <f aca="false">ABS(K26)+MAX(ABS(N26),ABS(O26))+MAX(ABS(P26),ABS(Q26))</f>
        <v>0</v>
      </c>
      <c r="T26" s="18" t="n">
        <f aca="false">MAX(ABS(E26),ABS(F26))</f>
        <v>0</v>
      </c>
      <c r="U26" s="18" t="n">
        <f aca="false">MAX(ABS(L26),ABS(M26))</f>
        <v>0</v>
      </c>
    </row>
    <row r="27" customFormat="false" ht="15" hidden="false" customHeight="false" outlineLevel="0" collapsed="false">
      <c r="A27" s="4" t="n">
        <v>229</v>
      </c>
      <c r="B27" s="4" t="n">
        <v>5</v>
      </c>
      <c r="C27" s="18" t="n">
        <v>0.5</v>
      </c>
      <c r="D27" s="21" t="n">
        <v>0</v>
      </c>
      <c r="E27" s="21" t="n">
        <v>0</v>
      </c>
      <c r="F27" s="21" t="n">
        <v>0</v>
      </c>
      <c r="G27" s="21" t="n">
        <v>0</v>
      </c>
      <c r="H27" s="21" t="n">
        <v>0</v>
      </c>
      <c r="I27" s="21" t="n">
        <v>0</v>
      </c>
      <c r="J27" s="21" t="n">
        <v>0</v>
      </c>
      <c r="K27" s="21" t="n">
        <v>0</v>
      </c>
      <c r="L27" s="21" t="n">
        <v>0</v>
      </c>
      <c r="M27" s="21" t="n">
        <v>0</v>
      </c>
      <c r="N27" s="21" t="n">
        <v>0</v>
      </c>
      <c r="O27" s="21" t="n">
        <v>0</v>
      </c>
      <c r="P27" s="21" t="n">
        <v>0</v>
      </c>
      <c r="Q27" s="21" t="n">
        <v>0</v>
      </c>
      <c r="R27" s="18" t="n">
        <f aca="false">ABS(D27)+MAX(ABS(G27),ABS(H27))+MAX(ABS(I27),ABS(J27))</f>
        <v>0</v>
      </c>
      <c r="S27" s="18" t="n">
        <f aca="false">ABS(K27)+MAX(ABS(N27),ABS(O27))+MAX(ABS(P27),ABS(Q27))</f>
        <v>0</v>
      </c>
      <c r="T27" s="18" t="n">
        <f aca="false">MAX(ABS(E27),ABS(F27))</f>
        <v>0</v>
      </c>
      <c r="U27" s="18" t="n">
        <f aca="false">MAX(ABS(L27),ABS(M27))</f>
        <v>0</v>
      </c>
    </row>
    <row r="28" customFormat="false" ht="15" hidden="false" customHeight="false" outlineLevel="0" collapsed="false">
      <c r="A28" s="4" t="n">
        <v>229</v>
      </c>
      <c r="B28" s="4" t="n">
        <v>5</v>
      </c>
      <c r="C28" s="18" t="n">
        <v>0.75</v>
      </c>
      <c r="D28" s="21" t="n">
        <v>0</v>
      </c>
      <c r="E28" s="21" t="n">
        <v>0</v>
      </c>
      <c r="F28" s="21" t="n">
        <v>0</v>
      </c>
      <c r="G28" s="21" t="n">
        <v>0</v>
      </c>
      <c r="H28" s="21" t="n">
        <v>0</v>
      </c>
      <c r="I28" s="21" t="n">
        <v>0</v>
      </c>
      <c r="J28" s="21" t="n">
        <v>0</v>
      </c>
      <c r="K28" s="21" t="n">
        <v>0</v>
      </c>
      <c r="L28" s="21" t="n">
        <v>0</v>
      </c>
      <c r="M28" s="21" t="n">
        <v>0</v>
      </c>
      <c r="N28" s="21" t="n">
        <v>0</v>
      </c>
      <c r="O28" s="21" t="n">
        <v>0</v>
      </c>
      <c r="P28" s="21" t="n">
        <v>0</v>
      </c>
      <c r="Q28" s="21" t="n">
        <v>0</v>
      </c>
      <c r="R28" s="18" t="n">
        <f aca="false">ABS(D28)+MAX(ABS(G28),ABS(H28))+MAX(ABS(I28),ABS(J28))</f>
        <v>0</v>
      </c>
      <c r="S28" s="18" t="n">
        <f aca="false">ABS(K28)+MAX(ABS(N28),ABS(O28))+MAX(ABS(P28),ABS(Q28))</f>
        <v>0</v>
      </c>
      <c r="T28" s="18" t="n">
        <f aca="false">MAX(ABS(E28),ABS(F28))</f>
        <v>0</v>
      </c>
      <c r="U28" s="18" t="n">
        <f aca="false">MAX(ABS(L28),ABS(M28))</f>
        <v>0</v>
      </c>
    </row>
    <row r="29" customFormat="false" ht="15" hidden="false" customHeight="false" outlineLevel="0" collapsed="false">
      <c r="A29" s="4" t="n">
        <v>229</v>
      </c>
      <c r="B29" s="4" t="n">
        <v>5</v>
      </c>
      <c r="C29" s="18" t="n">
        <v>1</v>
      </c>
      <c r="D29" s="21" t="n">
        <v>0</v>
      </c>
      <c r="E29" s="21" t="n">
        <v>0</v>
      </c>
      <c r="F29" s="21" t="n">
        <v>0</v>
      </c>
      <c r="G29" s="21" t="n">
        <v>0</v>
      </c>
      <c r="H29" s="21" t="n">
        <v>0</v>
      </c>
      <c r="I29" s="21" t="n">
        <v>0</v>
      </c>
      <c r="J29" s="21" t="n">
        <v>0</v>
      </c>
      <c r="K29" s="21" t="n">
        <v>0</v>
      </c>
      <c r="L29" s="21" t="n">
        <v>0</v>
      </c>
      <c r="M29" s="21" t="n">
        <v>0</v>
      </c>
      <c r="N29" s="21" t="n">
        <v>0</v>
      </c>
      <c r="O29" s="21" t="n">
        <v>0</v>
      </c>
      <c r="P29" s="21" t="n">
        <v>0</v>
      </c>
      <c r="Q29" s="21" t="n">
        <v>0</v>
      </c>
      <c r="R29" s="18" t="n">
        <f aca="false">ABS(D29)+MAX(ABS(G29),ABS(H29))+MAX(ABS(I29),ABS(J29))</f>
        <v>0</v>
      </c>
      <c r="S29" s="18" t="n">
        <f aca="false">ABS(K29)+MAX(ABS(N29),ABS(O29))+MAX(ABS(P29),ABS(Q29))</f>
        <v>0</v>
      </c>
      <c r="T29" s="18" t="n">
        <f aca="false">MAX(ABS(E29),ABS(F29))</f>
        <v>0</v>
      </c>
      <c r="U29" s="18" t="n">
        <f aca="false">MAX(ABS(L29),ABS(M29))</f>
        <v>0</v>
      </c>
    </row>
    <row r="30" customFormat="false" ht="15" hidden="false" customHeight="false" outlineLevel="0" collapsed="false">
      <c r="A30" s="4" t="n">
        <v>230</v>
      </c>
      <c r="B30" s="4" t="n">
        <v>6</v>
      </c>
      <c r="C30" s="18" t="n">
        <v>0</v>
      </c>
      <c r="D30" s="21" t="n">
        <v>0</v>
      </c>
      <c r="E30" s="21" t="n">
        <v>0</v>
      </c>
      <c r="F30" s="21" t="n">
        <v>0</v>
      </c>
      <c r="G30" s="21" t="n">
        <v>0</v>
      </c>
      <c r="H30" s="21" t="n">
        <v>0</v>
      </c>
      <c r="I30" s="21" t="n">
        <v>0</v>
      </c>
      <c r="J30" s="21" t="n">
        <v>0</v>
      </c>
      <c r="K30" s="21" t="n">
        <v>0</v>
      </c>
      <c r="L30" s="21" t="n">
        <v>0</v>
      </c>
      <c r="M30" s="21" t="n">
        <v>0</v>
      </c>
      <c r="N30" s="21" t="n">
        <v>0</v>
      </c>
      <c r="O30" s="21" t="n">
        <v>0</v>
      </c>
      <c r="P30" s="21" t="n">
        <v>0</v>
      </c>
      <c r="Q30" s="21" t="n">
        <v>0</v>
      </c>
      <c r="R30" s="18" t="n">
        <f aca="false">ABS(D30)+MAX(ABS(G30),ABS(H30))+MAX(ABS(I30),ABS(J30))</f>
        <v>0</v>
      </c>
      <c r="S30" s="18" t="n">
        <f aca="false">ABS(K30)+MAX(ABS(N30),ABS(O30))+MAX(ABS(P30),ABS(Q30))</f>
        <v>0</v>
      </c>
      <c r="T30" s="18" t="n">
        <f aca="false">MAX(ABS(E30),ABS(F30))</f>
        <v>0</v>
      </c>
      <c r="U30" s="18" t="n">
        <f aca="false">MAX(ABS(L30),ABS(M30))</f>
        <v>0</v>
      </c>
    </row>
    <row r="31" customFormat="false" ht="15" hidden="false" customHeight="false" outlineLevel="0" collapsed="false">
      <c r="A31" s="4" t="n">
        <v>230</v>
      </c>
      <c r="B31" s="4" t="n">
        <v>6</v>
      </c>
      <c r="C31" s="18" t="n">
        <v>0.25</v>
      </c>
      <c r="D31" s="21" t="n">
        <v>0</v>
      </c>
      <c r="E31" s="21" t="n">
        <v>0</v>
      </c>
      <c r="F31" s="21" t="n">
        <v>0</v>
      </c>
      <c r="G31" s="21" t="n">
        <v>0</v>
      </c>
      <c r="H31" s="21" t="n">
        <v>0</v>
      </c>
      <c r="I31" s="21" t="n">
        <v>0</v>
      </c>
      <c r="J31" s="21" t="n">
        <v>0</v>
      </c>
      <c r="K31" s="21" t="n">
        <v>0</v>
      </c>
      <c r="L31" s="21" t="n">
        <v>0</v>
      </c>
      <c r="M31" s="21" t="n">
        <v>0</v>
      </c>
      <c r="N31" s="21" t="n">
        <v>0</v>
      </c>
      <c r="O31" s="21" t="n">
        <v>0</v>
      </c>
      <c r="P31" s="21" t="n">
        <v>0</v>
      </c>
      <c r="Q31" s="21" t="n">
        <v>0</v>
      </c>
      <c r="R31" s="18" t="n">
        <f aca="false">ABS(D31)+MAX(ABS(G31),ABS(H31))+MAX(ABS(I31),ABS(J31))</f>
        <v>0</v>
      </c>
      <c r="S31" s="18" t="n">
        <f aca="false">ABS(K31)+MAX(ABS(N31),ABS(O31))+MAX(ABS(P31),ABS(Q31))</f>
        <v>0</v>
      </c>
      <c r="T31" s="18" t="n">
        <f aca="false">MAX(ABS(E31),ABS(F31))</f>
        <v>0</v>
      </c>
      <c r="U31" s="18" t="n">
        <f aca="false">MAX(ABS(L31),ABS(M31))</f>
        <v>0</v>
      </c>
    </row>
    <row r="32" customFormat="false" ht="15" hidden="false" customHeight="false" outlineLevel="0" collapsed="false">
      <c r="A32" s="4" t="n">
        <v>230</v>
      </c>
      <c r="B32" s="4" t="n">
        <v>6</v>
      </c>
      <c r="C32" s="18" t="n">
        <v>0.5</v>
      </c>
      <c r="D32" s="21" t="n">
        <v>0</v>
      </c>
      <c r="E32" s="21" t="n">
        <v>0</v>
      </c>
      <c r="F32" s="21" t="n">
        <v>0</v>
      </c>
      <c r="G32" s="21" t="n">
        <v>0</v>
      </c>
      <c r="H32" s="21" t="n">
        <v>0</v>
      </c>
      <c r="I32" s="21" t="n">
        <v>0</v>
      </c>
      <c r="J32" s="21" t="n">
        <v>0</v>
      </c>
      <c r="K32" s="21" t="n">
        <v>0</v>
      </c>
      <c r="L32" s="21" t="n">
        <v>0</v>
      </c>
      <c r="M32" s="21" t="n">
        <v>0</v>
      </c>
      <c r="N32" s="21" t="n">
        <v>0</v>
      </c>
      <c r="O32" s="21" t="n">
        <v>0</v>
      </c>
      <c r="P32" s="21" t="n">
        <v>0</v>
      </c>
      <c r="Q32" s="21" t="n">
        <v>0</v>
      </c>
      <c r="R32" s="18" t="n">
        <f aca="false">ABS(D32)+MAX(ABS(G32),ABS(H32))+MAX(ABS(I32),ABS(J32))</f>
        <v>0</v>
      </c>
      <c r="S32" s="18" t="n">
        <f aca="false">ABS(K32)+MAX(ABS(N32),ABS(O32))+MAX(ABS(P32),ABS(Q32))</f>
        <v>0</v>
      </c>
      <c r="T32" s="18" t="n">
        <f aca="false">MAX(ABS(E32),ABS(F32))</f>
        <v>0</v>
      </c>
      <c r="U32" s="18" t="n">
        <f aca="false">MAX(ABS(L32),ABS(M32))</f>
        <v>0</v>
      </c>
    </row>
    <row r="33" customFormat="false" ht="15" hidden="false" customHeight="false" outlineLevel="0" collapsed="false">
      <c r="A33" s="4" t="n">
        <v>230</v>
      </c>
      <c r="B33" s="4" t="n">
        <v>6</v>
      </c>
      <c r="C33" s="18" t="n">
        <v>0.75</v>
      </c>
      <c r="D33" s="21" t="n">
        <v>0</v>
      </c>
      <c r="E33" s="21" t="n">
        <v>0</v>
      </c>
      <c r="F33" s="21" t="n">
        <v>0</v>
      </c>
      <c r="G33" s="21" t="n">
        <v>0</v>
      </c>
      <c r="H33" s="21" t="n">
        <v>0</v>
      </c>
      <c r="I33" s="21" t="n">
        <v>0</v>
      </c>
      <c r="J33" s="21" t="n">
        <v>0</v>
      </c>
      <c r="K33" s="21" t="n">
        <v>0</v>
      </c>
      <c r="L33" s="21" t="n">
        <v>0</v>
      </c>
      <c r="M33" s="21" t="n">
        <v>0</v>
      </c>
      <c r="N33" s="21" t="n">
        <v>0</v>
      </c>
      <c r="O33" s="21" t="n">
        <v>0</v>
      </c>
      <c r="P33" s="21" t="n">
        <v>0</v>
      </c>
      <c r="Q33" s="21" t="n">
        <v>0</v>
      </c>
      <c r="R33" s="18" t="n">
        <f aca="false">ABS(D33)+MAX(ABS(G33),ABS(H33))+MAX(ABS(I33),ABS(J33))</f>
        <v>0</v>
      </c>
      <c r="S33" s="18" t="n">
        <f aca="false">ABS(K33)+MAX(ABS(N33),ABS(O33))+MAX(ABS(P33),ABS(Q33))</f>
        <v>0</v>
      </c>
      <c r="T33" s="18" t="n">
        <f aca="false">MAX(ABS(E33),ABS(F33))</f>
        <v>0</v>
      </c>
      <c r="U33" s="18" t="n">
        <f aca="false">MAX(ABS(L33),ABS(M33))</f>
        <v>0</v>
      </c>
    </row>
    <row r="34" customFormat="false" ht="15" hidden="false" customHeight="false" outlineLevel="0" collapsed="false">
      <c r="A34" s="4" t="n">
        <v>230</v>
      </c>
      <c r="B34" s="4" t="n">
        <v>6</v>
      </c>
      <c r="C34" s="18" t="n">
        <v>1</v>
      </c>
      <c r="D34" s="21" t="n">
        <v>0</v>
      </c>
      <c r="E34" s="21" t="n">
        <v>0</v>
      </c>
      <c r="F34" s="21" t="n">
        <v>0</v>
      </c>
      <c r="G34" s="21" t="n">
        <v>0</v>
      </c>
      <c r="H34" s="21" t="n">
        <v>0</v>
      </c>
      <c r="I34" s="21" t="n">
        <v>0</v>
      </c>
      <c r="J34" s="21" t="n">
        <v>0</v>
      </c>
      <c r="K34" s="21" t="n">
        <v>0</v>
      </c>
      <c r="L34" s="21" t="n">
        <v>0</v>
      </c>
      <c r="M34" s="21" t="n">
        <v>0</v>
      </c>
      <c r="N34" s="21" t="n">
        <v>0</v>
      </c>
      <c r="O34" s="21" t="n">
        <v>0</v>
      </c>
      <c r="P34" s="21" t="n">
        <v>0</v>
      </c>
      <c r="Q34" s="21" t="n">
        <v>0</v>
      </c>
      <c r="R34" s="18" t="n">
        <f aca="false">ABS(D34)+MAX(ABS(G34),ABS(H34))+MAX(ABS(I34),ABS(J34))</f>
        <v>0</v>
      </c>
      <c r="S34" s="18" t="n">
        <f aca="false">ABS(K34)+MAX(ABS(N34),ABS(O34))+MAX(ABS(P34),ABS(Q34))</f>
        <v>0</v>
      </c>
      <c r="T34" s="18" t="n">
        <f aca="false">MAX(ABS(E34),ABS(F34))</f>
        <v>0</v>
      </c>
      <c r="U34" s="18" t="n">
        <f aca="false">MAX(ABS(L34),ABS(M34))</f>
        <v>0</v>
      </c>
    </row>
    <row r="35" customFormat="false" ht="15" hidden="false" customHeight="false" outlineLevel="0" collapsed="false">
      <c r="A35" s="4" t="n">
        <v>231</v>
      </c>
      <c r="B35" s="4" t="n">
        <v>7</v>
      </c>
      <c r="C35" s="18" t="n">
        <v>0</v>
      </c>
      <c r="D35" s="21" t="n">
        <v>0</v>
      </c>
      <c r="E35" s="21" t="n">
        <v>0</v>
      </c>
      <c r="F35" s="21" t="n">
        <v>0</v>
      </c>
      <c r="G35" s="21" t="n">
        <v>0</v>
      </c>
      <c r="H35" s="21" t="n">
        <v>0</v>
      </c>
      <c r="I35" s="21" t="n">
        <v>0</v>
      </c>
      <c r="J35" s="21" t="n">
        <v>0</v>
      </c>
      <c r="K35" s="21" t="n">
        <v>0</v>
      </c>
      <c r="L35" s="21" t="n">
        <v>0</v>
      </c>
      <c r="M35" s="21" t="n">
        <v>0</v>
      </c>
      <c r="N35" s="21" t="n">
        <v>0</v>
      </c>
      <c r="O35" s="21" t="n">
        <v>0</v>
      </c>
      <c r="P35" s="21" t="n">
        <v>0</v>
      </c>
      <c r="Q35" s="21" t="n">
        <v>0</v>
      </c>
      <c r="R35" s="18" t="n">
        <f aca="false">ABS(D35)+MAX(ABS(G35),ABS(H35))+MAX(ABS(I35),ABS(J35))</f>
        <v>0</v>
      </c>
      <c r="S35" s="18" t="n">
        <f aca="false">ABS(K35)+MAX(ABS(N35),ABS(O35))+MAX(ABS(P35),ABS(Q35))</f>
        <v>0</v>
      </c>
      <c r="T35" s="18" t="n">
        <f aca="false">MAX(ABS(E35),ABS(F35))</f>
        <v>0</v>
      </c>
      <c r="U35" s="18" t="n">
        <f aca="false">MAX(ABS(L35),ABS(M35))</f>
        <v>0</v>
      </c>
    </row>
    <row r="36" customFormat="false" ht="15" hidden="false" customHeight="false" outlineLevel="0" collapsed="false">
      <c r="A36" s="4" t="n">
        <v>231</v>
      </c>
      <c r="B36" s="4" t="n">
        <v>7</v>
      </c>
      <c r="C36" s="18" t="n">
        <v>0.25</v>
      </c>
      <c r="D36" s="21" t="n">
        <v>0</v>
      </c>
      <c r="E36" s="21" t="n">
        <v>0</v>
      </c>
      <c r="F36" s="21" t="n">
        <v>0</v>
      </c>
      <c r="G36" s="21" t="n">
        <v>0</v>
      </c>
      <c r="H36" s="21" t="n">
        <v>0</v>
      </c>
      <c r="I36" s="21" t="n">
        <v>0</v>
      </c>
      <c r="J36" s="21" t="n">
        <v>0</v>
      </c>
      <c r="K36" s="21" t="n">
        <v>0</v>
      </c>
      <c r="L36" s="21" t="n">
        <v>0</v>
      </c>
      <c r="M36" s="21" t="n">
        <v>0</v>
      </c>
      <c r="N36" s="21" t="n">
        <v>0</v>
      </c>
      <c r="O36" s="21" t="n">
        <v>0</v>
      </c>
      <c r="P36" s="21" t="n">
        <v>0</v>
      </c>
      <c r="Q36" s="21" t="n">
        <v>0</v>
      </c>
      <c r="R36" s="18" t="n">
        <f aca="false">ABS(D36)+MAX(ABS(G36),ABS(H36))+MAX(ABS(I36),ABS(J36))</f>
        <v>0</v>
      </c>
      <c r="S36" s="18" t="n">
        <f aca="false">ABS(K36)+MAX(ABS(N36),ABS(O36))+MAX(ABS(P36),ABS(Q36))</f>
        <v>0</v>
      </c>
      <c r="T36" s="18" t="n">
        <f aca="false">MAX(ABS(E36),ABS(F36))</f>
        <v>0</v>
      </c>
      <c r="U36" s="18" t="n">
        <f aca="false">MAX(ABS(L36),ABS(M36))</f>
        <v>0</v>
      </c>
    </row>
    <row r="37" customFormat="false" ht="15" hidden="false" customHeight="false" outlineLevel="0" collapsed="false">
      <c r="A37" s="4" t="n">
        <v>231</v>
      </c>
      <c r="B37" s="4" t="n">
        <v>7</v>
      </c>
      <c r="C37" s="18" t="n">
        <v>0.5</v>
      </c>
      <c r="D37" s="21" t="n">
        <v>0</v>
      </c>
      <c r="E37" s="21" t="n">
        <v>0</v>
      </c>
      <c r="F37" s="21" t="n">
        <v>0</v>
      </c>
      <c r="G37" s="21" t="n">
        <v>0</v>
      </c>
      <c r="H37" s="21" t="n">
        <v>0</v>
      </c>
      <c r="I37" s="21" t="n">
        <v>0</v>
      </c>
      <c r="J37" s="21" t="n">
        <v>0</v>
      </c>
      <c r="K37" s="21" t="n">
        <v>0</v>
      </c>
      <c r="L37" s="21" t="n">
        <v>0</v>
      </c>
      <c r="M37" s="21" t="n">
        <v>0</v>
      </c>
      <c r="N37" s="21" t="n">
        <v>0</v>
      </c>
      <c r="O37" s="21" t="n">
        <v>0</v>
      </c>
      <c r="P37" s="21" t="n">
        <v>0</v>
      </c>
      <c r="Q37" s="21" t="n">
        <v>0</v>
      </c>
      <c r="R37" s="18" t="n">
        <f aca="false">ABS(D37)+MAX(ABS(G37),ABS(H37))+MAX(ABS(I37),ABS(J37))</f>
        <v>0</v>
      </c>
      <c r="S37" s="18" t="n">
        <f aca="false">ABS(K37)+MAX(ABS(N37),ABS(O37))+MAX(ABS(P37),ABS(Q37))</f>
        <v>0</v>
      </c>
      <c r="T37" s="18" t="n">
        <f aca="false">MAX(ABS(E37),ABS(F37))</f>
        <v>0</v>
      </c>
      <c r="U37" s="18" t="n">
        <f aca="false">MAX(ABS(L37),ABS(M37))</f>
        <v>0</v>
      </c>
    </row>
    <row r="38" customFormat="false" ht="15" hidden="false" customHeight="false" outlineLevel="0" collapsed="false">
      <c r="A38" s="4" t="n">
        <v>231</v>
      </c>
      <c r="B38" s="4" t="n">
        <v>7</v>
      </c>
      <c r="C38" s="18" t="n">
        <v>0.75</v>
      </c>
      <c r="D38" s="21" t="n">
        <v>0</v>
      </c>
      <c r="E38" s="21" t="n">
        <v>0</v>
      </c>
      <c r="F38" s="21" t="n">
        <v>0</v>
      </c>
      <c r="G38" s="21" t="n">
        <v>0</v>
      </c>
      <c r="H38" s="21" t="n">
        <v>0</v>
      </c>
      <c r="I38" s="21" t="n">
        <v>0</v>
      </c>
      <c r="J38" s="21" t="n">
        <v>0</v>
      </c>
      <c r="K38" s="21" t="n">
        <v>0</v>
      </c>
      <c r="L38" s="21" t="n">
        <v>0</v>
      </c>
      <c r="M38" s="21" t="n">
        <v>0</v>
      </c>
      <c r="N38" s="21" t="n">
        <v>0</v>
      </c>
      <c r="O38" s="21" t="n">
        <v>0</v>
      </c>
      <c r="P38" s="21" t="n">
        <v>0</v>
      </c>
      <c r="Q38" s="21" t="n">
        <v>0</v>
      </c>
      <c r="R38" s="18" t="n">
        <f aca="false">ABS(D38)+MAX(ABS(G38),ABS(H38))+MAX(ABS(I38),ABS(J38))</f>
        <v>0</v>
      </c>
      <c r="S38" s="18" t="n">
        <f aca="false">ABS(K38)+MAX(ABS(N38),ABS(O38))+MAX(ABS(P38),ABS(Q38))</f>
        <v>0</v>
      </c>
      <c r="T38" s="18" t="n">
        <f aca="false">MAX(ABS(E38),ABS(F38))</f>
        <v>0</v>
      </c>
      <c r="U38" s="18" t="n">
        <f aca="false">MAX(ABS(L38),ABS(M38))</f>
        <v>0</v>
      </c>
    </row>
    <row r="39" customFormat="false" ht="15" hidden="false" customHeight="false" outlineLevel="0" collapsed="false">
      <c r="A39" s="4" t="n">
        <v>231</v>
      </c>
      <c r="B39" s="4" t="n">
        <v>7</v>
      </c>
      <c r="C39" s="18" t="n">
        <v>1</v>
      </c>
      <c r="D39" s="21" t="n">
        <v>0</v>
      </c>
      <c r="E39" s="21" t="n">
        <v>0</v>
      </c>
      <c r="F39" s="21" t="n">
        <v>0</v>
      </c>
      <c r="G39" s="21" t="n">
        <v>0</v>
      </c>
      <c r="H39" s="21" t="n">
        <v>0</v>
      </c>
      <c r="I39" s="21" t="n">
        <v>0</v>
      </c>
      <c r="J39" s="21" t="n">
        <v>0</v>
      </c>
      <c r="K39" s="21" t="n">
        <v>0</v>
      </c>
      <c r="L39" s="21" t="n">
        <v>0</v>
      </c>
      <c r="M39" s="21" t="n">
        <v>0</v>
      </c>
      <c r="N39" s="21" t="n">
        <v>0</v>
      </c>
      <c r="O39" s="21" t="n">
        <v>0</v>
      </c>
      <c r="P39" s="21" t="n">
        <v>0</v>
      </c>
      <c r="Q39" s="21" t="n">
        <v>0</v>
      </c>
      <c r="R39" s="18" t="n">
        <f aca="false">ABS(D39)+MAX(ABS(G39),ABS(H39))+MAX(ABS(I39),ABS(J39))</f>
        <v>0</v>
      </c>
      <c r="S39" s="18" t="n">
        <f aca="false">ABS(K39)+MAX(ABS(N39),ABS(O39))+MAX(ABS(P39),ABS(Q39))</f>
        <v>0</v>
      </c>
      <c r="T39" s="18" t="n">
        <f aca="false">MAX(ABS(E39),ABS(F39))</f>
        <v>0</v>
      </c>
      <c r="U39" s="18" t="n">
        <f aca="false">MAX(ABS(L39),ABS(M39))</f>
        <v>0</v>
      </c>
    </row>
    <row r="40" customFormat="false" ht="15" hidden="false" customHeight="false" outlineLevel="0" collapsed="false">
      <c r="A40" s="4" t="n">
        <v>232</v>
      </c>
      <c r="B40" s="4" t="n">
        <v>8</v>
      </c>
      <c r="C40" s="18" t="n">
        <v>0</v>
      </c>
      <c r="D40" s="21" t="n">
        <v>0</v>
      </c>
      <c r="E40" s="21" t="n">
        <v>0</v>
      </c>
      <c r="F40" s="21" t="n">
        <v>0</v>
      </c>
      <c r="G40" s="21" t="n">
        <v>0</v>
      </c>
      <c r="H40" s="21" t="n">
        <v>0</v>
      </c>
      <c r="I40" s="21" t="n">
        <v>0</v>
      </c>
      <c r="J40" s="21" t="n">
        <v>0</v>
      </c>
      <c r="K40" s="21" t="n">
        <v>0</v>
      </c>
      <c r="L40" s="21" t="n">
        <v>0</v>
      </c>
      <c r="M40" s="21" t="n">
        <v>0</v>
      </c>
      <c r="N40" s="21" t="n">
        <v>0</v>
      </c>
      <c r="O40" s="21" t="n">
        <v>0</v>
      </c>
      <c r="P40" s="21" t="n">
        <v>0</v>
      </c>
      <c r="Q40" s="21" t="n">
        <v>0</v>
      </c>
      <c r="R40" s="18" t="n">
        <f aca="false">ABS(D40)+MAX(ABS(G40),ABS(H40))+MAX(ABS(I40),ABS(J40))</f>
        <v>0</v>
      </c>
      <c r="S40" s="18" t="n">
        <f aca="false">ABS(K40)+MAX(ABS(N40),ABS(O40))+MAX(ABS(P40),ABS(Q40))</f>
        <v>0</v>
      </c>
      <c r="T40" s="18" t="n">
        <f aca="false">MAX(ABS(E40),ABS(F40))</f>
        <v>0</v>
      </c>
      <c r="U40" s="18" t="n">
        <f aca="false">MAX(ABS(L40),ABS(M40))</f>
        <v>0</v>
      </c>
    </row>
    <row r="41" customFormat="false" ht="15" hidden="false" customHeight="false" outlineLevel="0" collapsed="false">
      <c r="A41" s="4" t="n">
        <v>232</v>
      </c>
      <c r="B41" s="4" t="n">
        <v>8</v>
      </c>
      <c r="C41" s="18" t="n">
        <v>0.25</v>
      </c>
      <c r="D41" s="21" t="n">
        <v>0</v>
      </c>
      <c r="E41" s="21" t="n">
        <v>0</v>
      </c>
      <c r="F41" s="21" t="n">
        <v>0</v>
      </c>
      <c r="G41" s="21" t="n">
        <v>0</v>
      </c>
      <c r="H41" s="21" t="n">
        <v>0</v>
      </c>
      <c r="I41" s="21" t="n">
        <v>0</v>
      </c>
      <c r="J41" s="21" t="n">
        <v>0</v>
      </c>
      <c r="K41" s="21" t="n">
        <v>0</v>
      </c>
      <c r="L41" s="21" t="n">
        <v>0</v>
      </c>
      <c r="M41" s="21" t="n">
        <v>0</v>
      </c>
      <c r="N41" s="21" t="n">
        <v>0</v>
      </c>
      <c r="O41" s="21" t="n">
        <v>0</v>
      </c>
      <c r="P41" s="21" t="n">
        <v>0</v>
      </c>
      <c r="Q41" s="21" t="n">
        <v>0</v>
      </c>
      <c r="R41" s="18" t="n">
        <f aca="false">ABS(D41)+MAX(ABS(G41),ABS(H41))+MAX(ABS(I41),ABS(J41))</f>
        <v>0</v>
      </c>
      <c r="S41" s="18" t="n">
        <f aca="false">ABS(K41)+MAX(ABS(N41),ABS(O41))+MAX(ABS(P41),ABS(Q41))</f>
        <v>0</v>
      </c>
      <c r="T41" s="18" t="n">
        <f aca="false">MAX(ABS(E41),ABS(F41))</f>
        <v>0</v>
      </c>
      <c r="U41" s="18" t="n">
        <f aca="false">MAX(ABS(L41),ABS(M41))</f>
        <v>0</v>
      </c>
    </row>
    <row r="42" customFormat="false" ht="15" hidden="false" customHeight="false" outlineLevel="0" collapsed="false">
      <c r="A42" s="4" t="n">
        <v>232</v>
      </c>
      <c r="B42" s="4" t="n">
        <v>8</v>
      </c>
      <c r="C42" s="18" t="n">
        <v>0.5</v>
      </c>
      <c r="D42" s="21" t="n">
        <v>0</v>
      </c>
      <c r="E42" s="21" t="n">
        <v>0</v>
      </c>
      <c r="F42" s="21" t="n">
        <v>0</v>
      </c>
      <c r="G42" s="21" t="n">
        <v>0</v>
      </c>
      <c r="H42" s="21" t="n">
        <v>0</v>
      </c>
      <c r="I42" s="21" t="n">
        <v>0</v>
      </c>
      <c r="J42" s="21" t="n">
        <v>0</v>
      </c>
      <c r="K42" s="21" t="n">
        <v>0</v>
      </c>
      <c r="L42" s="21" t="n">
        <v>0</v>
      </c>
      <c r="M42" s="21" t="n">
        <v>0</v>
      </c>
      <c r="N42" s="21" t="n">
        <v>0</v>
      </c>
      <c r="O42" s="21" t="n">
        <v>0</v>
      </c>
      <c r="P42" s="21" t="n">
        <v>0</v>
      </c>
      <c r="Q42" s="21" t="n">
        <v>0</v>
      </c>
      <c r="R42" s="18" t="n">
        <f aca="false">ABS(D42)+MAX(ABS(G42),ABS(H42))+MAX(ABS(I42),ABS(J42))</f>
        <v>0</v>
      </c>
      <c r="S42" s="18" t="n">
        <f aca="false">ABS(K42)+MAX(ABS(N42),ABS(O42))+MAX(ABS(P42),ABS(Q42))</f>
        <v>0</v>
      </c>
      <c r="T42" s="18" t="n">
        <f aca="false">MAX(ABS(E42),ABS(F42))</f>
        <v>0</v>
      </c>
      <c r="U42" s="18" t="n">
        <f aca="false">MAX(ABS(L42),ABS(M42))</f>
        <v>0</v>
      </c>
    </row>
    <row r="43" customFormat="false" ht="15" hidden="false" customHeight="false" outlineLevel="0" collapsed="false">
      <c r="A43" s="4" t="n">
        <v>232</v>
      </c>
      <c r="B43" s="4" t="n">
        <v>8</v>
      </c>
      <c r="C43" s="18" t="n">
        <v>0.75</v>
      </c>
      <c r="D43" s="21" t="n">
        <v>0</v>
      </c>
      <c r="E43" s="21" t="n">
        <v>0</v>
      </c>
      <c r="F43" s="21" t="n">
        <v>0</v>
      </c>
      <c r="G43" s="21" t="n">
        <v>0</v>
      </c>
      <c r="H43" s="21" t="n">
        <v>0</v>
      </c>
      <c r="I43" s="21" t="n">
        <v>0</v>
      </c>
      <c r="J43" s="21" t="n">
        <v>0</v>
      </c>
      <c r="K43" s="21" t="n">
        <v>0</v>
      </c>
      <c r="L43" s="21" t="n">
        <v>0</v>
      </c>
      <c r="M43" s="21" t="n">
        <v>0</v>
      </c>
      <c r="N43" s="21" t="n">
        <v>0</v>
      </c>
      <c r="O43" s="21" t="n">
        <v>0</v>
      </c>
      <c r="P43" s="21" t="n">
        <v>0</v>
      </c>
      <c r="Q43" s="21" t="n">
        <v>0</v>
      </c>
      <c r="R43" s="18" t="n">
        <f aca="false">ABS(D43)+MAX(ABS(G43),ABS(H43))+MAX(ABS(I43),ABS(J43))</f>
        <v>0</v>
      </c>
      <c r="S43" s="18" t="n">
        <f aca="false">ABS(K43)+MAX(ABS(N43),ABS(O43))+MAX(ABS(P43),ABS(Q43))</f>
        <v>0</v>
      </c>
      <c r="T43" s="18" t="n">
        <f aca="false">MAX(ABS(E43),ABS(F43))</f>
        <v>0</v>
      </c>
      <c r="U43" s="18" t="n">
        <f aca="false">MAX(ABS(L43),ABS(M43))</f>
        <v>0</v>
      </c>
    </row>
    <row r="44" customFormat="false" ht="15" hidden="false" customHeight="false" outlineLevel="0" collapsed="false">
      <c r="A44" s="4" t="n">
        <v>232</v>
      </c>
      <c r="B44" s="4" t="n">
        <v>8</v>
      </c>
      <c r="C44" s="18" t="n">
        <v>1</v>
      </c>
      <c r="D44" s="21" t="n">
        <v>0</v>
      </c>
      <c r="E44" s="21" t="n">
        <v>0</v>
      </c>
      <c r="F44" s="21" t="n">
        <v>0</v>
      </c>
      <c r="G44" s="21" t="n">
        <v>0</v>
      </c>
      <c r="H44" s="21" t="n">
        <v>0</v>
      </c>
      <c r="I44" s="21" t="n">
        <v>0</v>
      </c>
      <c r="J44" s="21" t="n">
        <v>0</v>
      </c>
      <c r="K44" s="21" t="n">
        <v>0</v>
      </c>
      <c r="L44" s="21" t="n">
        <v>0</v>
      </c>
      <c r="M44" s="21" t="n">
        <v>0</v>
      </c>
      <c r="N44" s="21" t="n">
        <v>0</v>
      </c>
      <c r="O44" s="21" t="n">
        <v>0</v>
      </c>
      <c r="P44" s="21" t="n">
        <v>0</v>
      </c>
      <c r="Q44" s="21" t="n">
        <v>0</v>
      </c>
      <c r="R44" s="18" t="n">
        <f aca="false">ABS(D44)+MAX(ABS(G44),ABS(H44))+MAX(ABS(I44),ABS(J44))</f>
        <v>0</v>
      </c>
      <c r="S44" s="18" t="n">
        <f aca="false">ABS(K44)+MAX(ABS(N44),ABS(O44))+MAX(ABS(P44),ABS(Q44))</f>
        <v>0</v>
      </c>
      <c r="T44" s="18" t="n">
        <f aca="false">MAX(ABS(E44),ABS(F44))</f>
        <v>0</v>
      </c>
      <c r="U44" s="18" t="n">
        <f aca="false">MAX(ABS(L44),ABS(M44))</f>
        <v>0</v>
      </c>
    </row>
    <row r="45" customFormat="false" ht="15" hidden="false" customHeight="false" outlineLevel="0" collapsed="false">
      <c r="A45" s="4" t="n">
        <v>233</v>
      </c>
      <c r="B45" s="4" t="n">
        <v>10</v>
      </c>
      <c r="C45" s="18" t="n">
        <v>0</v>
      </c>
      <c r="D45" s="21" t="n">
        <v>0</v>
      </c>
      <c r="E45" s="21" t="n">
        <v>0.02</v>
      </c>
      <c r="F45" s="21" t="n">
        <v>0.03</v>
      </c>
      <c r="G45" s="21" t="n">
        <v>0</v>
      </c>
      <c r="H45" s="21" t="n">
        <v>0</v>
      </c>
      <c r="I45" s="21" t="n">
        <v>0</v>
      </c>
      <c r="J45" s="21" t="n">
        <v>0</v>
      </c>
      <c r="K45" s="21" t="n">
        <v>0</v>
      </c>
      <c r="L45" s="21" t="n">
        <v>0.01</v>
      </c>
      <c r="M45" s="21" t="n">
        <v>0.03</v>
      </c>
      <c r="N45" s="21" t="n">
        <v>0.01</v>
      </c>
      <c r="O45" s="21" t="n">
        <v>-0.01</v>
      </c>
      <c r="P45" s="21" t="n">
        <v>0.03</v>
      </c>
      <c r="Q45" s="21" t="n">
        <v>-0.03</v>
      </c>
      <c r="R45" s="18" t="n">
        <f aca="false">ABS(D45)+MAX(ABS(G45),ABS(H45))+MAX(ABS(I45),ABS(J45))</f>
        <v>0</v>
      </c>
      <c r="S45" s="18" t="n">
        <f aca="false">ABS(K45)+MAX(ABS(N45),ABS(O45))+MAX(ABS(P45),ABS(Q45))</f>
        <v>0.04</v>
      </c>
      <c r="T45" s="18" t="n">
        <f aca="false">MAX(ABS(E45),ABS(F45))</f>
        <v>0.03</v>
      </c>
      <c r="U45" s="18" t="n">
        <f aca="false">MAX(ABS(L45),ABS(M45))</f>
        <v>0.03</v>
      </c>
    </row>
    <row r="46" customFormat="false" ht="15" hidden="false" customHeight="false" outlineLevel="0" collapsed="false">
      <c r="A46" s="4" t="n">
        <v>233</v>
      </c>
      <c r="B46" s="4" t="n">
        <v>10</v>
      </c>
      <c r="C46" s="18" t="n">
        <v>0.25</v>
      </c>
      <c r="D46" s="21" t="n">
        <v>0</v>
      </c>
      <c r="E46" s="21" t="n">
        <v>0.02</v>
      </c>
      <c r="F46" s="21" t="n">
        <v>0.03</v>
      </c>
      <c r="G46" s="21" t="n">
        <v>0</v>
      </c>
      <c r="H46" s="21" t="n">
        <v>0</v>
      </c>
      <c r="I46" s="21" t="n">
        <v>0.01</v>
      </c>
      <c r="J46" s="21" t="n">
        <v>-0.01</v>
      </c>
      <c r="K46" s="21" t="n">
        <v>0</v>
      </c>
      <c r="L46" s="21" t="n">
        <v>0.01</v>
      </c>
      <c r="M46" s="21" t="n">
        <v>0.03</v>
      </c>
      <c r="N46" s="21" t="n">
        <v>0.01</v>
      </c>
      <c r="O46" s="21" t="n">
        <v>-0.01</v>
      </c>
      <c r="P46" s="21" t="n">
        <v>0.05</v>
      </c>
      <c r="Q46" s="21" t="n">
        <v>-0.05</v>
      </c>
      <c r="R46" s="18" t="n">
        <f aca="false">ABS(D46)+MAX(ABS(G46),ABS(H46))+MAX(ABS(I46),ABS(J46))</f>
        <v>0.01</v>
      </c>
      <c r="S46" s="18" t="n">
        <f aca="false">ABS(K46)+MAX(ABS(N46),ABS(O46))+MAX(ABS(P46),ABS(Q46))</f>
        <v>0.06</v>
      </c>
      <c r="T46" s="18" t="n">
        <f aca="false">MAX(ABS(E46),ABS(F46))</f>
        <v>0.03</v>
      </c>
      <c r="U46" s="18" t="n">
        <f aca="false">MAX(ABS(L46),ABS(M46))</f>
        <v>0.03</v>
      </c>
    </row>
    <row r="47" customFormat="false" ht="15" hidden="false" customHeight="false" outlineLevel="0" collapsed="false">
      <c r="A47" s="4" t="n">
        <v>233</v>
      </c>
      <c r="B47" s="4" t="n">
        <v>10</v>
      </c>
      <c r="C47" s="18" t="n">
        <v>0.5</v>
      </c>
      <c r="D47" s="21" t="n">
        <v>0</v>
      </c>
      <c r="E47" s="21" t="n">
        <v>0.02</v>
      </c>
      <c r="F47" s="21" t="n">
        <v>0.03</v>
      </c>
      <c r="G47" s="21" t="n">
        <v>0</v>
      </c>
      <c r="H47" s="21" t="n">
        <v>0</v>
      </c>
      <c r="I47" s="21" t="n">
        <v>0.03</v>
      </c>
      <c r="J47" s="21" t="n">
        <v>-0.03</v>
      </c>
      <c r="K47" s="21" t="n">
        <v>0</v>
      </c>
      <c r="L47" s="21" t="n">
        <v>0.01</v>
      </c>
      <c r="M47" s="21" t="n">
        <v>0.03</v>
      </c>
      <c r="N47" s="21" t="n">
        <v>0.01</v>
      </c>
      <c r="O47" s="21" t="n">
        <v>-0.01</v>
      </c>
      <c r="P47" s="21" t="n">
        <v>0.06</v>
      </c>
      <c r="Q47" s="21" t="n">
        <v>-0.06</v>
      </c>
      <c r="R47" s="18" t="n">
        <f aca="false">ABS(D47)+MAX(ABS(G47),ABS(H47))+MAX(ABS(I47),ABS(J47))</f>
        <v>0.03</v>
      </c>
      <c r="S47" s="18" t="n">
        <f aca="false">ABS(K47)+MAX(ABS(N47),ABS(O47))+MAX(ABS(P47),ABS(Q47))</f>
        <v>0.07</v>
      </c>
      <c r="T47" s="18" t="n">
        <f aca="false">MAX(ABS(E47),ABS(F47))</f>
        <v>0.03</v>
      </c>
      <c r="U47" s="18" t="n">
        <f aca="false">MAX(ABS(L47),ABS(M47))</f>
        <v>0.03</v>
      </c>
    </row>
    <row r="48" customFormat="false" ht="15" hidden="false" customHeight="false" outlineLevel="0" collapsed="false">
      <c r="A48" s="4" t="n">
        <v>233</v>
      </c>
      <c r="B48" s="4" t="n">
        <v>10</v>
      </c>
      <c r="C48" s="18" t="n">
        <v>0.75</v>
      </c>
      <c r="D48" s="21" t="n">
        <v>0</v>
      </c>
      <c r="E48" s="21" t="n">
        <v>0.02</v>
      </c>
      <c r="F48" s="21" t="n">
        <v>0.03</v>
      </c>
      <c r="G48" s="21" t="n">
        <v>0.01</v>
      </c>
      <c r="H48" s="21" t="n">
        <v>-0.01</v>
      </c>
      <c r="I48" s="21" t="n">
        <v>0.05</v>
      </c>
      <c r="J48" s="21" t="n">
        <v>-0.05</v>
      </c>
      <c r="K48" s="21" t="n">
        <v>0</v>
      </c>
      <c r="L48" s="21" t="n">
        <v>0.01</v>
      </c>
      <c r="M48" s="21" t="n">
        <v>0.03</v>
      </c>
      <c r="N48" s="21" t="n">
        <v>0.02</v>
      </c>
      <c r="O48" s="21" t="n">
        <v>-0.02</v>
      </c>
      <c r="P48" s="21" t="n">
        <v>0.08</v>
      </c>
      <c r="Q48" s="21" t="n">
        <v>-0.08</v>
      </c>
      <c r="R48" s="18" t="n">
        <f aca="false">ABS(D48)+MAX(ABS(G48),ABS(H48))+MAX(ABS(I48),ABS(J48))</f>
        <v>0.06</v>
      </c>
      <c r="S48" s="18" t="n">
        <f aca="false">ABS(K48)+MAX(ABS(N48),ABS(O48))+MAX(ABS(P48),ABS(Q48))</f>
        <v>0.1</v>
      </c>
      <c r="T48" s="18" t="n">
        <f aca="false">MAX(ABS(E48),ABS(F48))</f>
        <v>0.03</v>
      </c>
      <c r="U48" s="18" t="n">
        <f aca="false">MAX(ABS(L48),ABS(M48))</f>
        <v>0.03</v>
      </c>
    </row>
    <row r="49" customFormat="false" ht="15" hidden="false" customHeight="false" outlineLevel="0" collapsed="false">
      <c r="A49" s="4" t="n">
        <v>233</v>
      </c>
      <c r="B49" s="4" t="n">
        <v>10</v>
      </c>
      <c r="C49" s="18" t="n">
        <v>1</v>
      </c>
      <c r="D49" s="21" t="n">
        <v>0</v>
      </c>
      <c r="E49" s="21" t="n">
        <v>0.02</v>
      </c>
      <c r="F49" s="21" t="n">
        <v>0.03</v>
      </c>
      <c r="G49" s="21" t="n">
        <v>0.01</v>
      </c>
      <c r="H49" s="21" t="n">
        <v>-0.01</v>
      </c>
      <c r="I49" s="21" t="n">
        <v>0.06</v>
      </c>
      <c r="J49" s="21" t="n">
        <v>-0.06</v>
      </c>
      <c r="K49" s="21" t="n">
        <v>0</v>
      </c>
      <c r="L49" s="21" t="n">
        <v>0.01</v>
      </c>
      <c r="M49" s="21" t="n">
        <v>0.03</v>
      </c>
      <c r="N49" s="21" t="n">
        <v>0.02</v>
      </c>
      <c r="O49" s="21" t="n">
        <v>-0.02</v>
      </c>
      <c r="P49" s="21" t="n">
        <v>0.09</v>
      </c>
      <c r="Q49" s="21" t="n">
        <v>-0.09</v>
      </c>
      <c r="R49" s="18" t="n">
        <f aca="false">ABS(D49)+MAX(ABS(G49),ABS(H49))+MAX(ABS(I49),ABS(J49))</f>
        <v>0.07</v>
      </c>
      <c r="S49" s="18" t="n">
        <f aca="false">ABS(K49)+MAX(ABS(N49),ABS(O49))+MAX(ABS(P49),ABS(Q49))</f>
        <v>0.11</v>
      </c>
      <c r="T49" s="18" t="n">
        <f aca="false">MAX(ABS(E49),ABS(F49))</f>
        <v>0.03</v>
      </c>
      <c r="U49" s="18" t="n">
        <f aca="false">MAX(ABS(L49),ABS(M49))</f>
        <v>0.03</v>
      </c>
    </row>
    <row r="50" customFormat="false" ht="15" hidden="false" customHeight="false" outlineLevel="0" collapsed="false">
      <c r="A50" s="4" t="n">
        <v>234</v>
      </c>
      <c r="B50" s="4" t="n">
        <v>11</v>
      </c>
      <c r="C50" s="18" t="n">
        <v>0</v>
      </c>
      <c r="D50" s="21" t="n">
        <v>0</v>
      </c>
      <c r="E50" s="21" t="n">
        <v>0</v>
      </c>
      <c r="F50" s="21" t="n">
        <v>0</v>
      </c>
      <c r="G50" s="21" t="n">
        <v>0</v>
      </c>
      <c r="H50" s="21" t="n">
        <v>0</v>
      </c>
      <c r="I50" s="21" t="n">
        <v>0</v>
      </c>
      <c r="J50" s="21" t="n">
        <v>0</v>
      </c>
      <c r="K50" s="21" t="n">
        <v>0</v>
      </c>
      <c r="L50" s="21" t="n">
        <v>0.01</v>
      </c>
      <c r="M50" s="21" t="n">
        <v>0</v>
      </c>
      <c r="N50" s="21" t="n">
        <v>0</v>
      </c>
      <c r="O50" s="21" t="n">
        <v>0</v>
      </c>
      <c r="P50" s="21" t="n">
        <v>0</v>
      </c>
      <c r="Q50" s="21" t="n">
        <v>0</v>
      </c>
      <c r="R50" s="18" t="n">
        <f aca="false">ABS(D50)+MAX(ABS(G50),ABS(H50))+MAX(ABS(I50),ABS(J50))</f>
        <v>0</v>
      </c>
      <c r="S50" s="18" t="n">
        <f aca="false">ABS(K50)+MAX(ABS(N50),ABS(O50))+MAX(ABS(P50),ABS(Q50))</f>
        <v>0</v>
      </c>
      <c r="T50" s="18" t="n">
        <f aca="false">MAX(ABS(E50),ABS(F50))</f>
        <v>0</v>
      </c>
      <c r="U50" s="18" t="n">
        <f aca="false">MAX(ABS(L50),ABS(M50))</f>
        <v>0.01</v>
      </c>
    </row>
    <row r="51" customFormat="false" ht="15" hidden="false" customHeight="false" outlineLevel="0" collapsed="false">
      <c r="A51" s="4" t="n">
        <v>234</v>
      </c>
      <c r="B51" s="4" t="n">
        <v>11</v>
      </c>
      <c r="C51" s="18" t="n">
        <v>0.25</v>
      </c>
      <c r="D51" s="21" t="n">
        <v>0</v>
      </c>
      <c r="E51" s="21" t="n">
        <v>0</v>
      </c>
      <c r="F51" s="21" t="n">
        <v>0</v>
      </c>
      <c r="G51" s="21" t="n">
        <v>0</v>
      </c>
      <c r="H51" s="21" t="n">
        <v>0</v>
      </c>
      <c r="I51" s="21" t="n">
        <v>0</v>
      </c>
      <c r="J51" s="21" t="n">
        <v>0</v>
      </c>
      <c r="K51" s="21" t="n">
        <v>0</v>
      </c>
      <c r="L51" s="21" t="n">
        <v>0.01</v>
      </c>
      <c r="M51" s="21" t="n">
        <v>0</v>
      </c>
      <c r="N51" s="21" t="n">
        <v>0</v>
      </c>
      <c r="O51" s="21" t="n">
        <v>0</v>
      </c>
      <c r="P51" s="21" t="n">
        <v>0</v>
      </c>
      <c r="Q51" s="21" t="n">
        <v>0</v>
      </c>
      <c r="R51" s="18" t="n">
        <f aca="false">ABS(D51)+MAX(ABS(G51),ABS(H51))+MAX(ABS(I51),ABS(J51))</f>
        <v>0</v>
      </c>
      <c r="S51" s="18" t="n">
        <f aca="false">ABS(K51)+MAX(ABS(N51),ABS(O51))+MAX(ABS(P51),ABS(Q51))</f>
        <v>0</v>
      </c>
      <c r="T51" s="18" t="n">
        <f aca="false">MAX(ABS(E51),ABS(F51))</f>
        <v>0</v>
      </c>
      <c r="U51" s="18" t="n">
        <f aca="false">MAX(ABS(L51),ABS(M51))</f>
        <v>0.01</v>
      </c>
    </row>
    <row r="52" customFormat="false" ht="15" hidden="false" customHeight="false" outlineLevel="0" collapsed="false">
      <c r="A52" s="4" t="n">
        <v>234</v>
      </c>
      <c r="B52" s="4" t="n">
        <v>11</v>
      </c>
      <c r="C52" s="18" t="n">
        <v>0.5</v>
      </c>
      <c r="D52" s="21" t="n">
        <v>0</v>
      </c>
      <c r="E52" s="21" t="n">
        <v>0</v>
      </c>
      <c r="F52" s="21" t="n">
        <v>0</v>
      </c>
      <c r="G52" s="21" t="n">
        <v>0</v>
      </c>
      <c r="H52" s="21" t="n">
        <v>0</v>
      </c>
      <c r="I52" s="21" t="n">
        <v>0</v>
      </c>
      <c r="J52" s="21" t="n">
        <v>0</v>
      </c>
      <c r="K52" s="21" t="n">
        <v>0</v>
      </c>
      <c r="L52" s="21" t="n">
        <v>0.01</v>
      </c>
      <c r="M52" s="21" t="n">
        <v>0</v>
      </c>
      <c r="N52" s="21" t="n">
        <v>0</v>
      </c>
      <c r="O52" s="21" t="n">
        <v>0</v>
      </c>
      <c r="P52" s="21" t="n">
        <v>0</v>
      </c>
      <c r="Q52" s="21" t="n">
        <v>0</v>
      </c>
      <c r="R52" s="18" t="n">
        <f aca="false">ABS(D52)+MAX(ABS(G52),ABS(H52))+MAX(ABS(I52),ABS(J52))</f>
        <v>0</v>
      </c>
      <c r="S52" s="18" t="n">
        <f aca="false">ABS(K52)+MAX(ABS(N52),ABS(O52))+MAX(ABS(P52),ABS(Q52))</f>
        <v>0</v>
      </c>
      <c r="T52" s="18" t="n">
        <f aca="false">MAX(ABS(E52),ABS(F52))</f>
        <v>0</v>
      </c>
      <c r="U52" s="18" t="n">
        <f aca="false">MAX(ABS(L52),ABS(M52))</f>
        <v>0.01</v>
      </c>
    </row>
    <row r="53" customFormat="false" ht="15" hidden="false" customHeight="false" outlineLevel="0" collapsed="false">
      <c r="A53" s="4" t="n">
        <v>234</v>
      </c>
      <c r="B53" s="4" t="n">
        <v>11</v>
      </c>
      <c r="C53" s="18" t="n">
        <v>0.75</v>
      </c>
      <c r="D53" s="21" t="n">
        <v>0</v>
      </c>
      <c r="E53" s="21" t="n">
        <v>0</v>
      </c>
      <c r="F53" s="21" t="n">
        <v>0</v>
      </c>
      <c r="G53" s="21" t="n">
        <v>0</v>
      </c>
      <c r="H53" s="21" t="n">
        <v>0</v>
      </c>
      <c r="I53" s="21" t="n">
        <v>0.01</v>
      </c>
      <c r="J53" s="21" t="n">
        <v>-0.01</v>
      </c>
      <c r="K53" s="21" t="n">
        <v>0</v>
      </c>
      <c r="L53" s="21" t="n">
        <v>0.01</v>
      </c>
      <c r="M53" s="21" t="n">
        <v>0</v>
      </c>
      <c r="N53" s="21" t="n">
        <v>0</v>
      </c>
      <c r="O53" s="21" t="n">
        <v>0</v>
      </c>
      <c r="P53" s="21" t="n">
        <v>0.01</v>
      </c>
      <c r="Q53" s="21" t="n">
        <v>-0.01</v>
      </c>
      <c r="R53" s="18" t="n">
        <f aca="false">ABS(D53)+MAX(ABS(G53),ABS(H53))+MAX(ABS(I53),ABS(J53))</f>
        <v>0.01</v>
      </c>
      <c r="S53" s="18" t="n">
        <f aca="false">ABS(K53)+MAX(ABS(N53),ABS(O53))+MAX(ABS(P53),ABS(Q53))</f>
        <v>0.01</v>
      </c>
      <c r="T53" s="18" t="n">
        <f aca="false">MAX(ABS(E53),ABS(F53))</f>
        <v>0</v>
      </c>
      <c r="U53" s="18" t="n">
        <f aca="false">MAX(ABS(L53),ABS(M53))</f>
        <v>0.01</v>
      </c>
    </row>
    <row r="54" customFormat="false" ht="15" hidden="false" customHeight="false" outlineLevel="0" collapsed="false">
      <c r="A54" s="4" t="n">
        <v>234</v>
      </c>
      <c r="B54" s="4" t="n">
        <v>11</v>
      </c>
      <c r="C54" s="18" t="n">
        <v>1</v>
      </c>
      <c r="D54" s="21" t="n">
        <v>0</v>
      </c>
      <c r="E54" s="21" t="n">
        <v>0</v>
      </c>
      <c r="F54" s="21" t="n">
        <v>0</v>
      </c>
      <c r="G54" s="21" t="n">
        <v>0</v>
      </c>
      <c r="H54" s="21" t="n">
        <v>0</v>
      </c>
      <c r="I54" s="21" t="n">
        <v>0.01</v>
      </c>
      <c r="J54" s="21" t="n">
        <v>-0.01</v>
      </c>
      <c r="K54" s="21" t="n">
        <v>0</v>
      </c>
      <c r="L54" s="21" t="n">
        <v>0.01</v>
      </c>
      <c r="M54" s="21" t="n">
        <v>0</v>
      </c>
      <c r="N54" s="21" t="n">
        <v>0.01</v>
      </c>
      <c r="O54" s="21" t="n">
        <v>-0.01</v>
      </c>
      <c r="P54" s="21" t="n">
        <v>0.01</v>
      </c>
      <c r="Q54" s="21" t="n">
        <v>-0.01</v>
      </c>
      <c r="R54" s="18" t="n">
        <f aca="false">ABS(D54)+MAX(ABS(G54),ABS(H54))+MAX(ABS(I54),ABS(J54))</f>
        <v>0.01</v>
      </c>
      <c r="S54" s="18" t="n">
        <f aca="false">ABS(K54)+MAX(ABS(N54),ABS(O54))+MAX(ABS(P54),ABS(Q54))</f>
        <v>0.02</v>
      </c>
      <c r="T54" s="18" t="n">
        <f aca="false">MAX(ABS(E54),ABS(F54))</f>
        <v>0</v>
      </c>
      <c r="U54" s="18" t="n">
        <f aca="false">MAX(ABS(L54),ABS(M54))</f>
        <v>0.01</v>
      </c>
    </row>
    <row r="55" customFormat="false" ht="15" hidden="false" customHeight="false" outlineLevel="0" collapsed="false">
      <c r="A55" s="4" t="n">
        <v>235</v>
      </c>
      <c r="B55" s="4" t="n">
        <v>12</v>
      </c>
      <c r="C55" s="18" t="n">
        <v>0</v>
      </c>
      <c r="D55" s="21" t="n">
        <v>0</v>
      </c>
      <c r="E55" s="21" t="n">
        <v>0.02</v>
      </c>
      <c r="F55" s="21" t="n">
        <v>0.05</v>
      </c>
      <c r="G55" s="21" t="n">
        <v>0.02</v>
      </c>
      <c r="H55" s="21" t="n">
        <v>-0.02</v>
      </c>
      <c r="I55" s="21" t="n">
        <v>-0.3</v>
      </c>
      <c r="J55" s="21" t="n">
        <v>0.3</v>
      </c>
      <c r="K55" s="21" t="n">
        <v>0</v>
      </c>
      <c r="L55" s="21" t="n">
        <v>0.02</v>
      </c>
      <c r="M55" s="21" t="n">
        <v>0.05</v>
      </c>
      <c r="N55" s="21" t="n">
        <v>0.02</v>
      </c>
      <c r="O55" s="21" t="n">
        <v>-0.02</v>
      </c>
      <c r="P55" s="21" t="n">
        <v>-0.33</v>
      </c>
      <c r="Q55" s="21" t="n">
        <v>0.33</v>
      </c>
      <c r="R55" s="18" t="n">
        <f aca="false">ABS(D55)+MAX(ABS(G55),ABS(H55))+MAX(ABS(I55),ABS(J55))</f>
        <v>0.32</v>
      </c>
      <c r="S55" s="18" t="n">
        <f aca="false">ABS(K55)+MAX(ABS(N55),ABS(O55))+MAX(ABS(P55),ABS(Q55))</f>
        <v>0.35</v>
      </c>
      <c r="T55" s="18" t="n">
        <f aca="false">MAX(ABS(E55),ABS(F55))</f>
        <v>0.05</v>
      </c>
      <c r="U55" s="18" t="n">
        <f aca="false">MAX(ABS(L55),ABS(M55))</f>
        <v>0.05</v>
      </c>
    </row>
    <row r="56" customFormat="false" ht="15" hidden="false" customHeight="false" outlineLevel="0" collapsed="false">
      <c r="A56" s="4" t="n">
        <v>235</v>
      </c>
      <c r="B56" s="4" t="n">
        <v>12</v>
      </c>
      <c r="C56" s="18" t="n">
        <v>0.25</v>
      </c>
      <c r="D56" s="21" t="n">
        <v>0</v>
      </c>
      <c r="E56" s="21" t="n">
        <v>0.02</v>
      </c>
      <c r="F56" s="21" t="n">
        <v>0.05</v>
      </c>
      <c r="G56" s="21" t="n">
        <v>0.01</v>
      </c>
      <c r="H56" s="21" t="n">
        <v>-0.01</v>
      </c>
      <c r="I56" s="21" t="n">
        <v>-0.25</v>
      </c>
      <c r="J56" s="21" t="n">
        <v>0.25</v>
      </c>
      <c r="K56" s="21" t="n">
        <v>0</v>
      </c>
      <c r="L56" s="21" t="n">
        <v>0.02</v>
      </c>
      <c r="M56" s="21" t="n">
        <v>0.05</v>
      </c>
      <c r="N56" s="21" t="n">
        <v>0.01</v>
      </c>
      <c r="O56" s="21" t="n">
        <v>-0.01</v>
      </c>
      <c r="P56" s="21" t="n">
        <v>-0.28</v>
      </c>
      <c r="Q56" s="21" t="n">
        <v>0.28</v>
      </c>
      <c r="R56" s="18" t="n">
        <f aca="false">ABS(D56)+MAX(ABS(G56),ABS(H56))+MAX(ABS(I56),ABS(J56))</f>
        <v>0.26</v>
      </c>
      <c r="S56" s="18" t="n">
        <f aca="false">ABS(K56)+MAX(ABS(N56),ABS(O56))+MAX(ABS(P56),ABS(Q56))</f>
        <v>0.29</v>
      </c>
      <c r="T56" s="18" t="n">
        <f aca="false">MAX(ABS(E56),ABS(F56))</f>
        <v>0.05</v>
      </c>
      <c r="U56" s="18" t="n">
        <f aca="false">MAX(ABS(L56),ABS(M56))</f>
        <v>0.05</v>
      </c>
    </row>
    <row r="57" customFormat="false" ht="15" hidden="false" customHeight="false" outlineLevel="0" collapsed="false">
      <c r="A57" s="4" t="n">
        <v>235</v>
      </c>
      <c r="B57" s="4" t="n">
        <v>12</v>
      </c>
      <c r="C57" s="18" t="n">
        <v>0.5</v>
      </c>
      <c r="D57" s="21" t="n">
        <v>0</v>
      </c>
      <c r="E57" s="21" t="n">
        <v>0.02</v>
      </c>
      <c r="F57" s="21" t="n">
        <v>0.05</v>
      </c>
      <c r="G57" s="21" t="n">
        <v>0</v>
      </c>
      <c r="H57" s="21" t="n">
        <v>0</v>
      </c>
      <c r="I57" s="21" t="n">
        <v>-0.2</v>
      </c>
      <c r="J57" s="21" t="n">
        <v>0.2</v>
      </c>
      <c r="K57" s="21" t="n">
        <v>0</v>
      </c>
      <c r="L57" s="21" t="n">
        <v>0.02</v>
      </c>
      <c r="M57" s="21" t="n">
        <v>0.05</v>
      </c>
      <c r="N57" s="21" t="n">
        <v>0</v>
      </c>
      <c r="O57" s="21" t="n">
        <v>0</v>
      </c>
      <c r="P57" s="21" t="n">
        <v>-0.22</v>
      </c>
      <c r="Q57" s="21" t="n">
        <v>0.22</v>
      </c>
      <c r="R57" s="18" t="n">
        <f aca="false">ABS(D57)+MAX(ABS(G57),ABS(H57))+MAX(ABS(I57),ABS(J57))</f>
        <v>0.2</v>
      </c>
      <c r="S57" s="18" t="n">
        <f aca="false">ABS(K57)+MAX(ABS(N57),ABS(O57))+MAX(ABS(P57),ABS(Q57))</f>
        <v>0.22</v>
      </c>
      <c r="T57" s="18" t="n">
        <f aca="false">MAX(ABS(E57),ABS(F57))</f>
        <v>0.05</v>
      </c>
      <c r="U57" s="18" t="n">
        <f aca="false">MAX(ABS(L57),ABS(M57))</f>
        <v>0.05</v>
      </c>
    </row>
    <row r="58" customFormat="false" ht="15" hidden="false" customHeight="false" outlineLevel="0" collapsed="false">
      <c r="A58" s="4" t="n">
        <v>235</v>
      </c>
      <c r="B58" s="4" t="n">
        <v>12</v>
      </c>
      <c r="C58" s="18" t="n">
        <v>0.75</v>
      </c>
      <c r="D58" s="21" t="n">
        <v>0</v>
      </c>
      <c r="E58" s="21" t="n">
        <v>0.02</v>
      </c>
      <c r="F58" s="21" t="n">
        <v>0.05</v>
      </c>
      <c r="G58" s="21" t="n">
        <v>-0.01</v>
      </c>
      <c r="H58" s="21" t="n">
        <v>0.01</v>
      </c>
      <c r="I58" s="21" t="n">
        <v>-0.14</v>
      </c>
      <c r="J58" s="21" t="n">
        <v>0.14</v>
      </c>
      <c r="K58" s="21" t="n">
        <v>0</v>
      </c>
      <c r="L58" s="21" t="n">
        <v>0.02</v>
      </c>
      <c r="M58" s="21" t="n">
        <v>0.05</v>
      </c>
      <c r="N58" s="21" t="n">
        <v>0</v>
      </c>
      <c r="O58" s="21" t="n">
        <v>0</v>
      </c>
      <c r="P58" s="21" t="n">
        <v>-0.17</v>
      </c>
      <c r="Q58" s="21" t="n">
        <v>0.17</v>
      </c>
      <c r="R58" s="18" t="n">
        <f aca="false">ABS(D58)+MAX(ABS(G58),ABS(H58))+MAX(ABS(I58),ABS(J58))</f>
        <v>0.15</v>
      </c>
      <c r="S58" s="18" t="n">
        <f aca="false">ABS(K58)+MAX(ABS(N58),ABS(O58))+MAX(ABS(P58),ABS(Q58))</f>
        <v>0.17</v>
      </c>
      <c r="T58" s="18" t="n">
        <f aca="false">MAX(ABS(E58),ABS(F58))</f>
        <v>0.05</v>
      </c>
      <c r="U58" s="18" t="n">
        <f aca="false">MAX(ABS(L58),ABS(M58))</f>
        <v>0.05</v>
      </c>
    </row>
    <row r="59" customFormat="false" ht="15" hidden="false" customHeight="false" outlineLevel="0" collapsed="false">
      <c r="A59" s="4" t="n">
        <v>235</v>
      </c>
      <c r="B59" s="4" t="n">
        <v>12</v>
      </c>
      <c r="C59" s="18" t="n">
        <v>1</v>
      </c>
      <c r="D59" s="21" t="n">
        <v>0</v>
      </c>
      <c r="E59" s="21" t="n">
        <v>0.02</v>
      </c>
      <c r="F59" s="21" t="n">
        <v>0.05</v>
      </c>
      <c r="G59" s="21" t="n">
        <v>-0.01</v>
      </c>
      <c r="H59" s="21" t="n">
        <v>0.01</v>
      </c>
      <c r="I59" s="21" t="n">
        <v>-0.09</v>
      </c>
      <c r="J59" s="21" t="n">
        <v>0.09</v>
      </c>
      <c r="K59" s="21" t="n">
        <v>0</v>
      </c>
      <c r="L59" s="21" t="n">
        <v>0.02</v>
      </c>
      <c r="M59" s="21" t="n">
        <v>0.05</v>
      </c>
      <c r="N59" s="21" t="n">
        <v>-0.01</v>
      </c>
      <c r="O59" s="21" t="n">
        <v>0.01</v>
      </c>
      <c r="P59" s="21" t="n">
        <v>-0.11</v>
      </c>
      <c r="Q59" s="21" t="n">
        <v>0.11</v>
      </c>
      <c r="R59" s="18" t="n">
        <f aca="false">ABS(D59)+MAX(ABS(G59),ABS(H59))+MAX(ABS(I59),ABS(J59))</f>
        <v>0.1</v>
      </c>
      <c r="S59" s="18" t="n">
        <f aca="false">ABS(K59)+MAX(ABS(N59),ABS(O59))+MAX(ABS(P59),ABS(Q59))</f>
        <v>0.12</v>
      </c>
      <c r="T59" s="18" t="n">
        <f aca="false">MAX(ABS(E59),ABS(F59))</f>
        <v>0.05</v>
      </c>
      <c r="U59" s="18" t="n">
        <f aca="false">MAX(ABS(L59),ABS(M59))</f>
        <v>0.05</v>
      </c>
    </row>
    <row r="60" customFormat="false" ht="15" hidden="false" customHeight="false" outlineLevel="0" collapsed="false">
      <c r="A60" s="4" t="n">
        <v>236</v>
      </c>
      <c r="B60" s="4" t="n">
        <v>13</v>
      </c>
      <c r="C60" s="18" t="n">
        <v>0</v>
      </c>
      <c r="D60" s="21" t="n">
        <v>-0.01</v>
      </c>
      <c r="E60" s="21" t="n">
        <v>0</v>
      </c>
      <c r="F60" s="21" t="n">
        <v>0</v>
      </c>
      <c r="G60" s="21" t="n">
        <v>0</v>
      </c>
      <c r="H60" s="21" t="n">
        <v>0</v>
      </c>
      <c r="I60" s="21" t="n">
        <v>0.01</v>
      </c>
      <c r="J60" s="21" t="n">
        <v>-0.01</v>
      </c>
      <c r="K60" s="21" t="n">
        <v>-0.01</v>
      </c>
      <c r="L60" s="21" t="n">
        <v>0</v>
      </c>
      <c r="M60" s="21" t="n">
        <v>0</v>
      </c>
      <c r="N60" s="21" t="n">
        <v>0</v>
      </c>
      <c r="O60" s="21" t="n">
        <v>0</v>
      </c>
      <c r="P60" s="21" t="n">
        <v>0.02</v>
      </c>
      <c r="Q60" s="21" t="n">
        <v>-0.01</v>
      </c>
      <c r="R60" s="18" t="n">
        <f aca="false">ABS(D60)+MAX(ABS(G60),ABS(H60))+MAX(ABS(I60),ABS(J60))</f>
        <v>0.02</v>
      </c>
      <c r="S60" s="18" t="n">
        <f aca="false">ABS(K60)+MAX(ABS(N60),ABS(O60))+MAX(ABS(P60),ABS(Q60))</f>
        <v>0.03</v>
      </c>
      <c r="T60" s="18" t="n">
        <f aca="false">MAX(ABS(E60),ABS(F60))</f>
        <v>0</v>
      </c>
      <c r="U60" s="18" t="n">
        <f aca="false">MAX(ABS(L60),ABS(M60))</f>
        <v>0</v>
      </c>
    </row>
    <row r="61" customFormat="false" ht="15" hidden="false" customHeight="false" outlineLevel="0" collapsed="false">
      <c r="A61" s="4" t="n">
        <v>236</v>
      </c>
      <c r="B61" s="4" t="n">
        <v>13</v>
      </c>
      <c r="C61" s="18" t="n">
        <v>0.25</v>
      </c>
      <c r="D61" s="21" t="n">
        <v>-0.01</v>
      </c>
      <c r="E61" s="21" t="n">
        <v>0</v>
      </c>
      <c r="F61" s="21" t="n">
        <v>0</v>
      </c>
      <c r="G61" s="21" t="n">
        <v>0</v>
      </c>
      <c r="H61" s="21" t="n">
        <v>0</v>
      </c>
      <c r="I61" s="21" t="n">
        <v>0.01</v>
      </c>
      <c r="J61" s="21" t="n">
        <v>0</v>
      </c>
      <c r="K61" s="21" t="n">
        <v>-0.01</v>
      </c>
      <c r="L61" s="21" t="n">
        <v>0</v>
      </c>
      <c r="M61" s="21" t="n">
        <v>0</v>
      </c>
      <c r="N61" s="21" t="n">
        <v>0</v>
      </c>
      <c r="O61" s="21" t="n">
        <v>0</v>
      </c>
      <c r="P61" s="21" t="n">
        <v>0.01</v>
      </c>
      <c r="Q61" s="21" t="n">
        <v>-0.01</v>
      </c>
      <c r="R61" s="18" t="n">
        <f aca="false">ABS(D61)+MAX(ABS(G61),ABS(H61))+MAX(ABS(I61),ABS(J61))</f>
        <v>0.02</v>
      </c>
      <c r="S61" s="18" t="n">
        <f aca="false">ABS(K61)+MAX(ABS(N61),ABS(O61))+MAX(ABS(P61),ABS(Q61))</f>
        <v>0.02</v>
      </c>
      <c r="T61" s="18" t="n">
        <f aca="false">MAX(ABS(E61),ABS(F61))</f>
        <v>0</v>
      </c>
      <c r="U61" s="18" t="n">
        <f aca="false">MAX(ABS(L61),ABS(M61))</f>
        <v>0</v>
      </c>
    </row>
    <row r="62" customFormat="false" ht="15" hidden="false" customHeight="false" outlineLevel="0" collapsed="false">
      <c r="A62" s="4" t="n">
        <v>236</v>
      </c>
      <c r="B62" s="4" t="n">
        <v>13</v>
      </c>
      <c r="C62" s="18" t="n">
        <v>0.5</v>
      </c>
      <c r="D62" s="21" t="n">
        <v>-0.01</v>
      </c>
      <c r="E62" s="21" t="n">
        <v>0</v>
      </c>
      <c r="F62" s="21" t="n">
        <v>0</v>
      </c>
      <c r="G62" s="21" t="n">
        <v>0</v>
      </c>
      <c r="H62" s="21" t="n">
        <v>0</v>
      </c>
      <c r="I62" s="21" t="n">
        <v>0</v>
      </c>
      <c r="J62" s="21" t="n">
        <v>0</v>
      </c>
      <c r="K62" s="21" t="n">
        <v>-0.01</v>
      </c>
      <c r="L62" s="21" t="n">
        <v>0</v>
      </c>
      <c r="M62" s="21" t="n">
        <v>0</v>
      </c>
      <c r="N62" s="21" t="n">
        <v>0</v>
      </c>
      <c r="O62" s="21" t="n">
        <v>0</v>
      </c>
      <c r="P62" s="21" t="n">
        <v>0</v>
      </c>
      <c r="Q62" s="21" t="n">
        <v>0</v>
      </c>
      <c r="R62" s="18" t="n">
        <f aca="false">ABS(D62)+MAX(ABS(G62),ABS(H62))+MAX(ABS(I62),ABS(J62))</f>
        <v>0.01</v>
      </c>
      <c r="S62" s="18" t="n">
        <f aca="false">ABS(K62)+MAX(ABS(N62),ABS(O62))+MAX(ABS(P62),ABS(Q62))</f>
        <v>0.01</v>
      </c>
      <c r="T62" s="18" t="n">
        <f aca="false">MAX(ABS(E62),ABS(F62))</f>
        <v>0</v>
      </c>
      <c r="U62" s="18" t="n">
        <f aca="false">MAX(ABS(L62),ABS(M62))</f>
        <v>0</v>
      </c>
    </row>
    <row r="63" customFormat="false" ht="15" hidden="false" customHeight="false" outlineLevel="0" collapsed="false">
      <c r="A63" s="4" t="n">
        <v>236</v>
      </c>
      <c r="B63" s="4" t="n">
        <v>13</v>
      </c>
      <c r="C63" s="18" t="n">
        <v>0.75</v>
      </c>
      <c r="D63" s="21" t="n">
        <v>-0.01</v>
      </c>
      <c r="E63" s="21" t="n">
        <v>0</v>
      </c>
      <c r="F63" s="21" t="n">
        <v>0</v>
      </c>
      <c r="G63" s="21" t="n">
        <v>-0.01</v>
      </c>
      <c r="H63" s="21" t="n">
        <v>0.01</v>
      </c>
      <c r="I63" s="21" t="n">
        <v>0</v>
      </c>
      <c r="J63" s="21" t="n">
        <v>0</v>
      </c>
      <c r="K63" s="21" t="n">
        <v>-0.01</v>
      </c>
      <c r="L63" s="21" t="n">
        <v>0</v>
      </c>
      <c r="M63" s="21" t="n">
        <v>0</v>
      </c>
      <c r="N63" s="21" t="n">
        <v>-0.01</v>
      </c>
      <c r="O63" s="21" t="n">
        <v>0.01</v>
      </c>
      <c r="P63" s="21" t="n">
        <v>0</v>
      </c>
      <c r="Q63" s="21" t="n">
        <v>0</v>
      </c>
      <c r="R63" s="18" t="n">
        <f aca="false">ABS(D63)+MAX(ABS(G63),ABS(H63))+MAX(ABS(I63),ABS(J63))</f>
        <v>0.02</v>
      </c>
      <c r="S63" s="18" t="n">
        <f aca="false">ABS(K63)+MAX(ABS(N63),ABS(O63))+MAX(ABS(P63),ABS(Q63))</f>
        <v>0.02</v>
      </c>
      <c r="T63" s="18" t="n">
        <f aca="false">MAX(ABS(E63),ABS(F63))</f>
        <v>0</v>
      </c>
      <c r="U63" s="18" t="n">
        <f aca="false">MAX(ABS(L63),ABS(M63))</f>
        <v>0</v>
      </c>
    </row>
    <row r="64" customFormat="false" ht="15" hidden="false" customHeight="false" outlineLevel="0" collapsed="false">
      <c r="A64" s="4" t="n">
        <v>236</v>
      </c>
      <c r="B64" s="4" t="n">
        <v>13</v>
      </c>
      <c r="C64" s="18" t="n">
        <v>1</v>
      </c>
      <c r="D64" s="21" t="n">
        <v>-0.01</v>
      </c>
      <c r="E64" s="21" t="n">
        <v>0</v>
      </c>
      <c r="F64" s="21" t="n">
        <v>0</v>
      </c>
      <c r="G64" s="21" t="n">
        <v>-0.01</v>
      </c>
      <c r="H64" s="21" t="n">
        <v>0.01</v>
      </c>
      <c r="I64" s="21" t="n">
        <v>-0.01</v>
      </c>
      <c r="J64" s="21" t="n">
        <v>0</v>
      </c>
      <c r="K64" s="21" t="n">
        <v>-0.01</v>
      </c>
      <c r="L64" s="21" t="n">
        <v>0</v>
      </c>
      <c r="M64" s="21" t="n">
        <v>0</v>
      </c>
      <c r="N64" s="21" t="n">
        <v>-0.01</v>
      </c>
      <c r="O64" s="21" t="n">
        <v>0.01</v>
      </c>
      <c r="P64" s="21" t="n">
        <v>-0.01</v>
      </c>
      <c r="Q64" s="21" t="n">
        <v>0.01</v>
      </c>
      <c r="R64" s="18" t="n">
        <f aca="false">ABS(D64)+MAX(ABS(G64),ABS(H64))+MAX(ABS(I64),ABS(J64))</f>
        <v>0.03</v>
      </c>
      <c r="S64" s="18" t="n">
        <f aca="false">ABS(K64)+MAX(ABS(N64),ABS(O64))+MAX(ABS(P64),ABS(Q64))</f>
        <v>0.03</v>
      </c>
      <c r="T64" s="18" t="n">
        <f aca="false">MAX(ABS(E64),ABS(F64))</f>
        <v>0</v>
      </c>
      <c r="U64" s="18" t="n">
        <f aca="false">MAX(ABS(L64),ABS(M64))</f>
        <v>0</v>
      </c>
    </row>
    <row r="65" customFormat="false" ht="15" hidden="false" customHeight="false" outlineLevel="0" collapsed="false">
      <c r="A65" s="4" t="n">
        <v>237</v>
      </c>
      <c r="B65" s="4" t="n">
        <v>14</v>
      </c>
      <c r="C65" s="18" t="n">
        <v>0</v>
      </c>
      <c r="D65" s="21" t="n">
        <v>-0.01</v>
      </c>
      <c r="E65" s="21" t="n">
        <v>0</v>
      </c>
      <c r="F65" s="21" t="n">
        <v>0</v>
      </c>
      <c r="G65" s="21" t="n">
        <v>-0.01</v>
      </c>
      <c r="H65" s="21" t="n">
        <v>0.01</v>
      </c>
      <c r="I65" s="21" t="n">
        <v>0.01</v>
      </c>
      <c r="J65" s="21" t="n">
        <v>0</v>
      </c>
      <c r="K65" s="21" t="n">
        <v>-0.01</v>
      </c>
      <c r="L65" s="21" t="n">
        <v>0</v>
      </c>
      <c r="M65" s="21" t="n">
        <v>0</v>
      </c>
      <c r="N65" s="21" t="n">
        <v>-0.01</v>
      </c>
      <c r="O65" s="21" t="n">
        <v>0.01</v>
      </c>
      <c r="P65" s="21" t="n">
        <v>0.01</v>
      </c>
      <c r="Q65" s="21" t="n">
        <v>0</v>
      </c>
      <c r="R65" s="18" t="n">
        <f aca="false">ABS(D65)+MAX(ABS(G65),ABS(H65))+MAX(ABS(I65),ABS(J65))</f>
        <v>0.03</v>
      </c>
      <c r="S65" s="18" t="n">
        <f aca="false">ABS(K65)+MAX(ABS(N65),ABS(O65))+MAX(ABS(P65),ABS(Q65))</f>
        <v>0.03</v>
      </c>
      <c r="T65" s="18" t="n">
        <f aca="false">MAX(ABS(E65),ABS(F65))</f>
        <v>0</v>
      </c>
      <c r="U65" s="18" t="n">
        <f aca="false">MAX(ABS(L65),ABS(M65))</f>
        <v>0</v>
      </c>
    </row>
    <row r="66" customFormat="false" ht="15" hidden="false" customHeight="false" outlineLevel="0" collapsed="false">
      <c r="A66" s="4" t="n">
        <v>237</v>
      </c>
      <c r="B66" s="4" t="n">
        <v>14</v>
      </c>
      <c r="C66" s="18" t="n">
        <v>0.25</v>
      </c>
      <c r="D66" s="21" t="n">
        <v>-0.01</v>
      </c>
      <c r="E66" s="21" t="n">
        <v>0</v>
      </c>
      <c r="F66" s="21" t="n">
        <v>0</v>
      </c>
      <c r="G66" s="21" t="n">
        <v>0</v>
      </c>
      <c r="H66" s="21" t="n">
        <v>0</v>
      </c>
      <c r="I66" s="21" t="n">
        <v>0</v>
      </c>
      <c r="J66" s="21" t="n">
        <v>0</v>
      </c>
      <c r="K66" s="21" t="n">
        <v>-0.01</v>
      </c>
      <c r="L66" s="21" t="n">
        <v>0</v>
      </c>
      <c r="M66" s="21" t="n">
        <v>0</v>
      </c>
      <c r="N66" s="21" t="n">
        <v>0</v>
      </c>
      <c r="O66" s="21" t="n">
        <v>0</v>
      </c>
      <c r="P66" s="21" t="n">
        <v>0.01</v>
      </c>
      <c r="Q66" s="21" t="n">
        <v>0</v>
      </c>
      <c r="R66" s="18" t="n">
        <f aca="false">ABS(D66)+MAX(ABS(G66),ABS(H66))+MAX(ABS(I66),ABS(J66))</f>
        <v>0.01</v>
      </c>
      <c r="S66" s="18" t="n">
        <f aca="false">ABS(K66)+MAX(ABS(N66),ABS(O66))+MAX(ABS(P66),ABS(Q66))</f>
        <v>0.02</v>
      </c>
      <c r="T66" s="18" t="n">
        <f aca="false">MAX(ABS(E66),ABS(F66))</f>
        <v>0</v>
      </c>
      <c r="U66" s="18" t="n">
        <f aca="false">MAX(ABS(L66),ABS(M66))</f>
        <v>0</v>
      </c>
    </row>
    <row r="67" customFormat="false" ht="15" hidden="false" customHeight="false" outlineLevel="0" collapsed="false">
      <c r="A67" s="4" t="n">
        <v>237</v>
      </c>
      <c r="B67" s="4" t="n">
        <v>14</v>
      </c>
      <c r="C67" s="18" t="n">
        <v>0.5</v>
      </c>
      <c r="D67" s="21" t="n">
        <v>-0.01</v>
      </c>
      <c r="E67" s="21" t="n">
        <v>0</v>
      </c>
      <c r="F67" s="21" t="n">
        <v>0</v>
      </c>
      <c r="G67" s="21" t="n">
        <v>0</v>
      </c>
      <c r="H67" s="21" t="n">
        <v>0</v>
      </c>
      <c r="I67" s="21" t="n">
        <v>0</v>
      </c>
      <c r="J67" s="21" t="n">
        <v>0</v>
      </c>
      <c r="K67" s="21" t="n">
        <v>-0.01</v>
      </c>
      <c r="L67" s="21" t="n">
        <v>0</v>
      </c>
      <c r="M67" s="21" t="n">
        <v>0</v>
      </c>
      <c r="N67" s="21" t="n">
        <v>0.01</v>
      </c>
      <c r="O67" s="21" t="n">
        <v>-0.01</v>
      </c>
      <c r="P67" s="21" t="n">
        <v>0</v>
      </c>
      <c r="Q67" s="21" t="n">
        <v>0</v>
      </c>
      <c r="R67" s="18" t="n">
        <f aca="false">ABS(D67)+MAX(ABS(G67),ABS(H67))+MAX(ABS(I67),ABS(J67))</f>
        <v>0.01</v>
      </c>
      <c r="S67" s="18" t="n">
        <f aca="false">ABS(K67)+MAX(ABS(N67),ABS(O67))+MAX(ABS(P67),ABS(Q67))</f>
        <v>0.02</v>
      </c>
      <c r="T67" s="18" t="n">
        <f aca="false">MAX(ABS(E67),ABS(F67))</f>
        <v>0</v>
      </c>
      <c r="U67" s="18" t="n">
        <f aca="false">MAX(ABS(L67),ABS(M67))</f>
        <v>0</v>
      </c>
    </row>
    <row r="68" customFormat="false" ht="15" hidden="false" customHeight="false" outlineLevel="0" collapsed="false">
      <c r="A68" s="4" t="n">
        <v>237</v>
      </c>
      <c r="B68" s="4" t="n">
        <v>14</v>
      </c>
      <c r="C68" s="18" t="n">
        <v>0.75</v>
      </c>
      <c r="D68" s="21" t="n">
        <v>-0.01</v>
      </c>
      <c r="E68" s="21" t="n">
        <v>0</v>
      </c>
      <c r="F68" s="21" t="n">
        <v>0</v>
      </c>
      <c r="G68" s="21" t="n">
        <v>0.01</v>
      </c>
      <c r="H68" s="21" t="n">
        <v>-0.01</v>
      </c>
      <c r="I68" s="21" t="n">
        <v>0</v>
      </c>
      <c r="J68" s="21" t="n">
        <v>0</v>
      </c>
      <c r="K68" s="21" t="n">
        <v>-0.01</v>
      </c>
      <c r="L68" s="21" t="n">
        <v>0</v>
      </c>
      <c r="M68" s="21" t="n">
        <v>0</v>
      </c>
      <c r="N68" s="21" t="n">
        <v>0.01</v>
      </c>
      <c r="O68" s="21" t="n">
        <v>-0.01</v>
      </c>
      <c r="P68" s="21" t="n">
        <v>0</v>
      </c>
      <c r="Q68" s="21" t="n">
        <v>0</v>
      </c>
      <c r="R68" s="18" t="n">
        <f aca="false">ABS(D68)+MAX(ABS(G68),ABS(H68))+MAX(ABS(I68),ABS(J68))</f>
        <v>0.02</v>
      </c>
      <c r="S68" s="18" t="n">
        <f aca="false">ABS(K68)+MAX(ABS(N68),ABS(O68))+MAX(ABS(P68),ABS(Q68))</f>
        <v>0.02</v>
      </c>
      <c r="T68" s="18" t="n">
        <f aca="false">MAX(ABS(E68),ABS(F68))</f>
        <v>0</v>
      </c>
      <c r="U68" s="18" t="n">
        <f aca="false">MAX(ABS(L68),ABS(M68))</f>
        <v>0</v>
      </c>
    </row>
    <row r="69" customFormat="false" ht="15" hidden="false" customHeight="false" outlineLevel="0" collapsed="false">
      <c r="A69" s="4" t="n">
        <v>237</v>
      </c>
      <c r="B69" s="4" t="n">
        <v>14</v>
      </c>
      <c r="C69" s="18" t="n">
        <v>1</v>
      </c>
      <c r="D69" s="21" t="n">
        <v>-0.01</v>
      </c>
      <c r="E69" s="21" t="n">
        <v>0</v>
      </c>
      <c r="F69" s="21" t="n">
        <v>0</v>
      </c>
      <c r="G69" s="21" t="n">
        <v>0.02</v>
      </c>
      <c r="H69" s="21" t="n">
        <v>-0.02</v>
      </c>
      <c r="I69" s="21" t="n">
        <v>0</v>
      </c>
      <c r="J69" s="21" t="n">
        <v>0</v>
      </c>
      <c r="K69" s="21" t="n">
        <v>-0.01</v>
      </c>
      <c r="L69" s="21" t="n">
        <v>0</v>
      </c>
      <c r="M69" s="21" t="n">
        <v>0</v>
      </c>
      <c r="N69" s="21" t="n">
        <v>0.02</v>
      </c>
      <c r="O69" s="21" t="n">
        <v>-0.02</v>
      </c>
      <c r="P69" s="21" t="n">
        <v>-0.01</v>
      </c>
      <c r="Q69" s="21" t="n">
        <v>0</v>
      </c>
      <c r="R69" s="18" t="n">
        <f aca="false">ABS(D69)+MAX(ABS(G69),ABS(H69))+MAX(ABS(I69),ABS(J69))</f>
        <v>0.03</v>
      </c>
      <c r="S69" s="18" t="n">
        <f aca="false">ABS(K69)+MAX(ABS(N69),ABS(O69))+MAX(ABS(P69),ABS(Q69))</f>
        <v>0.04</v>
      </c>
      <c r="T69" s="18" t="n">
        <f aca="false">MAX(ABS(E69),ABS(F69))</f>
        <v>0</v>
      </c>
      <c r="U69" s="18" t="n">
        <f aca="false">MAX(ABS(L69),ABS(M69))</f>
        <v>0</v>
      </c>
    </row>
    <row r="70" customFormat="false" ht="15" hidden="false" customHeight="false" outlineLevel="0" collapsed="false">
      <c r="A70" s="4" t="n">
        <v>238</v>
      </c>
      <c r="B70" s="4" t="n">
        <v>15</v>
      </c>
      <c r="C70" s="18" t="n">
        <v>0</v>
      </c>
      <c r="D70" s="21" t="n">
        <v>0.01</v>
      </c>
      <c r="E70" s="21" t="n">
        <v>0</v>
      </c>
      <c r="F70" s="21" t="n">
        <v>0</v>
      </c>
      <c r="G70" s="21" t="n">
        <v>0</v>
      </c>
      <c r="H70" s="21" t="n">
        <v>0</v>
      </c>
      <c r="I70" s="21" t="n">
        <v>-0.01</v>
      </c>
      <c r="J70" s="21" t="n">
        <v>0</v>
      </c>
      <c r="K70" s="21" t="n">
        <v>0.01</v>
      </c>
      <c r="L70" s="21" t="n">
        <v>0</v>
      </c>
      <c r="M70" s="21" t="n">
        <v>0</v>
      </c>
      <c r="N70" s="21" t="n">
        <v>0</v>
      </c>
      <c r="O70" s="21" t="n">
        <v>0</v>
      </c>
      <c r="P70" s="21" t="n">
        <v>-0.01</v>
      </c>
      <c r="Q70" s="21" t="n">
        <v>0.01</v>
      </c>
      <c r="R70" s="18" t="n">
        <f aca="false">ABS(D70)+MAX(ABS(G70),ABS(H70))+MAX(ABS(I70),ABS(J70))</f>
        <v>0.02</v>
      </c>
      <c r="S70" s="18" t="n">
        <f aca="false">ABS(K70)+MAX(ABS(N70),ABS(O70))+MAX(ABS(P70),ABS(Q70))</f>
        <v>0.02</v>
      </c>
      <c r="T70" s="18" t="n">
        <f aca="false">MAX(ABS(E70),ABS(F70))</f>
        <v>0</v>
      </c>
      <c r="U70" s="18" t="n">
        <f aca="false">MAX(ABS(L70),ABS(M70))</f>
        <v>0</v>
      </c>
    </row>
    <row r="71" customFormat="false" ht="15" hidden="false" customHeight="false" outlineLevel="0" collapsed="false">
      <c r="A71" s="4" t="n">
        <v>238</v>
      </c>
      <c r="B71" s="4" t="n">
        <v>15</v>
      </c>
      <c r="C71" s="18" t="n">
        <v>0.25</v>
      </c>
      <c r="D71" s="21" t="n">
        <v>0.01</v>
      </c>
      <c r="E71" s="21" t="n">
        <v>0</v>
      </c>
      <c r="F71" s="21" t="n">
        <v>0</v>
      </c>
      <c r="G71" s="21" t="n">
        <v>0</v>
      </c>
      <c r="H71" s="21" t="n">
        <v>0</v>
      </c>
      <c r="I71" s="21" t="n">
        <v>-0.01</v>
      </c>
      <c r="J71" s="21" t="n">
        <v>0</v>
      </c>
      <c r="K71" s="21" t="n">
        <v>0.01</v>
      </c>
      <c r="L71" s="21" t="n">
        <v>0</v>
      </c>
      <c r="M71" s="21" t="n">
        <v>0</v>
      </c>
      <c r="N71" s="21" t="n">
        <v>0</v>
      </c>
      <c r="O71" s="21" t="n">
        <v>0</v>
      </c>
      <c r="P71" s="21" t="n">
        <v>-0.01</v>
      </c>
      <c r="Q71" s="21" t="n">
        <v>0</v>
      </c>
      <c r="R71" s="18" t="n">
        <f aca="false">ABS(D71)+MAX(ABS(G71),ABS(H71))+MAX(ABS(I71),ABS(J71))</f>
        <v>0.02</v>
      </c>
      <c r="S71" s="18" t="n">
        <f aca="false">ABS(K71)+MAX(ABS(N71),ABS(O71))+MAX(ABS(P71),ABS(Q71))</f>
        <v>0.02</v>
      </c>
      <c r="T71" s="18" t="n">
        <f aca="false">MAX(ABS(E71),ABS(F71))</f>
        <v>0</v>
      </c>
      <c r="U71" s="18" t="n">
        <f aca="false">MAX(ABS(L71),ABS(M71))</f>
        <v>0</v>
      </c>
    </row>
    <row r="72" customFormat="false" ht="15" hidden="false" customHeight="false" outlineLevel="0" collapsed="false">
      <c r="A72" s="4" t="n">
        <v>238</v>
      </c>
      <c r="B72" s="4" t="n">
        <v>15</v>
      </c>
      <c r="C72" s="18" t="n">
        <v>0.5</v>
      </c>
      <c r="D72" s="21" t="n">
        <v>0.01</v>
      </c>
      <c r="E72" s="21" t="n">
        <v>0</v>
      </c>
      <c r="F72" s="21" t="n">
        <v>0</v>
      </c>
      <c r="G72" s="21" t="n">
        <v>0.01</v>
      </c>
      <c r="H72" s="21" t="n">
        <v>-0.01</v>
      </c>
      <c r="I72" s="21" t="n">
        <v>0</v>
      </c>
      <c r="J72" s="21" t="n">
        <v>0</v>
      </c>
      <c r="K72" s="21" t="n">
        <v>0.01</v>
      </c>
      <c r="L72" s="21" t="n">
        <v>0</v>
      </c>
      <c r="M72" s="21" t="n">
        <v>0</v>
      </c>
      <c r="N72" s="21" t="n">
        <v>0.01</v>
      </c>
      <c r="O72" s="21" t="n">
        <v>-0.01</v>
      </c>
      <c r="P72" s="21" t="n">
        <v>0</v>
      </c>
      <c r="Q72" s="21" t="n">
        <v>0</v>
      </c>
      <c r="R72" s="18" t="n">
        <f aca="false">ABS(D72)+MAX(ABS(G72),ABS(H72))+MAX(ABS(I72),ABS(J72))</f>
        <v>0.02</v>
      </c>
      <c r="S72" s="18" t="n">
        <f aca="false">ABS(K72)+MAX(ABS(N72),ABS(O72))+MAX(ABS(P72),ABS(Q72))</f>
        <v>0.02</v>
      </c>
      <c r="T72" s="18" t="n">
        <f aca="false">MAX(ABS(E72),ABS(F72))</f>
        <v>0</v>
      </c>
      <c r="U72" s="18" t="n">
        <f aca="false">MAX(ABS(L72),ABS(M72))</f>
        <v>0</v>
      </c>
    </row>
    <row r="73" customFormat="false" ht="15" hidden="false" customHeight="false" outlineLevel="0" collapsed="false">
      <c r="A73" s="4" t="n">
        <v>238</v>
      </c>
      <c r="B73" s="4" t="n">
        <v>15</v>
      </c>
      <c r="C73" s="18" t="n">
        <v>0.75</v>
      </c>
      <c r="D73" s="21" t="n">
        <v>0.01</v>
      </c>
      <c r="E73" s="21" t="n">
        <v>0</v>
      </c>
      <c r="F73" s="21" t="n">
        <v>0</v>
      </c>
      <c r="G73" s="21" t="n">
        <v>0.01</v>
      </c>
      <c r="H73" s="21" t="n">
        <v>-0.01</v>
      </c>
      <c r="I73" s="21" t="n">
        <v>0</v>
      </c>
      <c r="J73" s="21" t="n">
        <v>0</v>
      </c>
      <c r="K73" s="21" t="n">
        <v>0.01</v>
      </c>
      <c r="L73" s="21" t="n">
        <v>0</v>
      </c>
      <c r="M73" s="21" t="n">
        <v>0</v>
      </c>
      <c r="N73" s="21" t="n">
        <v>0.01</v>
      </c>
      <c r="O73" s="21" t="n">
        <v>-0.01</v>
      </c>
      <c r="P73" s="21" t="n">
        <v>0</v>
      </c>
      <c r="Q73" s="21" t="n">
        <v>0</v>
      </c>
      <c r="R73" s="18" t="n">
        <f aca="false">ABS(D73)+MAX(ABS(G73),ABS(H73))+MAX(ABS(I73),ABS(J73))</f>
        <v>0.02</v>
      </c>
      <c r="S73" s="18" t="n">
        <f aca="false">ABS(K73)+MAX(ABS(N73),ABS(O73))+MAX(ABS(P73),ABS(Q73))</f>
        <v>0.02</v>
      </c>
      <c r="T73" s="18" t="n">
        <f aca="false">MAX(ABS(E73),ABS(F73))</f>
        <v>0</v>
      </c>
      <c r="U73" s="18" t="n">
        <f aca="false">MAX(ABS(L73),ABS(M73))</f>
        <v>0</v>
      </c>
    </row>
    <row r="74" customFormat="false" ht="15" hidden="false" customHeight="false" outlineLevel="0" collapsed="false">
      <c r="A74" s="4" t="n">
        <v>238</v>
      </c>
      <c r="B74" s="4" t="n">
        <v>15</v>
      </c>
      <c r="C74" s="18" t="n">
        <v>1</v>
      </c>
      <c r="D74" s="21" t="n">
        <v>0.01</v>
      </c>
      <c r="E74" s="21" t="n">
        <v>0</v>
      </c>
      <c r="F74" s="21" t="n">
        <v>0</v>
      </c>
      <c r="G74" s="21" t="n">
        <v>0.01</v>
      </c>
      <c r="H74" s="21" t="n">
        <v>-0.01</v>
      </c>
      <c r="I74" s="21" t="n">
        <v>0.01</v>
      </c>
      <c r="J74" s="21" t="n">
        <v>0</v>
      </c>
      <c r="K74" s="21" t="n">
        <v>0.01</v>
      </c>
      <c r="L74" s="21" t="n">
        <v>0</v>
      </c>
      <c r="M74" s="21" t="n">
        <v>0</v>
      </c>
      <c r="N74" s="21" t="n">
        <v>0.01</v>
      </c>
      <c r="O74" s="21" t="n">
        <v>-0.01</v>
      </c>
      <c r="P74" s="21" t="n">
        <v>0.01</v>
      </c>
      <c r="Q74" s="21" t="n">
        <v>0</v>
      </c>
      <c r="R74" s="18" t="n">
        <f aca="false">ABS(D74)+MAX(ABS(G74),ABS(H74))+MAX(ABS(I74),ABS(J74))</f>
        <v>0.03</v>
      </c>
      <c r="S74" s="18" t="n">
        <f aca="false">ABS(K74)+MAX(ABS(N74),ABS(O74))+MAX(ABS(P74),ABS(Q74))</f>
        <v>0.03</v>
      </c>
      <c r="T74" s="18" t="n">
        <f aca="false">MAX(ABS(E74),ABS(F74))</f>
        <v>0</v>
      </c>
      <c r="U74" s="18" t="n">
        <f aca="false">MAX(ABS(L74),ABS(M74))</f>
        <v>0</v>
      </c>
    </row>
    <row r="75" customFormat="false" ht="15" hidden="false" customHeight="false" outlineLevel="0" collapsed="false">
      <c r="A75" s="4" t="n">
        <v>239</v>
      </c>
      <c r="B75" s="4" t="n">
        <v>16</v>
      </c>
      <c r="C75" s="18" t="n">
        <v>0</v>
      </c>
      <c r="D75" s="21" t="n">
        <v>0</v>
      </c>
      <c r="E75" s="21" t="n">
        <v>0</v>
      </c>
      <c r="F75" s="21" t="n">
        <v>0</v>
      </c>
      <c r="G75" s="21" t="n">
        <v>0.01</v>
      </c>
      <c r="H75" s="21" t="n">
        <v>-0.01</v>
      </c>
      <c r="I75" s="21" t="n">
        <v>-0.01</v>
      </c>
      <c r="J75" s="21" t="n">
        <v>0</v>
      </c>
      <c r="K75" s="21" t="n">
        <v>0</v>
      </c>
      <c r="L75" s="21" t="n">
        <v>0</v>
      </c>
      <c r="M75" s="21" t="n">
        <v>0</v>
      </c>
      <c r="N75" s="21" t="n">
        <v>0.01</v>
      </c>
      <c r="O75" s="21" t="n">
        <v>-0.01</v>
      </c>
      <c r="P75" s="21" t="n">
        <v>-0.01</v>
      </c>
      <c r="Q75" s="21" t="n">
        <v>0</v>
      </c>
      <c r="R75" s="18" t="n">
        <f aca="false">ABS(D75)+MAX(ABS(G75),ABS(H75))+MAX(ABS(I75),ABS(J75))</f>
        <v>0.02</v>
      </c>
      <c r="S75" s="18" t="n">
        <f aca="false">ABS(K75)+MAX(ABS(N75),ABS(O75))+MAX(ABS(P75),ABS(Q75))</f>
        <v>0.02</v>
      </c>
      <c r="T75" s="18" t="n">
        <f aca="false">MAX(ABS(E75),ABS(F75))</f>
        <v>0</v>
      </c>
      <c r="U75" s="18" t="n">
        <f aca="false">MAX(ABS(L75),ABS(M75))</f>
        <v>0</v>
      </c>
    </row>
    <row r="76" customFormat="false" ht="15" hidden="false" customHeight="false" outlineLevel="0" collapsed="false">
      <c r="A76" s="4" t="n">
        <v>239</v>
      </c>
      <c r="B76" s="4" t="n">
        <v>16</v>
      </c>
      <c r="C76" s="18" t="n">
        <v>0.25</v>
      </c>
      <c r="D76" s="21" t="n">
        <v>0</v>
      </c>
      <c r="E76" s="21" t="n">
        <v>0</v>
      </c>
      <c r="F76" s="21" t="n">
        <v>0</v>
      </c>
      <c r="G76" s="21" t="n">
        <v>0.01</v>
      </c>
      <c r="H76" s="21" t="n">
        <v>-0.01</v>
      </c>
      <c r="I76" s="21" t="n">
        <v>0</v>
      </c>
      <c r="J76" s="21" t="n">
        <v>0</v>
      </c>
      <c r="K76" s="21" t="n">
        <v>0</v>
      </c>
      <c r="L76" s="21" t="n">
        <v>0</v>
      </c>
      <c r="M76" s="21" t="n">
        <v>0</v>
      </c>
      <c r="N76" s="21" t="n">
        <v>0.01</v>
      </c>
      <c r="O76" s="21" t="n">
        <v>-0.01</v>
      </c>
      <c r="P76" s="21" t="n">
        <v>-0.01</v>
      </c>
      <c r="Q76" s="21" t="n">
        <v>0</v>
      </c>
      <c r="R76" s="18" t="n">
        <f aca="false">ABS(D76)+MAX(ABS(G76),ABS(H76))+MAX(ABS(I76),ABS(J76))</f>
        <v>0.01</v>
      </c>
      <c r="S76" s="18" t="n">
        <f aca="false">ABS(K76)+MAX(ABS(N76),ABS(O76))+MAX(ABS(P76),ABS(Q76))</f>
        <v>0.02</v>
      </c>
      <c r="T76" s="18" t="n">
        <f aca="false">MAX(ABS(E76),ABS(F76))</f>
        <v>0</v>
      </c>
      <c r="U76" s="18" t="n">
        <f aca="false">MAX(ABS(L76),ABS(M76))</f>
        <v>0</v>
      </c>
    </row>
    <row r="77" customFormat="false" ht="15" hidden="false" customHeight="false" outlineLevel="0" collapsed="false">
      <c r="A77" s="4" t="n">
        <v>239</v>
      </c>
      <c r="B77" s="4" t="n">
        <v>16</v>
      </c>
      <c r="C77" s="18" t="n">
        <v>0.5</v>
      </c>
      <c r="D77" s="21" t="n">
        <v>0</v>
      </c>
      <c r="E77" s="21" t="n">
        <v>0</v>
      </c>
      <c r="F77" s="21" t="n">
        <v>0</v>
      </c>
      <c r="G77" s="21" t="n">
        <v>0</v>
      </c>
      <c r="H77" s="21" t="n">
        <v>0</v>
      </c>
      <c r="I77" s="21" t="n">
        <v>0</v>
      </c>
      <c r="J77" s="21" t="n">
        <v>0</v>
      </c>
      <c r="K77" s="21" t="n">
        <v>0</v>
      </c>
      <c r="L77" s="21" t="n">
        <v>0</v>
      </c>
      <c r="M77" s="21" t="n">
        <v>0</v>
      </c>
      <c r="N77" s="21" t="n">
        <v>0</v>
      </c>
      <c r="O77" s="21" t="n">
        <v>0</v>
      </c>
      <c r="P77" s="21" t="n">
        <v>0</v>
      </c>
      <c r="Q77" s="21" t="n">
        <v>0</v>
      </c>
      <c r="R77" s="18" t="n">
        <f aca="false">ABS(D77)+MAX(ABS(G77),ABS(H77))+MAX(ABS(I77),ABS(J77))</f>
        <v>0</v>
      </c>
      <c r="S77" s="18" t="n">
        <f aca="false">ABS(K77)+MAX(ABS(N77),ABS(O77))+MAX(ABS(P77),ABS(Q77))</f>
        <v>0</v>
      </c>
      <c r="T77" s="18" t="n">
        <f aca="false">MAX(ABS(E77),ABS(F77))</f>
        <v>0</v>
      </c>
      <c r="U77" s="18" t="n">
        <f aca="false">MAX(ABS(L77),ABS(M77))</f>
        <v>0</v>
      </c>
    </row>
    <row r="78" customFormat="false" ht="15" hidden="false" customHeight="false" outlineLevel="0" collapsed="false">
      <c r="A78" s="4" t="n">
        <v>239</v>
      </c>
      <c r="B78" s="4" t="n">
        <v>16</v>
      </c>
      <c r="C78" s="18" t="n">
        <v>0.75</v>
      </c>
      <c r="D78" s="21" t="n">
        <v>0</v>
      </c>
      <c r="E78" s="21" t="n">
        <v>0</v>
      </c>
      <c r="F78" s="21" t="n">
        <v>0</v>
      </c>
      <c r="G78" s="21" t="n">
        <v>0</v>
      </c>
      <c r="H78" s="21" t="n">
        <v>0</v>
      </c>
      <c r="I78" s="21" t="n">
        <v>0</v>
      </c>
      <c r="J78" s="21" t="n">
        <v>0</v>
      </c>
      <c r="K78" s="21" t="n">
        <v>0</v>
      </c>
      <c r="L78" s="21" t="n">
        <v>0</v>
      </c>
      <c r="M78" s="21" t="n">
        <v>0</v>
      </c>
      <c r="N78" s="21" t="n">
        <v>0</v>
      </c>
      <c r="O78" s="21" t="n">
        <v>0</v>
      </c>
      <c r="P78" s="21" t="n">
        <v>0</v>
      </c>
      <c r="Q78" s="21" t="n">
        <v>0</v>
      </c>
      <c r="R78" s="18" t="n">
        <f aca="false">ABS(D78)+MAX(ABS(G78),ABS(H78))+MAX(ABS(I78),ABS(J78))</f>
        <v>0</v>
      </c>
      <c r="S78" s="18" t="n">
        <f aca="false">ABS(K78)+MAX(ABS(N78),ABS(O78))+MAX(ABS(P78),ABS(Q78))</f>
        <v>0</v>
      </c>
      <c r="T78" s="18" t="n">
        <f aca="false">MAX(ABS(E78),ABS(F78))</f>
        <v>0</v>
      </c>
      <c r="U78" s="18" t="n">
        <f aca="false">MAX(ABS(L78),ABS(M78))</f>
        <v>0</v>
      </c>
    </row>
    <row r="79" customFormat="false" ht="15" hidden="false" customHeight="false" outlineLevel="0" collapsed="false">
      <c r="A79" s="4" t="n">
        <v>239</v>
      </c>
      <c r="B79" s="4" t="n">
        <v>16</v>
      </c>
      <c r="C79" s="18" t="n">
        <v>1</v>
      </c>
      <c r="D79" s="21" t="n">
        <v>0</v>
      </c>
      <c r="E79" s="21" t="n">
        <v>0</v>
      </c>
      <c r="F79" s="21" t="n">
        <v>0</v>
      </c>
      <c r="G79" s="21" t="n">
        <v>-0.01</v>
      </c>
      <c r="H79" s="21" t="n">
        <v>0.01</v>
      </c>
      <c r="I79" s="21" t="n">
        <v>0</v>
      </c>
      <c r="J79" s="21" t="n">
        <v>0</v>
      </c>
      <c r="K79" s="21" t="n">
        <v>0</v>
      </c>
      <c r="L79" s="21" t="n">
        <v>0</v>
      </c>
      <c r="M79" s="21" t="n">
        <v>0</v>
      </c>
      <c r="N79" s="21" t="n">
        <v>-0.01</v>
      </c>
      <c r="O79" s="21" t="n">
        <v>0.01</v>
      </c>
      <c r="P79" s="21" t="n">
        <v>0.01</v>
      </c>
      <c r="Q79" s="21" t="n">
        <v>0</v>
      </c>
      <c r="R79" s="18" t="n">
        <f aca="false">ABS(D79)+MAX(ABS(G79),ABS(H79))+MAX(ABS(I79),ABS(J79))</f>
        <v>0.01</v>
      </c>
      <c r="S79" s="18" t="n">
        <f aca="false">ABS(K79)+MAX(ABS(N79),ABS(O79))+MAX(ABS(P79),ABS(Q79))</f>
        <v>0.02</v>
      </c>
      <c r="T79" s="18" t="n">
        <f aca="false">MAX(ABS(E79),ABS(F79))</f>
        <v>0</v>
      </c>
      <c r="U79" s="18" t="n">
        <f aca="false">MAX(ABS(L79),ABS(M79))</f>
        <v>0</v>
      </c>
    </row>
    <row r="80" customFormat="false" ht="15" hidden="false" customHeight="false" outlineLevel="0" collapsed="false">
      <c r="A80" s="4" t="n">
        <v>240</v>
      </c>
      <c r="B80" s="4" t="n">
        <v>17</v>
      </c>
      <c r="C80" s="18" t="n">
        <v>0</v>
      </c>
      <c r="D80" s="21" t="n">
        <v>0</v>
      </c>
      <c r="E80" s="21" t="n">
        <v>0</v>
      </c>
      <c r="F80" s="21" t="n">
        <v>0</v>
      </c>
      <c r="G80" s="21" t="n">
        <v>0</v>
      </c>
      <c r="H80" s="21" t="n">
        <v>0</v>
      </c>
      <c r="I80" s="21" t="n">
        <v>0</v>
      </c>
      <c r="J80" s="21" t="n">
        <v>0</v>
      </c>
      <c r="K80" s="21" t="n">
        <v>0</v>
      </c>
      <c r="L80" s="21" t="n">
        <v>0</v>
      </c>
      <c r="M80" s="21" t="n">
        <v>0</v>
      </c>
      <c r="N80" s="21" t="n">
        <v>0</v>
      </c>
      <c r="O80" s="21" t="n">
        <v>0</v>
      </c>
      <c r="P80" s="21" t="n">
        <v>0</v>
      </c>
      <c r="Q80" s="21" t="n">
        <v>0</v>
      </c>
      <c r="R80" s="18" t="n">
        <f aca="false">ABS(D80)+MAX(ABS(G80),ABS(H80))+MAX(ABS(I80),ABS(J80))</f>
        <v>0</v>
      </c>
      <c r="S80" s="18" t="n">
        <f aca="false">ABS(K80)+MAX(ABS(N80),ABS(O80))+MAX(ABS(P80),ABS(Q80))</f>
        <v>0</v>
      </c>
      <c r="T80" s="18" t="n">
        <f aca="false">MAX(ABS(E80),ABS(F80))</f>
        <v>0</v>
      </c>
      <c r="U80" s="18" t="n">
        <f aca="false">MAX(ABS(L80),ABS(M80))</f>
        <v>0</v>
      </c>
    </row>
    <row r="81" customFormat="false" ht="15" hidden="false" customHeight="false" outlineLevel="0" collapsed="false">
      <c r="A81" s="4" t="n">
        <v>240</v>
      </c>
      <c r="B81" s="4" t="n">
        <v>17</v>
      </c>
      <c r="C81" s="18" t="n">
        <v>0.25</v>
      </c>
      <c r="D81" s="21" t="n">
        <v>0</v>
      </c>
      <c r="E81" s="21" t="n">
        <v>0</v>
      </c>
      <c r="F81" s="21" t="n">
        <v>0</v>
      </c>
      <c r="G81" s="21" t="n">
        <v>0</v>
      </c>
      <c r="H81" s="21" t="n">
        <v>0</v>
      </c>
      <c r="I81" s="21" t="n">
        <v>0</v>
      </c>
      <c r="J81" s="21" t="n">
        <v>0</v>
      </c>
      <c r="K81" s="21" t="n">
        <v>0</v>
      </c>
      <c r="L81" s="21" t="n">
        <v>0</v>
      </c>
      <c r="M81" s="21" t="n">
        <v>0</v>
      </c>
      <c r="N81" s="21" t="n">
        <v>0</v>
      </c>
      <c r="O81" s="21" t="n">
        <v>0</v>
      </c>
      <c r="P81" s="21" t="n">
        <v>0</v>
      </c>
      <c r="Q81" s="21" t="n">
        <v>0</v>
      </c>
      <c r="R81" s="18" t="n">
        <f aca="false">ABS(D81)+MAX(ABS(G81),ABS(H81))+MAX(ABS(I81),ABS(J81))</f>
        <v>0</v>
      </c>
      <c r="S81" s="18" t="n">
        <f aca="false">ABS(K81)+MAX(ABS(N81),ABS(O81))+MAX(ABS(P81),ABS(Q81))</f>
        <v>0</v>
      </c>
      <c r="T81" s="18" t="n">
        <f aca="false">MAX(ABS(E81),ABS(F81))</f>
        <v>0</v>
      </c>
      <c r="U81" s="18" t="n">
        <f aca="false">MAX(ABS(L81),ABS(M81))</f>
        <v>0</v>
      </c>
    </row>
    <row r="82" customFormat="false" ht="15" hidden="false" customHeight="false" outlineLevel="0" collapsed="false">
      <c r="A82" s="4" t="n">
        <v>240</v>
      </c>
      <c r="B82" s="4" t="n">
        <v>17</v>
      </c>
      <c r="C82" s="18" t="n">
        <v>0.5</v>
      </c>
      <c r="D82" s="21" t="n">
        <v>0</v>
      </c>
      <c r="E82" s="21" t="n">
        <v>0</v>
      </c>
      <c r="F82" s="21" t="n">
        <v>0</v>
      </c>
      <c r="G82" s="21" t="n">
        <v>0</v>
      </c>
      <c r="H82" s="21" t="n">
        <v>0</v>
      </c>
      <c r="I82" s="21" t="n">
        <v>0</v>
      </c>
      <c r="J82" s="21" t="n">
        <v>0</v>
      </c>
      <c r="K82" s="21" t="n">
        <v>0</v>
      </c>
      <c r="L82" s="21" t="n">
        <v>0</v>
      </c>
      <c r="M82" s="21" t="n">
        <v>0</v>
      </c>
      <c r="N82" s="21" t="n">
        <v>0</v>
      </c>
      <c r="O82" s="21" t="n">
        <v>0</v>
      </c>
      <c r="P82" s="21" t="n">
        <v>0</v>
      </c>
      <c r="Q82" s="21" t="n">
        <v>0</v>
      </c>
      <c r="R82" s="18" t="n">
        <f aca="false">ABS(D82)+MAX(ABS(G82),ABS(H82))+MAX(ABS(I82),ABS(J82))</f>
        <v>0</v>
      </c>
      <c r="S82" s="18" t="n">
        <f aca="false">ABS(K82)+MAX(ABS(N82),ABS(O82))+MAX(ABS(P82),ABS(Q82))</f>
        <v>0</v>
      </c>
      <c r="T82" s="18" t="n">
        <f aca="false">MAX(ABS(E82),ABS(F82))</f>
        <v>0</v>
      </c>
      <c r="U82" s="18" t="n">
        <f aca="false">MAX(ABS(L82),ABS(M82))</f>
        <v>0</v>
      </c>
    </row>
    <row r="83" customFormat="false" ht="15" hidden="false" customHeight="false" outlineLevel="0" collapsed="false">
      <c r="A83" s="4" t="n">
        <v>240</v>
      </c>
      <c r="B83" s="4" t="n">
        <v>17</v>
      </c>
      <c r="C83" s="18" t="n">
        <v>0.75</v>
      </c>
      <c r="D83" s="21" t="n">
        <v>0</v>
      </c>
      <c r="E83" s="21" t="n">
        <v>0</v>
      </c>
      <c r="F83" s="21" t="n">
        <v>0</v>
      </c>
      <c r="G83" s="21" t="n">
        <v>0.01</v>
      </c>
      <c r="H83" s="21" t="n">
        <v>-0.01</v>
      </c>
      <c r="I83" s="21" t="n">
        <v>0</v>
      </c>
      <c r="J83" s="21" t="n">
        <v>0</v>
      </c>
      <c r="K83" s="21" t="n">
        <v>0</v>
      </c>
      <c r="L83" s="21" t="n">
        <v>0</v>
      </c>
      <c r="M83" s="21" t="n">
        <v>0</v>
      </c>
      <c r="N83" s="21" t="n">
        <v>0.01</v>
      </c>
      <c r="O83" s="21" t="n">
        <v>-0.01</v>
      </c>
      <c r="P83" s="21" t="n">
        <v>0</v>
      </c>
      <c r="Q83" s="21" t="n">
        <v>0</v>
      </c>
      <c r="R83" s="18" t="n">
        <f aca="false">ABS(D83)+MAX(ABS(G83),ABS(H83))+MAX(ABS(I83),ABS(J83))</f>
        <v>0.01</v>
      </c>
      <c r="S83" s="18" t="n">
        <f aca="false">ABS(K83)+MAX(ABS(N83),ABS(O83))+MAX(ABS(P83),ABS(Q83))</f>
        <v>0.01</v>
      </c>
      <c r="T83" s="18" t="n">
        <f aca="false">MAX(ABS(E83),ABS(F83))</f>
        <v>0</v>
      </c>
      <c r="U83" s="18" t="n">
        <f aca="false">MAX(ABS(L83),ABS(M83))</f>
        <v>0</v>
      </c>
    </row>
    <row r="84" customFormat="false" ht="15" hidden="false" customHeight="false" outlineLevel="0" collapsed="false">
      <c r="A84" s="4" t="n">
        <v>240</v>
      </c>
      <c r="B84" s="4" t="n">
        <v>17</v>
      </c>
      <c r="C84" s="18" t="n">
        <v>1</v>
      </c>
      <c r="D84" s="21" t="n">
        <v>0</v>
      </c>
      <c r="E84" s="21" t="n">
        <v>0</v>
      </c>
      <c r="F84" s="21" t="n">
        <v>0</v>
      </c>
      <c r="G84" s="21" t="n">
        <v>0.01</v>
      </c>
      <c r="H84" s="21" t="n">
        <v>-0.01</v>
      </c>
      <c r="I84" s="21" t="n">
        <v>0</v>
      </c>
      <c r="J84" s="21" t="n">
        <v>0</v>
      </c>
      <c r="K84" s="21" t="n">
        <v>0</v>
      </c>
      <c r="L84" s="21" t="n">
        <v>0</v>
      </c>
      <c r="M84" s="21" t="n">
        <v>0</v>
      </c>
      <c r="N84" s="21" t="n">
        <v>0.01</v>
      </c>
      <c r="O84" s="21" t="n">
        <v>-0.01</v>
      </c>
      <c r="P84" s="21" t="n">
        <v>0</v>
      </c>
      <c r="Q84" s="21" t="n">
        <v>0</v>
      </c>
      <c r="R84" s="18" t="n">
        <f aca="false">ABS(D84)+MAX(ABS(G84),ABS(H84))+MAX(ABS(I84),ABS(J84))</f>
        <v>0.01</v>
      </c>
      <c r="S84" s="18" t="n">
        <f aca="false">ABS(K84)+MAX(ABS(N84),ABS(O84))+MAX(ABS(P84),ABS(Q84))</f>
        <v>0.01</v>
      </c>
      <c r="T84" s="18" t="n">
        <f aca="false">MAX(ABS(E84),ABS(F84))</f>
        <v>0</v>
      </c>
      <c r="U84" s="18" t="n">
        <f aca="false">MAX(ABS(L84),ABS(M84))</f>
        <v>0</v>
      </c>
    </row>
    <row r="85" customFormat="false" ht="15" hidden="false" customHeight="false" outlineLevel="0" collapsed="false">
      <c r="A85" s="4" t="n">
        <v>241</v>
      </c>
      <c r="B85" s="4" t="n">
        <v>18</v>
      </c>
      <c r="C85" s="18" t="n">
        <v>0</v>
      </c>
      <c r="D85" s="21" t="n">
        <v>0</v>
      </c>
      <c r="E85" s="21" t="n">
        <v>0</v>
      </c>
      <c r="F85" s="21" t="n">
        <v>0</v>
      </c>
      <c r="G85" s="21" t="n">
        <v>0.01</v>
      </c>
      <c r="H85" s="21" t="n">
        <v>-0.01</v>
      </c>
      <c r="I85" s="21" t="n">
        <v>0</v>
      </c>
      <c r="J85" s="21" t="n">
        <v>0</v>
      </c>
      <c r="K85" s="21" t="n">
        <v>0</v>
      </c>
      <c r="L85" s="21" t="n">
        <v>0</v>
      </c>
      <c r="M85" s="21" t="n">
        <v>0</v>
      </c>
      <c r="N85" s="21" t="n">
        <v>0.01</v>
      </c>
      <c r="O85" s="21" t="n">
        <v>-0.01</v>
      </c>
      <c r="P85" s="21" t="n">
        <v>0.01</v>
      </c>
      <c r="Q85" s="21" t="n">
        <v>0</v>
      </c>
      <c r="R85" s="18" t="n">
        <f aca="false">ABS(D85)+MAX(ABS(G85),ABS(H85))+MAX(ABS(I85),ABS(J85))</f>
        <v>0.01</v>
      </c>
      <c r="S85" s="18" t="n">
        <f aca="false">ABS(K85)+MAX(ABS(N85),ABS(O85))+MAX(ABS(P85),ABS(Q85))</f>
        <v>0.02</v>
      </c>
      <c r="T85" s="18" t="n">
        <f aca="false">MAX(ABS(E85),ABS(F85))</f>
        <v>0</v>
      </c>
      <c r="U85" s="18" t="n">
        <f aca="false">MAX(ABS(L85),ABS(M85))</f>
        <v>0</v>
      </c>
    </row>
    <row r="86" customFormat="false" ht="15" hidden="false" customHeight="false" outlineLevel="0" collapsed="false">
      <c r="A86" s="4" t="n">
        <v>241</v>
      </c>
      <c r="B86" s="4" t="n">
        <v>18</v>
      </c>
      <c r="C86" s="18" t="n">
        <v>0.25</v>
      </c>
      <c r="D86" s="21" t="n">
        <v>0</v>
      </c>
      <c r="E86" s="21" t="n">
        <v>0</v>
      </c>
      <c r="F86" s="21" t="n">
        <v>0</v>
      </c>
      <c r="G86" s="21" t="n">
        <v>0.01</v>
      </c>
      <c r="H86" s="21" t="n">
        <v>-0.01</v>
      </c>
      <c r="I86" s="21" t="n">
        <v>0</v>
      </c>
      <c r="J86" s="21" t="n">
        <v>0</v>
      </c>
      <c r="K86" s="21" t="n">
        <v>0</v>
      </c>
      <c r="L86" s="21" t="n">
        <v>0</v>
      </c>
      <c r="M86" s="21" t="n">
        <v>0</v>
      </c>
      <c r="N86" s="21" t="n">
        <v>0.01</v>
      </c>
      <c r="O86" s="21" t="n">
        <v>-0.01</v>
      </c>
      <c r="P86" s="21" t="n">
        <v>0</v>
      </c>
      <c r="Q86" s="21" t="n">
        <v>0</v>
      </c>
      <c r="R86" s="18" t="n">
        <f aca="false">ABS(D86)+MAX(ABS(G86),ABS(H86))+MAX(ABS(I86),ABS(J86))</f>
        <v>0.01</v>
      </c>
      <c r="S86" s="18" t="n">
        <f aca="false">ABS(K86)+MAX(ABS(N86),ABS(O86))+MAX(ABS(P86),ABS(Q86))</f>
        <v>0.01</v>
      </c>
      <c r="T86" s="18" t="n">
        <f aca="false">MAX(ABS(E86),ABS(F86))</f>
        <v>0</v>
      </c>
      <c r="U86" s="18" t="n">
        <f aca="false">MAX(ABS(L86),ABS(M86))</f>
        <v>0</v>
      </c>
    </row>
    <row r="87" customFormat="false" ht="15" hidden="false" customHeight="false" outlineLevel="0" collapsed="false">
      <c r="A87" s="4" t="n">
        <v>241</v>
      </c>
      <c r="B87" s="4" t="n">
        <v>18</v>
      </c>
      <c r="C87" s="18" t="n">
        <v>0.5</v>
      </c>
      <c r="D87" s="21" t="n">
        <v>0</v>
      </c>
      <c r="E87" s="21" t="n">
        <v>0</v>
      </c>
      <c r="F87" s="21" t="n">
        <v>0</v>
      </c>
      <c r="G87" s="21" t="n">
        <v>0.01</v>
      </c>
      <c r="H87" s="21" t="n">
        <v>-0.01</v>
      </c>
      <c r="I87" s="21" t="n">
        <v>0</v>
      </c>
      <c r="J87" s="21" t="n">
        <v>0</v>
      </c>
      <c r="K87" s="21" t="n">
        <v>0</v>
      </c>
      <c r="L87" s="21" t="n">
        <v>0</v>
      </c>
      <c r="M87" s="21" t="n">
        <v>0</v>
      </c>
      <c r="N87" s="21" t="n">
        <v>0.01</v>
      </c>
      <c r="O87" s="21" t="n">
        <v>-0.01</v>
      </c>
      <c r="P87" s="21" t="n">
        <v>0</v>
      </c>
      <c r="Q87" s="21" t="n">
        <v>0</v>
      </c>
      <c r="R87" s="18" t="n">
        <f aca="false">ABS(D87)+MAX(ABS(G87),ABS(H87))+MAX(ABS(I87),ABS(J87))</f>
        <v>0.01</v>
      </c>
      <c r="S87" s="18" t="n">
        <f aca="false">ABS(K87)+MAX(ABS(N87),ABS(O87))+MAX(ABS(P87),ABS(Q87))</f>
        <v>0.01</v>
      </c>
      <c r="T87" s="18" t="n">
        <f aca="false">MAX(ABS(E87),ABS(F87))</f>
        <v>0</v>
      </c>
      <c r="U87" s="18" t="n">
        <f aca="false">MAX(ABS(L87),ABS(M87))</f>
        <v>0</v>
      </c>
    </row>
    <row r="88" customFormat="false" ht="15" hidden="false" customHeight="false" outlineLevel="0" collapsed="false">
      <c r="A88" s="4" t="n">
        <v>241</v>
      </c>
      <c r="B88" s="4" t="n">
        <v>18</v>
      </c>
      <c r="C88" s="18" t="n">
        <v>0.75</v>
      </c>
      <c r="D88" s="21" t="n">
        <v>0</v>
      </c>
      <c r="E88" s="21" t="n">
        <v>0</v>
      </c>
      <c r="F88" s="21" t="n">
        <v>0</v>
      </c>
      <c r="G88" s="21" t="n">
        <v>0</v>
      </c>
      <c r="H88" s="21" t="n">
        <v>0</v>
      </c>
      <c r="I88" s="21" t="n">
        <v>0</v>
      </c>
      <c r="J88" s="21" t="n">
        <v>0</v>
      </c>
      <c r="K88" s="21" t="n">
        <v>0</v>
      </c>
      <c r="L88" s="21" t="n">
        <v>0</v>
      </c>
      <c r="M88" s="21" t="n">
        <v>0</v>
      </c>
      <c r="N88" s="21" t="n">
        <v>0</v>
      </c>
      <c r="O88" s="21" t="n">
        <v>0</v>
      </c>
      <c r="P88" s="21" t="n">
        <v>0</v>
      </c>
      <c r="Q88" s="21" t="n">
        <v>0</v>
      </c>
      <c r="R88" s="18" t="n">
        <f aca="false">ABS(D88)+MAX(ABS(G88),ABS(H88))+MAX(ABS(I88),ABS(J88))</f>
        <v>0</v>
      </c>
      <c r="S88" s="18" t="n">
        <f aca="false">ABS(K88)+MAX(ABS(N88),ABS(O88))+MAX(ABS(P88),ABS(Q88))</f>
        <v>0</v>
      </c>
      <c r="T88" s="18" t="n">
        <f aca="false">MAX(ABS(E88),ABS(F88))</f>
        <v>0</v>
      </c>
      <c r="U88" s="18" t="n">
        <f aca="false">MAX(ABS(L88),ABS(M88))</f>
        <v>0</v>
      </c>
    </row>
    <row r="89" customFormat="false" ht="15" hidden="false" customHeight="false" outlineLevel="0" collapsed="false">
      <c r="A89" s="4" t="n">
        <v>241</v>
      </c>
      <c r="B89" s="4" t="n">
        <v>18</v>
      </c>
      <c r="C89" s="18" t="n">
        <v>1</v>
      </c>
      <c r="D89" s="21" t="n">
        <v>0</v>
      </c>
      <c r="E89" s="21" t="n">
        <v>0</v>
      </c>
      <c r="F89" s="21" t="n">
        <v>0</v>
      </c>
      <c r="G89" s="21" t="n">
        <v>0</v>
      </c>
      <c r="H89" s="21" t="n">
        <v>0</v>
      </c>
      <c r="I89" s="21" t="n">
        <v>0</v>
      </c>
      <c r="J89" s="21" t="n">
        <v>0</v>
      </c>
      <c r="K89" s="21" t="n">
        <v>0</v>
      </c>
      <c r="L89" s="21" t="n">
        <v>0</v>
      </c>
      <c r="M89" s="21" t="n">
        <v>0</v>
      </c>
      <c r="N89" s="21" t="n">
        <v>0</v>
      </c>
      <c r="O89" s="21" t="n">
        <v>0</v>
      </c>
      <c r="P89" s="21" t="n">
        <v>-0.01</v>
      </c>
      <c r="Q89" s="21" t="n">
        <v>0</v>
      </c>
      <c r="R89" s="18" t="n">
        <f aca="false">ABS(D89)+MAX(ABS(G89),ABS(H89))+MAX(ABS(I89),ABS(J89))</f>
        <v>0</v>
      </c>
      <c r="S89" s="18" t="n">
        <f aca="false">ABS(K89)+MAX(ABS(N89),ABS(O89))+MAX(ABS(P89),ABS(Q89))</f>
        <v>0.01</v>
      </c>
      <c r="T89" s="18" t="n">
        <f aca="false">MAX(ABS(E89),ABS(F89))</f>
        <v>0</v>
      </c>
      <c r="U89" s="18" t="n">
        <f aca="false">MAX(ABS(L89),ABS(M89))</f>
        <v>0</v>
      </c>
    </row>
    <row r="90" customFormat="false" ht="15" hidden="false" customHeight="false" outlineLevel="0" collapsed="false">
      <c r="A90" s="4" t="n">
        <v>242</v>
      </c>
      <c r="B90" s="4" t="n">
        <v>19</v>
      </c>
      <c r="C90" s="18" t="n">
        <v>0</v>
      </c>
      <c r="D90" s="21" t="n">
        <v>0.01</v>
      </c>
      <c r="E90" s="21" t="n">
        <v>0</v>
      </c>
      <c r="F90" s="21" t="n">
        <v>0</v>
      </c>
      <c r="G90" s="21" t="n">
        <v>0</v>
      </c>
      <c r="H90" s="21" t="n">
        <v>0</v>
      </c>
      <c r="I90" s="21" t="n">
        <v>0</v>
      </c>
      <c r="J90" s="21" t="n">
        <v>0</v>
      </c>
      <c r="K90" s="21" t="n">
        <v>0.01</v>
      </c>
      <c r="L90" s="21" t="n">
        <v>0</v>
      </c>
      <c r="M90" s="21" t="n">
        <v>0</v>
      </c>
      <c r="N90" s="21" t="n">
        <v>0</v>
      </c>
      <c r="O90" s="21" t="n">
        <v>0</v>
      </c>
      <c r="P90" s="21" t="n">
        <v>0</v>
      </c>
      <c r="Q90" s="21" t="n">
        <v>0</v>
      </c>
      <c r="R90" s="18" t="n">
        <f aca="false">ABS(D90)+MAX(ABS(G90),ABS(H90))+MAX(ABS(I90),ABS(J90))</f>
        <v>0.01</v>
      </c>
      <c r="S90" s="18" t="n">
        <f aca="false">ABS(K90)+MAX(ABS(N90),ABS(O90))+MAX(ABS(P90),ABS(Q90))</f>
        <v>0.01</v>
      </c>
      <c r="T90" s="18" t="n">
        <f aca="false">MAX(ABS(E90),ABS(F90))</f>
        <v>0</v>
      </c>
      <c r="U90" s="18" t="n">
        <f aca="false">MAX(ABS(L90),ABS(M90))</f>
        <v>0</v>
      </c>
    </row>
    <row r="91" customFormat="false" ht="15" hidden="false" customHeight="false" outlineLevel="0" collapsed="false">
      <c r="A91" s="4" t="n">
        <v>242</v>
      </c>
      <c r="B91" s="4" t="n">
        <v>19</v>
      </c>
      <c r="C91" s="18" t="n">
        <v>0.25</v>
      </c>
      <c r="D91" s="21" t="n">
        <v>0.01</v>
      </c>
      <c r="E91" s="21" t="n">
        <v>0</v>
      </c>
      <c r="F91" s="21" t="n">
        <v>0</v>
      </c>
      <c r="G91" s="21" t="n">
        <v>0</v>
      </c>
      <c r="H91" s="21" t="n">
        <v>0</v>
      </c>
      <c r="I91" s="21" t="n">
        <v>0</v>
      </c>
      <c r="J91" s="21" t="n">
        <v>0</v>
      </c>
      <c r="K91" s="21" t="n">
        <v>0.01</v>
      </c>
      <c r="L91" s="21" t="n">
        <v>0</v>
      </c>
      <c r="M91" s="21" t="n">
        <v>0</v>
      </c>
      <c r="N91" s="21" t="n">
        <v>0</v>
      </c>
      <c r="O91" s="21" t="n">
        <v>0</v>
      </c>
      <c r="P91" s="21" t="n">
        <v>0</v>
      </c>
      <c r="Q91" s="21" t="n">
        <v>0</v>
      </c>
      <c r="R91" s="18" t="n">
        <f aca="false">ABS(D91)+MAX(ABS(G91),ABS(H91))+MAX(ABS(I91),ABS(J91))</f>
        <v>0.01</v>
      </c>
      <c r="S91" s="18" t="n">
        <f aca="false">ABS(K91)+MAX(ABS(N91),ABS(O91))+MAX(ABS(P91),ABS(Q91))</f>
        <v>0.01</v>
      </c>
      <c r="T91" s="18" t="n">
        <f aca="false">MAX(ABS(E91),ABS(F91))</f>
        <v>0</v>
      </c>
      <c r="U91" s="18" t="n">
        <f aca="false">MAX(ABS(L91),ABS(M91))</f>
        <v>0</v>
      </c>
    </row>
    <row r="92" customFormat="false" ht="15" hidden="false" customHeight="false" outlineLevel="0" collapsed="false">
      <c r="A92" s="4" t="n">
        <v>242</v>
      </c>
      <c r="B92" s="4" t="n">
        <v>19</v>
      </c>
      <c r="C92" s="18" t="n">
        <v>0.5</v>
      </c>
      <c r="D92" s="21" t="n">
        <v>0.01</v>
      </c>
      <c r="E92" s="21" t="n">
        <v>0</v>
      </c>
      <c r="F92" s="21" t="n">
        <v>0</v>
      </c>
      <c r="G92" s="21" t="n">
        <v>-0.01</v>
      </c>
      <c r="H92" s="21" t="n">
        <v>0.01</v>
      </c>
      <c r="I92" s="21" t="n">
        <v>0</v>
      </c>
      <c r="J92" s="21" t="n">
        <v>0</v>
      </c>
      <c r="K92" s="21" t="n">
        <v>0.01</v>
      </c>
      <c r="L92" s="21" t="n">
        <v>0</v>
      </c>
      <c r="M92" s="21" t="n">
        <v>0</v>
      </c>
      <c r="N92" s="21" t="n">
        <v>-0.01</v>
      </c>
      <c r="O92" s="21" t="n">
        <v>0.01</v>
      </c>
      <c r="P92" s="21" t="n">
        <v>0</v>
      </c>
      <c r="Q92" s="21" t="n">
        <v>0</v>
      </c>
      <c r="R92" s="18" t="n">
        <f aca="false">ABS(D92)+MAX(ABS(G92),ABS(H92))+MAX(ABS(I92),ABS(J92))</f>
        <v>0.02</v>
      </c>
      <c r="S92" s="18" t="n">
        <f aca="false">ABS(K92)+MAX(ABS(N92),ABS(O92))+MAX(ABS(P92),ABS(Q92))</f>
        <v>0.02</v>
      </c>
      <c r="T92" s="18" t="n">
        <f aca="false">MAX(ABS(E92),ABS(F92))</f>
        <v>0</v>
      </c>
      <c r="U92" s="18" t="n">
        <f aca="false">MAX(ABS(L92),ABS(M92))</f>
        <v>0</v>
      </c>
    </row>
    <row r="93" customFormat="false" ht="15" hidden="false" customHeight="false" outlineLevel="0" collapsed="false">
      <c r="A93" s="4" t="n">
        <v>242</v>
      </c>
      <c r="B93" s="4" t="n">
        <v>19</v>
      </c>
      <c r="C93" s="18" t="n">
        <v>0.75</v>
      </c>
      <c r="D93" s="21" t="n">
        <v>0.01</v>
      </c>
      <c r="E93" s="21" t="n">
        <v>0</v>
      </c>
      <c r="F93" s="21" t="n">
        <v>0</v>
      </c>
      <c r="G93" s="21" t="n">
        <v>-0.01</v>
      </c>
      <c r="H93" s="21" t="n">
        <v>0.01</v>
      </c>
      <c r="I93" s="21" t="n">
        <v>0</v>
      </c>
      <c r="J93" s="21" t="n">
        <v>0</v>
      </c>
      <c r="K93" s="21" t="n">
        <v>0.01</v>
      </c>
      <c r="L93" s="21" t="n">
        <v>0</v>
      </c>
      <c r="M93" s="21" t="n">
        <v>0</v>
      </c>
      <c r="N93" s="21" t="n">
        <v>-0.01</v>
      </c>
      <c r="O93" s="21" t="n">
        <v>0.01</v>
      </c>
      <c r="P93" s="21" t="n">
        <v>0</v>
      </c>
      <c r="Q93" s="21" t="n">
        <v>0</v>
      </c>
      <c r="R93" s="18" t="n">
        <f aca="false">ABS(D93)+MAX(ABS(G93),ABS(H93))+MAX(ABS(I93),ABS(J93))</f>
        <v>0.02</v>
      </c>
      <c r="S93" s="18" t="n">
        <f aca="false">ABS(K93)+MAX(ABS(N93),ABS(O93))+MAX(ABS(P93),ABS(Q93))</f>
        <v>0.02</v>
      </c>
      <c r="T93" s="18" t="n">
        <f aca="false">MAX(ABS(E93),ABS(F93))</f>
        <v>0</v>
      </c>
      <c r="U93" s="18" t="n">
        <f aca="false">MAX(ABS(L93),ABS(M93))</f>
        <v>0</v>
      </c>
    </row>
    <row r="94" customFormat="false" ht="15" hidden="false" customHeight="false" outlineLevel="0" collapsed="false">
      <c r="A94" s="4" t="n">
        <v>242</v>
      </c>
      <c r="B94" s="4" t="n">
        <v>19</v>
      </c>
      <c r="C94" s="18" t="n">
        <v>1</v>
      </c>
      <c r="D94" s="21" t="n">
        <v>0.01</v>
      </c>
      <c r="E94" s="21" t="n">
        <v>0</v>
      </c>
      <c r="F94" s="21" t="n">
        <v>0</v>
      </c>
      <c r="G94" s="21" t="n">
        <v>-0.02</v>
      </c>
      <c r="H94" s="21" t="n">
        <v>0.02</v>
      </c>
      <c r="I94" s="21" t="n">
        <v>0</v>
      </c>
      <c r="J94" s="21" t="n">
        <v>0</v>
      </c>
      <c r="K94" s="21" t="n">
        <v>0.01</v>
      </c>
      <c r="L94" s="21" t="n">
        <v>0</v>
      </c>
      <c r="M94" s="21" t="n">
        <v>0</v>
      </c>
      <c r="N94" s="21" t="n">
        <v>-0.02</v>
      </c>
      <c r="O94" s="21" t="n">
        <v>0.02</v>
      </c>
      <c r="P94" s="21" t="n">
        <v>0</v>
      </c>
      <c r="Q94" s="21" t="n">
        <v>0</v>
      </c>
      <c r="R94" s="18" t="n">
        <f aca="false">ABS(D94)+MAX(ABS(G94),ABS(H94))+MAX(ABS(I94),ABS(J94))</f>
        <v>0.03</v>
      </c>
      <c r="S94" s="18" t="n">
        <f aca="false">ABS(K94)+MAX(ABS(N94),ABS(O94))+MAX(ABS(P94),ABS(Q94))</f>
        <v>0.03</v>
      </c>
      <c r="T94" s="18" t="n">
        <f aca="false">MAX(ABS(E94),ABS(F94))</f>
        <v>0</v>
      </c>
      <c r="U94" s="18" t="n">
        <f aca="false">MAX(ABS(L94),ABS(M94))</f>
        <v>0</v>
      </c>
    </row>
    <row r="95" customFormat="false" ht="15" hidden="false" customHeight="false" outlineLevel="0" collapsed="false">
      <c r="A95" s="4" t="n">
        <v>243</v>
      </c>
      <c r="B95" s="4" t="n">
        <v>20</v>
      </c>
      <c r="C95" s="18" t="n">
        <v>0</v>
      </c>
      <c r="D95" s="21" t="n">
        <v>0</v>
      </c>
      <c r="E95" s="21" t="n">
        <v>0</v>
      </c>
      <c r="F95" s="21" t="n">
        <v>0</v>
      </c>
      <c r="G95" s="21" t="n">
        <v>-0.02</v>
      </c>
      <c r="H95" s="21" t="n">
        <v>0.02</v>
      </c>
      <c r="I95" s="21" t="n">
        <v>0</v>
      </c>
      <c r="J95" s="21" t="n">
        <v>0</v>
      </c>
      <c r="K95" s="21" t="n">
        <v>0</v>
      </c>
      <c r="L95" s="21" t="n">
        <v>0</v>
      </c>
      <c r="M95" s="21" t="n">
        <v>0</v>
      </c>
      <c r="N95" s="21" t="n">
        <v>-0.02</v>
      </c>
      <c r="O95" s="21" t="n">
        <v>0.02</v>
      </c>
      <c r="P95" s="21" t="n">
        <v>0</v>
      </c>
      <c r="Q95" s="21" t="n">
        <v>0</v>
      </c>
      <c r="R95" s="18" t="n">
        <f aca="false">ABS(D95)+MAX(ABS(G95),ABS(H95))+MAX(ABS(I95),ABS(J95))</f>
        <v>0.02</v>
      </c>
      <c r="S95" s="18" t="n">
        <f aca="false">ABS(K95)+MAX(ABS(N95),ABS(O95))+MAX(ABS(P95),ABS(Q95))</f>
        <v>0.02</v>
      </c>
      <c r="T95" s="18" t="n">
        <f aca="false">MAX(ABS(E95),ABS(F95))</f>
        <v>0</v>
      </c>
      <c r="U95" s="18" t="n">
        <f aca="false">MAX(ABS(L95),ABS(M95))</f>
        <v>0</v>
      </c>
    </row>
    <row r="96" customFormat="false" ht="15" hidden="false" customHeight="false" outlineLevel="0" collapsed="false">
      <c r="A96" s="4" t="n">
        <v>243</v>
      </c>
      <c r="B96" s="4" t="n">
        <v>20</v>
      </c>
      <c r="C96" s="18" t="n">
        <v>0.25</v>
      </c>
      <c r="D96" s="21" t="n">
        <v>0</v>
      </c>
      <c r="E96" s="21" t="n">
        <v>0</v>
      </c>
      <c r="F96" s="21" t="n">
        <v>0</v>
      </c>
      <c r="G96" s="21" t="n">
        <v>-0.01</v>
      </c>
      <c r="H96" s="21" t="n">
        <v>0.01</v>
      </c>
      <c r="I96" s="21" t="n">
        <v>0</v>
      </c>
      <c r="J96" s="21" t="n">
        <v>0</v>
      </c>
      <c r="K96" s="21" t="n">
        <v>0</v>
      </c>
      <c r="L96" s="21" t="n">
        <v>0</v>
      </c>
      <c r="M96" s="21" t="n">
        <v>0</v>
      </c>
      <c r="N96" s="21" t="n">
        <v>-0.01</v>
      </c>
      <c r="O96" s="21" t="n">
        <v>0.01</v>
      </c>
      <c r="P96" s="21" t="n">
        <v>0</v>
      </c>
      <c r="Q96" s="21" t="n">
        <v>0</v>
      </c>
      <c r="R96" s="18" t="n">
        <f aca="false">ABS(D96)+MAX(ABS(G96),ABS(H96))+MAX(ABS(I96),ABS(J96))</f>
        <v>0.01</v>
      </c>
      <c r="S96" s="18" t="n">
        <f aca="false">ABS(K96)+MAX(ABS(N96),ABS(O96))+MAX(ABS(P96),ABS(Q96))</f>
        <v>0.01</v>
      </c>
      <c r="T96" s="18" t="n">
        <f aca="false">MAX(ABS(E96),ABS(F96))</f>
        <v>0</v>
      </c>
      <c r="U96" s="18" t="n">
        <f aca="false">MAX(ABS(L96),ABS(M96))</f>
        <v>0</v>
      </c>
    </row>
    <row r="97" customFormat="false" ht="15" hidden="false" customHeight="false" outlineLevel="0" collapsed="false">
      <c r="A97" s="4" t="n">
        <v>243</v>
      </c>
      <c r="B97" s="4" t="n">
        <v>20</v>
      </c>
      <c r="C97" s="18" t="n">
        <v>0.5</v>
      </c>
      <c r="D97" s="21" t="n">
        <v>0</v>
      </c>
      <c r="E97" s="21" t="n">
        <v>0</v>
      </c>
      <c r="F97" s="21" t="n">
        <v>0</v>
      </c>
      <c r="G97" s="21" t="n">
        <v>-0.01</v>
      </c>
      <c r="H97" s="21" t="n">
        <v>0.01</v>
      </c>
      <c r="I97" s="21" t="n">
        <v>0</v>
      </c>
      <c r="J97" s="21" t="n">
        <v>0</v>
      </c>
      <c r="K97" s="21" t="n">
        <v>0</v>
      </c>
      <c r="L97" s="21" t="n">
        <v>0</v>
      </c>
      <c r="M97" s="21" t="n">
        <v>0</v>
      </c>
      <c r="N97" s="21" t="n">
        <v>-0.01</v>
      </c>
      <c r="O97" s="21" t="n">
        <v>0.01</v>
      </c>
      <c r="P97" s="21" t="n">
        <v>0</v>
      </c>
      <c r="Q97" s="21" t="n">
        <v>0</v>
      </c>
      <c r="R97" s="18" t="n">
        <f aca="false">ABS(D97)+MAX(ABS(G97),ABS(H97))+MAX(ABS(I97),ABS(J97))</f>
        <v>0.01</v>
      </c>
      <c r="S97" s="18" t="n">
        <f aca="false">ABS(K97)+MAX(ABS(N97),ABS(O97))+MAX(ABS(P97),ABS(Q97))</f>
        <v>0.01</v>
      </c>
      <c r="T97" s="18" t="n">
        <f aca="false">MAX(ABS(E97),ABS(F97))</f>
        <v>0</v>
      </c>
      <c r="U97" s="18" t="n">
        <f aca="false">MAX(ABS(L97),ABS(M97))</f>
        <v>0</v>
      </c>
    </row>
    <row r="98" customFormat="false" ht="15" hidden="false" customHeight="false" outlineLevel="0" collapsed="false">
      <c r="A98" s="4" t="n">
        <v>243</v>
      </c>
      <c r="B98" s="4" t="n">
        <v>20</v>
      </c>
      <c r="C98" s="18" t="n">
        <v>0.75</v>
      </c>
      <c r="D98" s="21" t="n">
        <v>0</v>
      </c>
      <c r="E98" s="21" t="n">
        <v>0</v>
      </c>
      <c r="F98" s="21" t="n">
        <v>0</v>
      </c>
      <c r="G98" s="21" t="n">
        <v>0</v>
      </c>
      <c r="H98" s="21" t="n">
        <v>0</v>
      </c>
      <c r="I98" s="21" t="n">
        <v>0</v>
      </c>
      <c r="J98" s="21" t="n">
        <v>0</v>
      </c>
      <c r="K98" s="21" t="n">
        <v>0</v>
      </c>
      <c r="L98" s="21" t="n">
        <v>0</v>
      </c>
      <c r="M98" s="21" t="n">
        <v>0</v>
      </c>
      <c r="N98" s="21" t="n">
        <v>0</v>
      </c>
      <c r="O98" s="21" t="n">
        <v>0</v>
      </c>
      <c r="P98" s="21" t="n">
        <v>0</v>
      </c>
      <c r="Q98" s="21" t="n">
        <v>0</v>
      </c>
      <c r="R98" s="18" t="n">
        <f aca="false">ABS(D98)+MAX(ABS(G98),ABS(H98))+MAX(ABS(I98),ABS(J98))</f>
        <v>0</v>
      </c>
      <c r="S98" s="18" t="n">
        <f aca="false">ABS(K98)+MAX(ABS(N98),ABS(O98))+MAX(ABS(P98),ABS(Q98))</f>
        <v>0</v>
      </c>
      <c r="T98" s="18" t="n">
        <f aca="false">MAX(ABS(E98),ABS(F98))</f>
        <v>0</v>
      </c>
      <c r="U98" s="18" t="n">
        <f aca="false">MAX(ABS(L98),ABS(M98))</f>
        <v>0</v>
      </c>
    </row>
    <row r="99" customFormat="false" ht="15" hidden="false" customHeight="false" outlineLevel="0" collapsed="false">
      <c r="A99" s="4" t="n">
        <v>243</v>
      </c>
      <c r="B99" s="4" t="n">
        <v>20</v>
      </c>
      <c r="C99" s="18" t="n">
        <v>1</v>
      </c>
      <c r="D99" s="21" t="n">
        <v>0</v>
      </c>
      <c r="E99" s="21" t="n">
        <v>0</v>
      </c>
      <c r="F99" s="21" t="n">
        <v>0</v>
      </c>
      <c r="G99" s="21" t="n">
        <v>0</v>
      </c>
      <c r="H99" s="21" t="n">
        <v>0</v>
      </c>
      <c r="I99" s="21" t="n">
        <v>0</v>
      </c>
      <c r="J99" s="21" t="n">
        <v>0</v>
      </c>
      <c r="K99" s="21" t="n">
        <v>0</v>
      </c>
      <c r="L99" s="21" t="n">
        <v>0</v>
      </c>
      <c r="M99" s="21" t="n">
        <v>0</v>
      </c>
      <c r="N99" s="21" t="n">
        <v>0</v>
      </c>
      <c r="O99" s="21" t="n">
        <v>0</v>
      </c>
      <c r="P99" s="21" t="n">
        <v>0</v>
      </c>
      <c r="Q99" s="21" t="n">
        <v>0</v>
      </c>
      <c r="R99" s="18" t="n">
        <f aca="false">ABS(D99)+MAX(ABS(G99),ABS(H99))+MAX(ABS(I99),ABS(J99))</f>
        <v>0</v>
      </c>
      <c r="S99" s="18" t="n">
        <f aca="false">ABS(K99)+MAX(ABS(N99),ABS(O99))+MAX(ABS(P99),ABS(Q99))</f>
        <v>0</v>
      </c>
      <c r="T99" s="18" t="n">
        <f aca="false">MAX(ABS(E99),ABS(F99))</f>
        <v>0</v>
      </c>
      <c r="U99" s="18" t="n">
        <f aca="false">MAX(ABS(L99),ABS(M99))</f>
        <v>0</v>
      </c>
    </row>
    <row r="100" customFormat="false" ht="15" hidden="false" customHeight="false" outlineLevel="0" collapsed="false">
      <c r="A100" s="4" t="n">
        <v>244</v>
      </c>
      <c r="B100" s="4" t="n">
        <v>21</v>
      </c>
      <c r="C100" s="18" t="n">
        <v>0</v>
      </c>
      <c r="D100" s="21" t="n">
        <v>0</v>
      </c>
      <c r="E100" s="21" t="n">
        <v>0</v>
      </c>
      <c r="F100" s="21" t="n">
        <v>0</v>
      </c>
      <c r="G100" s="21" t="n">
        <v>0</v>
      </c>
      <c r="H100" s="21" t="n">
        <v>0</v>
      </c>
      <c r="I100" s="21" t="n">
        <v>0</v>
      </c>
      <c r="J100" s="21" t="n">
        <v>0</v>
      </c>
      <c r="K100" s="21" t="n">
        <v>0</v>
      </c>
      <c r="L100" s="21" t="n">
        <v>0</v>
      </c>
      <c r="M100" s="21" t="n">
        <v>0</v>
      </c>
      <c r="N100" s="21" t="n">
        <v>0</v>
      </c>
      <c r="O100" s="21" t="n">
        <v>0</v>
      </c>
      <c r="P100" s="21" t="n">
        <v>0</v>
      </c>
      <c r="Q100" s="21" t="n">
        <v>0</v>
      </c>
      <c r="R100" s="18" t="n">
        <f aca="false">ABS(D100)+MAX(ABS(G100),ABS(H100))+MAX(ABS(I100),ABS(J100))</f>
        <v>0</v>
      </c>
      <c r="S100" s="18" t="n">
        <f aca="false">ABS(K100)+MAX(ABS(N100),ABS(O100))+MAX(ABS(P100),ABS(Q100))</f>
        <v>0</v>
      </c>
      <c r="T100" s="18" t="n">
        <f aca="false">MAX(ABS(E100),ABS(F100))</f>
        <v>0</v>
      </c>
      <c r="U100" s="18" t="n">
        <f aca="false">MAX(ABS(L100),ABS(M100))</f>
        <v>0</v>
      </c>
    </row>
    <row r="101" customFormat="false" ht="15" hidden="false" customHeight="false" outlineLevel="0" collapsed="false">
      <c r="A101" s="4" t="n">
        <v>244</v>
      </c>
      <c r="B101" s="4" t="n">
        <v>21</v>
      </c>
      <c r="C101" s="18" t="n">
        <v>0.25</v>
      </c>
      <c r="D101" s="21" t="n">
        <v>0</v>
      </c>
      <c r="E101" s="21" t="n">
        <v>0</v>
      </c>
      <c r="F101" s="21" t="n">
        <v>0</v>
      </c>
      <c r="G101" s="21" t="n">
        <v>0</v>
      </c>
      <c r="H101" s="21" t="n">
        <v>0</v>
      </c>
      <c r="I101" s="21" t="n">
        <v>0</v>
      </c>
      <c r="J101" s="21" t="n">
        <v>0</v>
      </c>
      <c r="K101" s="21" t="n">
        <v>0</v>
      </c>
      <c r="L101" s="21" t="n">
        <v>0</v>
      </c>
      <c r="M101" s="21" t="n">
        <v>0</v>
      </c>
      <c r="N101" s="21" t="n">
        <v>0</v>
      </c>
      <c r="O101" s="21" t="n">
        <v>0</v>
      </c>
      <c r="P101" s="21" t="n">
        <v>0</v>
      </c>
      <c r="Q101" s="21" t="n">
        <v>0</v>
      </c>
      <c r="R101" s="18" t="n">
        <f aca="false">ABS(D101)+MAX(ABS(G101),ABS(H101))+MAX(ABS(I101),ABS(J101))</f>
        <v>0</v>
      </c>
      <c r="S101" s="18" t="n">
        <f aca="false">ABS(K101)+MAX(ABS(N101),ABS(O101))+MAX(ABS(P101),ABS(Q101))</f>
        <v>0</v>
      </c>
      <c r="T101" s="18" t="n">
        <f aca="false">MAX(ABS(E101),ABS(F101))</f>
        <v>0</v>
      </c>
      <c r="U101" s="18" t="n">
        <f aca="false">MAX(ABS(L101),ABS(M101))</f>
        <v>0</v>
      </c>
    </row>
    <row r="102" customFormat="false" ht="15" hidden="false" customHeight="false" outlineLevel="0" collapsed="false">
      <c r="A102" s="4" t="n">
        <v>244</v>
      </c>
      <c r="B102" s="4" t="n">
        <v>21</v>
      </c>
      <c r="C102" s="18" t="n">
        <v>0.5</v>
      </c>
      <c r="D102" s="21" t="n">
        <v>0</v>
      </c>
      <c r="E102" s="21" t="n">
        <v>0</v>
      </c>
      <c r="F102" s="21" t="n">
        <v>0</v>
      </c>
      <c r="G102" s="21" t="n">
        <v>0.01</v>
      </c>
      <c r="H102" s="21" t="n">
        <v>-0.01</v>
      </c>
      <c r="I102" s="21" t="n">
        <v>0</v>
      </c>
      <c r="J102" s="21" t="n">
        <v>0</v>
      </c>
      <c r="K102" s="21" t="n">
        <v>0</v>
      </c>
      <c r="L102" s="21" t="n">
        <v>0</v>
      </c>
      <c r="M102" s="21" t="n">
        <v>0</v>
      </c>
      <c r="N102" s="21" t="n">
        <v>0.01</v>
      </c>
      <c r="O102" s="21" t="n">
        <v>-0.01</v>
      </c>
      <c r="P102" s="21" t="n">
        <v>0</v>
      </c>
      <c r="Q102" s="21" t="n">
        <v>0</v>
      </c>
      <c r="R102" s="18" t="n">
        <f aca="false">ABS(D102)+MAX(ABS(G102),ABS(H102))+MAX(ABS(I102),ABS(J102))</f>
        <v>0.01</v>
      </c>
      <c r="S102" s="18" t="n">
        <f aca="false">ABS(K102)+MAX(ABS(N102),ABS(O102))+MAX(ABS(P102),ABS(Q102))</f>
        <v>0.01</v>
      </c>
      <c r="T102" s="18" t="n">
        <f aca="false">MAX(ABS(E102),ABS(F102))</f>
        <v>0</v>
      </c>
      <c r="U102" s="18" t="n">
        <f aca="false">MAX(ABS(L102),ABS(M102))</f>
        <v>0</v>
      </c>
    </row>
    <row r="103" customFormat="false" ht="15" hidden="false" customHeight="false" outlineLevel="0" collapsed="false">
      <c r="A103" s="4" t="n">
        <v>244</v>
      </c>
      <c r="B103" s="4" t="n">
        <v>21</v>
      </c>
      <c r="C103" s="18" t="n">
        <v>0.75</v>
      </c>
      <c r="D103" s="21" t="n">
        <v>0</v>
      </c>
      <c r="E103" s="21" t="n">
        <v>0</v>
      </c>
      <c r="F103" s="21" t="n">
        <v>0</v>
      </c>
      <c r="G103" s="21" t="n">
        <v>0.01</v>
      </c>
      <c r="H103" s="21" t="n">
        <v>-0.01</v>
      </c>
      <c r="I103" s="21" t="n">
        <v>0</v>
      </c>
      <c r="J103" s="21" t="n">
        <v>0</v>
      </c>
      <c r="K103" s="21" t="n">
        <v>0</v>
      </c>
      <c r="L103" s="21" t="n">
        <v>0</v>
      </c>
      <c r="M103" s="21" t="n">
        <v>0</v>
      </c>
      <c r="N103" s="21" t="n">
        <v>0.01</v>
      </c>
      <c r="O103" s="21" t="n">
        <v>-0.01</v>
      </c>
      <c r="P103" s="21" t="n">
        <v>0</v>
      </c>
      <c r="Q103" s="21" t="n">
        <v>0</v>
      </c>
      <c r="R103" s="18" t="n">
        <f aca="false">ABS(D103)+MAX(ABS(G103),ABS(H103))+MAX(ABS(I103),ABS(J103))</f>
        <v>0.01</v>
      </c>
      <c r="S103" s="18" t="n">
        <f aca="false">ABS(K103)+MAX(ABS(N103),ABS(O103))+MAX(ABS(P103),ABS(Q103))</f>
        <v>0.01</v>
      </c>
      <c r="T103" s="18" t="n">
        <f aca="false">MAX(ABS(E103),ABS(F103))</f>
        <v>0</v>
      </c>
      <c r="U103" s="18" t="n">
        <f aca="false">MAX(ABS(L103),ABS(M103))</f>
        <v>0</v>
      </c>
    </row>
    <row r="104" customFormat="false" ht="15" hidden="false" customHeight="false" outlineLevel="0" collapsed="false">
      <c r="A104" s="4" t="n">
        <v>244</v>
      </c>
      <c r="B104" s="4" t="n">
        <v>21</v>
      </c>
      <c r="C104" s="18" t="n">
        <v>1</v>
      </c>
      <c r="D104" s="21" t="n">
        <v>0</v>
      </c>
      <c r="E104" s="21" t="n">
        <v>0</v>
      </c>
      <c r="F104" s="21" t="n">
        <v>0</v>
      </c>
      <c r="G104" s="21" t="n">
        <v>0.02</v>
      </c>
      <c r="H104" s="21" t="n">
        <v>-0.02</v>
      </c>
      <c r="I104" s="21" t="n">
        <v>0</v>
      </c>
      <c r="J104" s="21" t="n">
        <v>0</v>
      </c>
      <c r="K104" s="21" t="n">
        <v>0</v>
      </c>
      <c r="L104" s="21" t="n">
        <v>0</v>
      </c>
      <c r="M104" s="21" t="n">
        <v>0</v>
      </c>
      <c r="N104" s="21" t="n">
        <v>0.02</v>
      </c>
      <c r="O104" s="21" t="n">
        <v>-0.02</v>
      </c>
      <c r="P104" s="21" t="n">
        <v>0</v>
      </c>
      <c r="Q104" s="21" t="n">
        <v>0</v>
      </c>
      <c r="R104" s="18" t="n">
        <f aca="false">ABS(D104)+MAX(ABS(G104),ABS(H104))+MAX(ABS(I104),ABS(J104))</f>
        <v>0.02</v>
      </c>
      <c r="S104" s="18" t="n">
        <f aca="false">ABS(K104)+MAX(ABS(N104),ABS(O104))+MAX(ABS(P104),ABS(Q104))</f>
        <v>0.02</v>
      </c>
      <c r="T104" s="18" t="n">
        <f aca="false">MAX(ABS(E104),ABS(F104))</f>
        <v>0</v>
      </c>
      <c r="U104" s="18" t="n">
        <f aca="false">MAX(ABS(L104),ABS(M104))</f>
        <v>0</v>
      </c>
    </row>
    <row r="105" customFormat="false" ht="15" hidden="false" customHeight="false" outlineLevel="0" collapsed="false">
      <c r="A105" s="4" t="n">
        <v>245</v>
      </c>
      <c r="B105" s="4" t="n">
        <v>22</v>
      </c>
      <c r="C105" s="18" t="n">
        <v>0</v>
      </c>
      <c r="D105" s="21" t="n">
        <v>0</v>
      </c>
      <c r="E105" s="21" t="n">
        <v>0</v>
      </c>
      <c r="F105" s="21" t="n">
        <v>0</v>
      </c>
      <c r="G105" s="21" t="n">
        <v>0.02</v>
      </c>
      <c r="H105" s="21" t="n">
        <v>-0.02</v>
      </c>
      <c r="I105" s="21" t="n">
        <v>0</v>
      </c>
      <c r="J105" s="21" t="n">
        <v>0</v>
      </c>
      <c r="K105" s="21" t="n">
        <v>0</v>
      </c>
      <c r="L105" s="21" t="n">
        <v>0</v>
      </c>
      <c r="M105" s="21" t="n">
        <v>0</v>
      </c>
      <c r="N105" s="21" t="n">
        <v>0.02</v>
      </c>
      <c r="O105" s="21" t="n">
        <v>-0.02</v>
      </c>
      <c r="P105" s="21" t="n">
        <v>0</v>
      </c>
      <c r="Q105" s="21" t="n">
        <v>0</v>
      </c>
      <c r="R105" s="18" t="n">
        <f aca="false">ABS(D105)+MAX(ABS(G105),ABS(H105))+MAX(ABS(I105),ABS(J105))</f>
        <v>0.02</v>
      </c>
      <c r="S105" s="18" t="n">
        <f aca="false">ABS(K105)+MAX(ABS(N105),ABS(O105))+MAX(ABS(P105),ABS(Q105))</f>
        <v>0.02</v>
      </c>
      <c r="T105" s="18" t="n">
        <f aca="false">MAX(ABS(E105),ABS(F105))</f>
        <v>0</v>
      </c>
      <c r="U105" s="18" t="n">
        <f aca="false">MAX(ABS(L105),ABS(M105))</f>
        <v>0</v>
      </c>
    </row>
    <row r="106" customFormat="false" ht="15" hidden="false" customHeight="false" outlineLevel="0" collapsed="false">
      <c r="A106" s="4" t="n">
        <v>245</v>
      </c>
      <c r="B106" s="4" t="n">
        <v>22</v>
      </c>
      <c r="C106" s="18" t="n">
        <v>0.25</v>
      </c>
      <c r="D106" s="21" t="n">
        <v>0</v>
      </c>
      <c r="E106" s="21" t="n">
        <v>0</v>
      </c>
      <c r="F106" s="21" t="n">
        <v>0</v>
      </c>
      <c r="G106" s="21" t="n">
        <v>0.01</v>
      </c>
      <c r="H106" s="21" t="n">
        <v>-0.01</v>
      </c>
      <c r="I106" s="21" t="n">
        <v>0</v>
      </c>
      <c r="J106" s="21" t="n">
        <v>0</v>
      </c>
      <c r="K106" s="21" t="n">
        <v>0</v>
      </c>
      <c r="L106" s="21" t="n">
        <v>0</v>
      </c>
      <c r="M106" s="21" t="n">
        <v>0</v>
      </c>
      <c r="N106" s="21" t="n">
        <v>0.01</v>
      </c>
      <c r="O106" s="21" t="n">
        <v>-0.01</v>
      </c>
      <c r="P106" s="21" t="n">
        <v>0</v>
      </c>
      <c r="Q106" s="21" t="n">
        <v>0</v>
      </c>
      <c r="R106" s="18" t="n">
        <f aca="false">ABS(D106)+MAX(ABS(G106),ABS(H106))+MAX(ABS(I106),ABS(J106))</f>
        <v>0.01</v>
      </c>
      <c r="S106" s="18" t="n">
        <f aca="false">ABS(K106)+MAX(ABS(N106),ABS(O106))+MAX(ABS(P106),ABS(Q106))</f>
        <v>0.01</v>
      </c>
      <c r="T106" s="18" t="n">
        <f aca="false">MAX(ABS(E106),ABS(F106))</f>
        <v>0</v>
      </c>
      <c r="U106" s="18" t="n">
        <f aca="false">MAX(ABS(L106),ABS(M106))</f>
        <v>0</v>
      </c>
    </row>
    <row r="107" customFormat="false" ht="15" hidden="false" customHeight="false" outlineLevel="0" collapsed="false">
      <c r="A107" s="4" t="n">
        <v>245</v>
      </c>
      <c r="B107" s="4" t="n">
        <v>22</v>
      </c>
      <c r="C107" s="18" t="n">
        <v>0.5</v>
      </c>
      <c r="D107" s="21" t="n">
        <v>0</v>
      </c>
      <c r="E107" s="21" t="n">
        <v>0</v>
      </c>
      <c r="F107" s="21" t="n">
        <v>0</v>
      </c>
      <c r="G107" s="21" t="n">
        <v>0.01</v>
      </c>
      <c r="H107" s="21" t="n">
        <v>-0.01</v>
      </c>
      <c r="I107" s="21" t="n">
        <v>0</v>
      </c>
      <c r="J107" s="21" t="n">
        <v>0</v>
      </c>
      <c r="K107" s="21" t="n">
        <v>0</v>
      </c>
      <c r="L107" s="21" t="n">
        <v>0</v>
      </c>
      <c r="M107" s="21" t="n">
        <v>0</v>
      </c>
      <c r="N107" s="21" t="n">
        <v>0.01</v>
      </c>
      <c r="O107" s="21" t="n">
        <v>-0.01</v>
      </c>
      <c r="P107" s="21" t="n">
        <v>0</v>
      </c>
      <c r="Q107" s="21" t="n">
        <v>0</v>
      </c>
      <c r="R107" s="18" t="n">
        <f aca="false">ABS(D107)+MAX(ABS(G107),ABS(H107))+MAX(ABS(I107),ABS(J107))</f>
        <v>0.01</v>
      </c>
      <c r="S107" s="18" t="n">
        <f aca="false">ABS(K107)+MAX(ABS(N107),ABS(O107))+MAX(ABS(P107),ABS(Q107))</f>
        <v>0.01</v>
      </c>
      <c r="T107" s="18" t="n">
        <f aca="false">MAX(ABS(E107),ABS(F107))</f>
        <v>0</v>
      </c>
      <c r="U107" s="18" t="n">
        <f aca="false">MAX(ABS(L107),ABS(M107))</f>
        <v>0</v>
      </c>
    </row>
    <row r="108" customFormat="false" ht="15" hidden="false" customHeight="false" outlineLevel="0" collapsed="false">
      <c r="A108" s="4" t="n">
        <v>245</v>
      </c>
      <c r="B108" s="4" t="n">
        <v>22</v>
      </c>
      <c r="C108" s="18" t="n">
        <v>0.75</v>
      </c>
      <c r="D108" s="21" t="n">
        <v>0</v>
      </c>
      <c r="E108" s="21" t="n">
        <v>0</v>
      </c>
      <c r="F108" s="21" t="n">
        <v>0</v>
      </c>
      <c r="G108" s="21" t="n">
        <v>0</v>
      </c>
      <c r="H108" s="21" t="n">
        <v>0</v>
      </c>
      <c r="I108" s="21" t="n">
        <v>0</v>
      </c>
      <c r="J108" s="21" t="n">
        <v>0</v>
      </c>
      <c r="K108" s="21" t="n">
        <v>0</v>
      </c>
      <c r="L108" s="21" t="n">
        <v>0</v>
      </c>
      <c r="M108" s="21" t="n">
        <v>0</v>
      </c>
      <c r="N108" s="21" t="n">
        <v>0</v>
      </c>
      <c r="O108" s="21" t="n">
        <v>0</v>
      </c>
      <c r="P108" s="21" t="n">
        <v>0</v>
      </c>
      <c r="Q108" s="21" t="n">
        <v>0</v>
      </c>
      <c r="R108" s="18" t="n">
        <f aca="false">ABS(D108)+MAX(ABS(G108),ABS(H108))+MAX(ABS(I108),ABS(J108))</f>
        <v>0</v>
      </c>
      <c r="S108" s="18" t="n">
        <f aca="false">ABS(K108)+MAX(ABS(N108),ABS(O108))+MAX(ABS(P108),ABS(Q108))</f>
        <v>0</v>
      </c>
      <c r="T108" s="18" t="n">
        <f aca="false">MAX(ABS(E108),ABS(F108))</f>
        <v>0</v>
      </c>
      <c r="U108" s="18" t="n">
        <f aca="false">MAX(ABS(L108),ABS(M108))</f>
        <v>0</v>
      </c>
    </row>
    <row r="109" customFormat="false" ht="15" hidden="false" customHeight="false" outlineLevel="0" collapsed="false">
      <c r="A109" s="4" t="n">
        <v>245</v>
      </c>
      <c r="B109" s="4" t="n">
        <v>22</v>
      </c>
      <c r="C109" s="18" t="n">
        <v>1</v>
      </c>
      <c r="D109" s="21" t="n">
        <v>0</v>
      </c>
      <c r="E109" s="21" t="n">
        <v>0</v>
      </c>
      <c r="F109" s="21" t="n">
        <v>0</v>
      </c>
      <c r="G109" s="21" t="n">
        <v>0</v>
      </c>
      <c r="H109" s="21" t="n">
        <v>0</v>
      </c>
      <c r="I109" s="21" t="n">
        <v>0</v>
      </c>
      <c r="J109" s="21" t="n">
        <v>0</v>
      </c>
      <c r="K109" s="21" t="n">
        <v>0</v>
      </c>
      <c r="L109" s="21" t="n">
        <v>0</v>
      </c>
      <c r="M109" s="21" t="n">
        <v>0</v>
      </c>
      <c r="N109" s="21" t="n">
        <v>0</v>
      </c>
      <c r="O109" s="21" t="n">
        <v>0</v>
      </c>
      <c r="P109" s="21" t="n">
        <v>0</v>
      </c>
      <c r="Q109" s="21" t="n">
        <v>0</v>
      </c>
      <c r="R109" s="18" t="n">
        <f aca="false">ABS(D109)+MAX(ABS(G109),ABS(H109))+MAX(ABS(I109),ABS(J109))</f>
        <v>0</v>
      </c>
      <c r="S109" s="18" t="n">
        <f aca="false">ABS(K109)+MAX(ABS(N109),ABS(O109))+MAX(ABS(P109),ABS(Q109))</f>
        <v>0</v>
      </c>
      <c r="T109" s="18" t="n">
        <f aca="false">MAX(ABS(E109),ABS(F109))</f>
        <v>0</v>
      </c>
      <c r="U109" s="18" t="n">
        <f aca="false">MAX(ABS(L109),ABS(M109))</f>
        <v>0</v>
      </c>
    </row>
    <row r="110" customFormat="false" ht="15" hidden="false" customHeight="false" outlineLevel="0" collapsed="false">
      <c r="A110" s="4" t="n">
        <v>246</v>
      </c>
      <c r="B110" s="4" t="n">
        <v>23</v>
      </c>
      <c r="C110" s="18" t="n">
        <v>0</v>
      </c>
      <c r="D110" s="21" t="n">
        <v>0.01</v>
      </c>
      <c r="E110" s="21" t="n">
        <v>0</v>
      </c>
      <c r="F110" s="21" t="n">
        <v>0</v>
      </c>
      <c r="G110" s="21" t="n">
        <v>0</v>
      </c>
      <c r="H110" s="21" t="n">
        <v>0</v>
      </c>
      <c r="I110" s="21" t="n">
        <v>0</v>
      </c>
      <c r="J110" s="21" t="n">
        <v>0</v>
      </c>
      <c r="K110" s="21" t="n">
        <v>0</v>
      </c>
      <c r="L110" s="21" t="n">
        <v>0</v>
      </c>
      <c r="M110" s="21" t="n">
        <v>0</v>
      </c>
      <c r="N110" s="21" t="n">
        <v>0</v>
      </c>
      <c r="O110" s="21" t="n">
        <v>0</v>
      </c>
      <c r="P110" s="21" t="n">
        <v>0</v>
      </c>
      <c r="Q110" s="21" t="n">
        <v>0</v>
      </c>
      <c r="R110" s="18" t="n">
        <f aca="false">ABS(D110)+MAX(ABS(G110),ABS(H110))+MAX(ABS(I110),ABS(J110))</f>
        <v>0.01</v>
      </c>
      <c r="S110" s="18" t="n">
        <f aca="false">ABS(K110)+MAX(ABS(N110),ABS(O110))+MAX(ABS(P110),ABS(Q110))</f>
        <v>0</v>
      </c>
      <c r="T110" s="18" t="n">
        <f aca="false">MAX(ABS(E110),ABS(F110))</f>
        <v>0</v>
      </c>
      <c r="U110" s="18" t="n">
        <f aca="false">MAX(ABS(L110),ABS(M110))</f>
        <v>0</v>
      </c>
    </row>
    <row r="111" customFormat="false" ht="15" hidden="false" customHeight="false" outlineLevel="0" collapsed="false">
      <c r="A111" s="4" t="n">
        <v>246</v>
      </c>
      <c r="B111" s="4" t="n">
        <v>23</v>
      </c>
      <c r="C111" s="18" t="n">
        <v>0.25</v>
      </c>
      <c r="D111" s="21" t="n">
        <v>0.01</v>
      </c>
      <c r="E111" s="21" t="n">
        <v>0</v>
      </c>
      <c r="F111" s="21" t="n">
        <v>0</v>
      </c>
      <c r="G111" s="21" t="n">
        <v>0</v>
      </c>
      <c r="H111" s="21" t="n">
        <v>0</v>
      </c>
      <c r="I111" s="21" t="n">
        <v>0</v>
      </c>
      <c r="J111" s="21" t="n">
        <v>0</v>
      </c>
      <c r="K111" s="21" t="n">
        <v>0</v>
      </c>
      <c r="L111" s="21" t="n">
        <v>0</v>
      </c>
      <c r="M111" s="21" t="n">
        <v>0</v>
      </c>
      <c r="N111" s="21" t="n">
        <v>0</v>
      </c>
      <c r="O111" s="21" t="n">
        <v>0</v>
      </c>
      <c r="P111" s="21" t="n">
        <v>0</v>
      </c>
      <c r="Q111" s="21" t="n">
        <v>0</v>
      </c>
      <c r="R111" s="18" t="n">
        <f aca="false">ABS(D111)+MAX(ABS(G111),ABS(H111))+MAX(ABS(I111),ABS(J111))</f>
        <v>0.01</v>
      </c>
      <c r="S111" s="18" t="n">
        <f aca="false">ABS(K111)+MAX(ABS(N111),ABS(O111))+MAX(ABS(P111),ABS(Q111))</f>
        <v>0</v>
      </c>
      <c r="T111" s="18" t="n">
        <f aca="false">MAX(ABS(E111),ABS(F111))</f>
        <v>0</v>
      </c>
      <c r="U111" s="18" t="n">
        <f aca="false">MAX(ABS(L111),ABS(M111))</f>
        <v>0</v>
      </c>
    </row>
    <row r="112" customFormat="false" ht="15" hidden="false" customHeight="false" outlineLevel="0" collapsed="false">
      <c r="A112" s="4" t="n">
        <v>246</v>
      </c>
      <c r="B112" s="4" t="n">
        <v>23</v>
      </c>
      <c r="C112" s="18" t="n">
        <v>0.5</v>
      </c>
      <c r="D112" s="21" t="n">
        <v>0.01</v>
      </c>
      <c r="E112" s="21" t="n">
        <v>0</v>
      </c>
      <c r="F112" s="21" t="n">
        <v>0</v>
      </c>
      <c r="G112" s="21" t="n">
        <v>0</v>
      </c>
      <c r="H112" s="21" t="n">
        <v>0</v>
      </c>
      <c r="I112" s="21" t="n">
        <v>0</v>
      </c>
      <c r="J112" s="21" t="n">
        <v>0</v>
      </c>
      <c r="K112" s="21" t="n">
        <v>0</v>
      </c>
      <c r="L112" s="21" t="n">
        <v>0</v>
      </c>
      <c r="M112" s="21" t="n">
        <v>0</v>
      </c>
      <c r="N112" s="21" t="n">
        <v>0</v>
      </c>
      <c r="O112" s="21" t="n">
        <v>0</v>
      </c>
      <c r="P112" s="21" t="n">
        <v>0</v>
      </c>
      <c r="Q112" s="21" t="n">
        <v>0</v>
      </c>
      <c r="R112" s="18" t="n">
        <f aca="false">ABS(D112)+MAX(ABS(G112),ABS(H112))+MAX(ABS(I112),ABS(J112))</f>
        <v>0.01</v>
      </c>
      <c r="S112" s="18" t="n">
        <f aca="false">ABS(K112)+MAX(ABS(N112),ABS(O112))+MAX(ABS(P112),ABS(Q112))</f>
        <v>0</v>
      </c>
      <c r="T112" s="18" t="n">
        <f aca="false">MAX(ABS(E112),ABS(F112))</f>
        <v>0</v>
      </c>
      <c r="U112" s="18" t="n">
        <f aca="false">MAX(ABS(L112),ABS(M112))</f>
        <v>0</v>
      </c>
    </row>
    <row r="113" customFormat="false" ht="15" hidden="false" customHeight="false" outlineLevel="0" collapsed="false">
      <c r="A113" s="4" t="n">
        <v>246</v>
      </c>
      <c r="B113" s="4" t="n">
        <v>23</v>
      </c>
      <c r="C113" s="18" t="n">
        <v>0.75</v>
      </c>
      <c r="D113" s="21" t="n">
        <v>0.01</v>
      </c>
      <c r="E113" s="21" t="n">
        <v>0</v>
      </c>
      <c r="F113" s="21" t="n">
        <v>0</v>
      </c>
      <c r="G113" s="21" t="n">
        <v>-0.01</v>
      </c>
      <c r="H113" s="21" t="n">
        <v>0.01</v>
      </c>
      <c r="I113" s="21" t="n">
        <v>0</v>
      </c>
      <c r="J113" s="21" t="n">
        <v>0</v>
      </c>
      <c r="K113" s="21" t="n">
        <v>0</v>
      </c>
      <c r="L113" s="21" t="n">
        <v>0</v>
      </c>
      <c r="M113" s="21" t="n">
        <v>0</v>
      </c>
      <c r="N113" s="21" t="n">
        <v>-0.01</v>
      </c>
      <c r="O113" s="21" t="n">
        <v>0.01</v>
      </c>
      <c r="P113" s="21" t="n">
        <v>0</v>
      </c>
      <c r="Q113" s="21" t="n">
        <v>0</v>
      </c>
      <c r="R113" s="18" t="n">
        <f aca="false">ABS(D113)+MAX(ABS(G113),ABS(H113))+MAX(ABS(I113),ABS(J113))</f>
        <v>0.02</v>
      </c>
      <c r="S113" s="18" t="n">
        <f aca="false">ABS(K113)+MAX(ABS(N113),ABS(O113))+MAX(ABS(P113),ABS(Q113))</f>
        <v>0.01</v>
      </c>
      <c r="T113" s="18" t="n">
        <f aca="false">MAX(ABS(E113),ABS(F113))</f>
        <v>0</v>
      </c>
      <c r="U113" s="18" t="n">
        <f aca="false">MAX(ABS(L113),ABS(M113))</f>
        <v>0</v>
      </c>
    </row>
    <row r="114" customFormat="false" ht="15" hidden="false" customHeight="false" outlineLevel="0" collapsed="false">
      <c r="A114" s="4" t="n">
        <v>246</v>
      </c>
      <c r="B114" s="4" t="n">
        <v>23</v>
      </c>
      <c r="C114" s="18" t="n">
        <v>1</v>
      </c>
      <c r="D114" s="21" t="n">
        <v>0.01</v>
      </c>
      <c r="E114" s="21" t="n">
        <v>0</v>
      </c>
      <c r="F114" s="21" t="n">
        <v>0</v>
      </c>
      <c r="G114" s="21" t="n">
        <v>-0.01</v>
      </c>
      <c r="H114" s="21" t="n">
        <v>0.01</v>
      </c>
      <c r="I114" s="21" t="n">
        <v>0</v>
      </c>
      <c r="J114" s="21" t="n">
        <v>0</v>
      </c>
      <c r="K114" s="21" t="n">
        <v>0</v>
      </c>
      <c r="L114" s="21" t="n">
        <v>0</v>
      </c>
      <c r="M114" s="21" t="n">
        <v>0</v>
      </c>
      <c r="N114" s="21" t="n">
        <v>-0.01</v>
      </c>
      <c r="O114" s="21" t="n">
        <v>0.01</v>
      </c>
      <c r="P114" s="21" t="n">
        <v>0</v>
      </c>
      <c r="Q114" s="21" t="n">
        <v>0</v>
      </c>
      <c r="R114" s="18" t="n">
        <f aca="false">ABS(D114)+MAX(ABS(G114),ABS(H114))+MAX(ABS(I114),ABS(J114))</f>
        <v>0.02</v>
      </c>
      <c r="S114" s="18" t="n">
        <f aca="false">ABS(K114)+MAX(ABS(N114),ABS(O114))+MAX(ABS(P114),ABS(Q114))</f>
        <v>0.01</v>
      </c>
      <c r="T114" s="18" t="n">
        <f aca="false">MAX(ABS(E114),ABS(F114))</f>
        <v>0</v>
      </c>
      <c r="U114" s="18" t="n">
        <f aca="false">MAX(ABS(L114),ABS(M114))</f>
        <v>0</v>
      </c>
    </row>
    <row r="115" customFormat="false" ht="15" hidden="false" customHeight="false" outlineLevel="0" collapsed="false">
      <c r="A115" s="4" t="n">
        <v>247</v>
      </c>
      <c r="B115" s="4" t="n">
        <v>24</v>
      </c>
      <c r="C115" s="18" t="n">
        <v>0</v>
      </c>
      <c r="D115" s="21" t="n">
        <v>0</v>
      </c>
      <c r="E115" s="21" t="n">
        <v>0</v>
      </c>
      <c r="F115" s="21" t="n">
        <v>0</v>
      </c>
      <c r="G115" s="21" t="n">
        <v>-0.01</v>
      </c>
      <c r="H115" s="21" t="n">
        <v>0.01</v>
      </c>
      <c r="I115" s="21" t="n">
        <v>-0.01</v>
      </c>
      <c r="J115" s="21" t="n">
        <v>0</v>
      </c>
      <c r="K115" s="21" t="n">
        <v>0</v>
      </c>
      <c r="L115" s="21" t="n">
        <v>0</v>
      </c>
      <c r="M115" s="21" t="n">
        <v>0</v>
      </c>
      <c r="N115" s="21" t="n">
        <v>-0.01</v>
      </c>
      <c r="O115" s="21" t="n">
        <v>0.01</v>
      </c>
      <c r="P115" s="21" t="n">
        <v>-0.01</v>
      </c>
      <c r="Q115" s="21" t="n">
        <v>0</v>
      </c>
      <c r="R115" s="18" t="n">
        <f aca="false">ABS(D115)+MAX(ABS(G115),ABS(H115))+MAX(ABS(I115),ABS(J115))</f>
        <v>0.02</v>
      </c>
      <c r="S115" s="18" t="n">
        <f aca="false">ABS(K115)+MAX(ABS(N115),ABS(O115))+MAX(ABS(P115),ABS(Q115))</f>
        <v>0.02</v>
      </c>
      <c r="T115" s="18" t="n">
        <f aca="false">MAX(ABS(E115),ABS(F115))</f>
        <v>0</v>
      </c>
      <c r="U115" s="18" t="n">
        <f aca="false">MAX(ABS(L115),ABS(M115))</f>
        <v>0</v>
      </c>
    </row>
    <row r="116" customFormat="false" ht="15" hidden="false" customHeight="false" outlineLevel="0" collapsed="false">
      <c r="A116" s="4" t="n">
        <v>247</v>
      </c>
      <c r="B116" s="4" t="n">
        <v>24</v>
      </c>
      <c r="C116" s="18" t="n">
        <v>0.25</v>
      </c>
      <c r="D116" s="21" t="n">
        <v>0</v>
      </c>
      <c r="E116" s="21" t="n">
        <v>0</v>
      </c>
      <c r="F116" s="21" t="n">
        <v>0</v>
      </c>
      <c r="G116" s="21" t="n">
        <v>-0.01</v>
      </c>
      <c r="H116" s="21" t="n">
        <v>0.01</v>
      </c>
      <c r="I116" s="21" t="n">
        <v>0</v>
      </c>
      <c r="J116" s="21" t="n">
        <v>0</v>
      </c>
      <c r="K116" s="21" t="n">
        <v>0</v>
      </c>
      <c r="L116" s="21" t="n">
        <v>0</v>
      </c>
      <c r="M116" s="21" t="n">
        <v>0</v>
      </c>
      <c r="N116" s="21" t="n">
        <v>-0.01</v>
      </c>
      <c r="O116" s="21" t="n">
        <v>0.01</v>
      </c>
      <c r="P116" s="21" t="n">
        <v>0</v>
      </c>
      <c r="Q116" s="21" t="n">
        <v>0</v>
      </c>
      <c r="R116" s="18" t="n">
        <f aca="false">ABS(D116)+MAX(ABS(G116),ABS(H116))+MAX(ABS(I116),ABS(J116))</f>
        <v>0.01</v>
      </c>
      <c r="S116" s="18" t="n">
        <f aca="false">ABS(K116)+MAX(ABS(N116),ABS(O116))+MAX(ABS(P116),ABS(Q116))</f>
        <v>0.01</v>
      </c>
      <c r="T116" s="18" t="n">
        <f aca="false">MAX(ABS(E116),ABS(F116))</f>
        <v>0</v>
      </c>
      <c r="U116" s="18" t="n">
        <f aca="false">MAX(ABS(L116),ABS(M116))</f>
        <v>0</v>
      </c>
    </row>
    <row r="117" customFormat="false" ht="15" hidden="false" customHeight="false" outlineLevel="0" collapsed="false">
      <c r="A117" s="4" t="n">
        <v>247</v>
      </c>
      <c r="B117" s="4" t="n">
        <v>24</v>
      </c>
      <c r="C117" s="18" t="n">
        <v>0.5</v>
      </c>
      <c r="D117" s="21" t="n">
        <v>0</v>
      </c>
      <c r="E117" s="21" t="n">
        <v>0</v>
      </c>
      <c r="F117" s="21" t="n">
        <v>0</v>
      </c>
      <c r="G117" s="21" t="n">
        <v>0</v>
      </c>
      <c r="H117" s="21" t="n">
        <v>0</v>
      </c>
      <c r="I117" s="21" t="n">
        <v>0</v>
      </c>
      <c r="J117" s="21" t="n">
        <v>0</v>
      </c>
      <c r="K117" s="21" t="n">
        <v>0</v>
      </c>
      <c r="L117" s="21" t="n">
        <v>0</v>
      </c>
      <c r="M117" s="21" t="n">
        <v>0</v>
      </c>
      <c r="N117" s="21" t="n">
        <v>0</v>
      </c>
      <c r="O117" s="21" t="n">
        <v>0</v>
      </c>
      <c r="P117" s="21" t="n">
        <v>0</v>
      </c>
      <c r="Q117" s="21" t="n">
        <v>0</v>
      </c>
      <c r="R117" s="18" t="n">
        <f aca="false">ABS(D117)+MAX(ABS(G117),ABS(H117))+MAX(ABS(I117),ABS(J117))</f>
        <v>0</v>
      </c>
      <c r="S117" s="18" t="n">
        <f aca="false">ABS(K117)+MAX(ABS(N117),ABS(O117))+MAX(ABS(P117),ABS(Q117))</f>
        <v>0</v>
      </c>
      <c r="T117" s="18" t="n">
        <f aca="false">MAX(ABS(E117),ABS(F117))</f>
        <v>0</v>
      </c>
      <c r="U117" s="18" t="n">
        <f aca="false">MAX(ABS(L117),ABS(M117))</f>
        <v>0</v>
      </c>
    </row>
    <row r="118" customFormat="false" ht="15" hidden="false" customHeight="false" outlineLevel="0" collapsed="false">
      <c r="A118" s="4" t="n">
        <v>247</v>
      </c>
      <c r="B118" s="4" t="n">
        <v>24</v>
      </c>
      <c r="C118" s="18" t="n">
        <v>0.75</v>
      </c>
      <c r="D118" s="21" t="n">
        <v>0</v>
      </c>
      <c r="E118" s="21" t="n">
        <v>0</v>
      </c>
      <c r="F118" s="21" t="n">
        <v>0</v>
      </c>
      <c r="G118" s="21" t="n">
        <v>0</v>
      </c>
      <c r="H118" s="21" t="n">
        <v>0</v>
      </c>
      <c r="I118" s="21" t="n">
        <v>0</v>
      </c>
      <c r="J118" s="21" t="n">
        <v>0</v>
      </c>
      <c r="K118" s="21" t="n">
        <v>0</v>
      </c>
      <c r="L118" s="21" t="n">
        <v>0</v>
      </c>
      <c r="M118" s="21" t="n">
        <v>0</v>
      </c>
      <c r="N118" s="21" t="n">
        <v>0</v>
      </c>
      <c r="O118" s="21" t="n">
        <v>0</v>
      </c>
      <c r="P118" s="21" t="n">
        <v>0</v>
      </c>
      <c r="Q118" s="21" t="n">
        <v>0</v>
      </c>
      <c r="R118" s="18" t="n">
        <f aca="false">ABS(D118)+MAX(ABS(G118),ABS(H118))+MAX(ABS(I118),ABS(J118))</f>
        <v>0</v>
      </c>
      <c r="S118" s="18" t="n">
        <f aca="false">ABS(K118)+MAX(ABS(N118),ABS(O118))+MAX(ABS(P118),ABS(Q118))</f>
        <v>0</v>
      </c>
      <c r="T118" s="18" t="n">
        <f aca="false">MAX(ABS(E118),ABS(F118))</f>
        <v>0</v>
      </c>
      <c r="U118" s="18" t="n">
        <f aca="false">MAX(ABS(L118),ABS(M118))</f>
        <v>0</v>
      </c>
    </row>
    <row r="119" customFormat="false" ht="15" hidden="false" customHeight="false" outlineLevel="0" collapsed="false">
      <c r="A119" s="4" t="n">
        <v>247</v>
      </c>
      <c r="B119" s="4" t="n">
        <v>24</v>
      </c>
      <c r="C119" s="18" t="n">
        <v>1</v>
      </c>
      <c r="D119" s="21" t="n">
        <v>0</v>
      </c>
      <c r="E119" s="21" t="n">
        <v>0</v>
      </c>
      <c r="F119" s="21" t="n">
        <v>0</v>
      </c>
      <c r="G119" s="21" t="n">
        <v>0</v>
      </c>
      <c r="H119" s="21" t="n">
        <v>0</v>
      </c>
      <c r="I119" s="21" t="n">
        <v>0.01</v>
      </c>
      <c r="J119" s="21" t="n">
        <v>0</v>
      </c>
      <c r="K119" s="21" t="n">
        <v>0</v>
      </c>
      <c r="L119" s="21" t="n">
        <v>0</v>
      </c>
      <c r="M119" s="21" t="n">
        <v>0</v>
      </c>
      <c r="N119" s="21" t="n">
        <v>0</v>
      </c>
      <c r="O119" s="21" t="n">
        <v>0</v>
      </c>
      <c r="P119" s="21" t="n">
        <v>0.01</v>
      </c>
      <c r="Q119" s="21" t="n">
        <v>0</v>
      </c>
      <c r="R119" s="18" t="n">
        <f aca="false">ABS(D119)+MAX(ABS(G119),ABS(H119))+MAX(ABS(I119),ABS(J119))</f>
        <v>0.01</v>
      </c>
      <c r="S119" s="18" t="n">
        <f aca="false">ABS(K119)+MAX(ABS(N119),ABS(O119))+MAX(ABS(P119),ABS(Q119))</f>
        <v>0.01</v>
      </c>
      <c r="T119" s="18" t="n">
        <f aca="false">MAX(ABS(E119),ABS(F119))</f>
        <v>0</v>
      </c>
      <c r="U119" s="18" t="n">
        <f aca="false">MAX(ABS(L119),ABS(M119))</f>
        <v>0</v>
      </c>
    </row>
    <row r="120" customFormat="false" ht="15" hidden="false" customHeight="false" outlineLevel="0" collapsed="false">
      <c r="A120" s="4" t="n">
        <v>248</v>
      </c>
      <c r="B120" s="4" t="n">
        <v>25</v>
      </c>
      <c r="C120" s="18" t="n">
        <v>0</v>
      </c>
      <c r="D120" s="21" t="n">
        <v>0</v>
      </c>
      <c r="E120" s="21" t="n">
        <v>0</v>
      </c>
      <c r="F120" s="21" t="n">
        <v>0</v>
      </c>
      <c r="G120" s="21" t="n">
        <v>0</v>
      </c>
      <c r="H120" s="21" t="n">
        <v>0</v>
      </c>
      <c r="I120" s="21" t="n">
        <v>0.01</v>
      </c>
      <c r="J120" s="21" t="n">
        <v>0</v>
      </c>
      <c r="K120" s="21" t="n">
        <v>0</v>
      </c>
      <c r="L120" s="21" t="n">
        <v>0</v>
      </c>
      <c r="M120" s="21" t="n">
        <v>0</v>
      </c>
      <c r="N120" s="21" t="n">
        <v>0</v>
      </c>
      <c r="O120" s="21" t="n">
        <v>0</v>
      </c>
      <c r="P120" s="21" t="n">
        <v>0.01</v>
      </c>
      <c r="Q120" s="21" t="n">
        <v>0</v>
      </c>
      <c r="R120" s="18" t="n">
        <f aca="false">ABS(D120)+MAX(ABS(G120),ABS(H120))+MAX(ABS(I120),ABS(J120))</f>
        <v>0.01</v>
      </c>
      <c r="S120" s="18" t="n">
        <f aca="false">ABS(K120)+MAX(ABS(N120),ABS(O120))+MAX(ABS(P120),ABS(Q120))</f>
        <v>0.01</v>
      </c>
      <c r="T120" s="18" t="n">
        <f aca="false">MAX(ABS(E120),ABS(F120))</f>
        <v>0</v>
      </c>
      <c r="U120" s="18" t="n">
        <f aca="false">MAX(ABS(L120),ABS(M120))</f>
        <v>0</v>
      </c>
    </row>
    <row r="121" customFormat="false" ht="15" hidden="false" customHeight="false" outlineLevel="0" collapsed="false">
      <c r="A121" s="4" t="n">
        <v>248</v>
      </c>
      <c r="B121" s="4" t="n">
        <v>25</v>
      </c>
      <c r="C121" s="18" t="n">
        <v>0.25</v>
      </c>
      <c r="D121" s="21" t="n">
        <v>0</v>
      </c>
      <c r="E121" s="21" t="n">
        <v>0</v>
      </c>
      <c r="F121" s="21" t="n">
        <v>0</v>
      </c>
      <c r="G121" s="21" t="n">
        <v>0</v>
      </c>
      <c r="H121" s="21" t="n">
        <v>0</v>
      </c>
      <c r="I121" s="21" t="n">
        <v>0</v>
      </c>
      <c r="J121" s="21" t="n">
        <v>0</v>
      </c>
      <c r="K121" s="21" t="n">
        <v>0</v>
      </c>
      <c r="L121" s="21" t="n">
        <v>0</v>
      </c>
      <c r="M121" s="21" t="n">
        <v>0</v>
      </c>
      <c r="N121" s="21" t="n">
        <v>0</v>
      </c>
      <c r="O121" s="21" t="n">
        <v>0</v>
      </c>
      <c r="P121" s="21" t="n">
        <v>0.01</v>
      </c>
      <c r="Q121" s="21" t="n">
        <v>0</v>
      </c>
      <c r="R121" s="18" t="n">
        <f aca="false">ABS(D121)+MAX(ABS(G121),ABS(H121))+MAX(ABS(I121),ABS(J121))</f>
        <v>0</v>
      </c>
      <c r="S121" s="18" t="n">
        <f aca="false">ABS(K121)+MAX(ABS(N121),ABS(O121))+MAX(ABS(P121),ABS(Q121))</f>
        <v>0.01</v>
      </c>
      <c r="T121" s="18" t="n">
        <f aca="false">MAX(ABS(E121),ABS(F121))</f>
        <v>0</v>
      </c>
      <c r="U121" s="18" t="n">
        <f aca="false">MAX(ABS(L121),ABS(M121))</f>
        <v>0</v>
      </c>
    </row>
    <row r="122" customFormat="false" ht="15" hidden="false" customHeight="false" outlineLevel="0" collapsed="false">
      <c r="A122" s="4" t="n">
        <v>248</v>
      </c>
      <c r="B122" s="4" t="n">
        <v>25</v>
      </c>
      <c r="C122" s="18" t="n">
        <v>0.5</v>
      </c>
      <c r="D122" s="21" t="n">
        <v>0</v>
      </c>
      <c r="E122" s="21" t="n">
        <v>0</v>
      </c>
      <c r="F122" s="21" t="n">
        <v>0</v>
      </c>
      <c r="G122" s="21" t="n">
        <v>-0.01</v>
      </c>
      <c r="H122" s="21" t="n">
        <v>0.01</v>
      </c>
      <c r="I122" s="21" t="n">
        <v>0</v>
      </c>
      <c r="J122" s="21" t="n">
        <v>0</v>
      </c>
      <c r="K122" s="21" t="n">
        <v>0</v>
      </c>
      <c r="L122" s="21" t="n">
        <v>0</v>
      </c>
      <c r="M122" s="21" t="n">
        <v>0</v>
      </c>
      <c r="N122" s="21" t="n">
        <v>-0.01</v>
      </c>
      <c r="O122" s="21" t="n">
        <v>0.01</v>
      </c>
      <c r="P122" s="21" t="n">
        <v>0</v>
      </c>
      <c r="Q122" s="21" t="n">
        <v>0</v>
      </c>
      <c r="R122" s="18" t="n">
        <f aca="false">ABS(D122)+MAX(ABS(G122),ABS(H122))+MAX(ABS(I122),ABS(J122))</f>
        <v>0.01</v>
      </c>
      <c r="S122" s="18" t="n">
        <f aca="false">ABS(K122)+MAX(ABS(N122),ABS(O122))+MAX(ABS(P122),ABS(Q122))</f>
        <v>0.01</v>
      </c>
      <c r="T122" s="18" t="n">
        <f aca="false">MAX(ABS(E122),ABS(F122))</f>
        <v>0</v>
      </c>
      <c r="U122" s="18" t="n">
        <f aca="false">MAX(ABS(L122),ABS(M122))</f>
        <v>0</v>
      </c>
    </row>
    <row r="123" customFormat="false" ht="15" hidden="false" customHeight="false" outlineLevel="0" collapsed="false">
      <c r="A123" s="4" t="n">
        <v>248</v>
      </c>
      <c r="B123" s="4" t="n">
        <v>25</v>
      </c>
      <c r="C123" s="18" t="n">
        <v>0.75</v>
      </c>
      <c r="D123" s="21" t="n">
        <v>0</v>
      </c>
      <c r="E123" s="21" t="n">
        <v>0</v>
      </c>
      <c r="F123" s="21" t="n">
        <v>0</v>
      </c>
      <c r="G123" s="21" t="n">
        <v>-0.01</v>
      </c>
      <c r="H123" s="21" t="n">
        <v>0.01</v>
      </c>
      <c r="I123" s="21" t="n">
        <v>0</v>
      </c>
      <c r="J123" s="21" t="n">
        <v>0</v>
      </c>
      <c r="K123" s="21" t="n">
        <v>0</v>
      </c>
      <c r="L123" s="21" t="n">
        <v>0</v>
      </c>
      <c r="M123" s="21" t="n">
        <v>0</v>
      </c>
      <c r="N123" s="21" t="n">
        <v>-0.01</v>
      </c>
      <c r="O123" s="21" t="n">
        <v>0.01</v>
      </c>
      <c r="P123" s="21" t="n">
        <v>0</v>
      </c>
      <c r="Q123" s="21" t="n">
        <v>0</v>
      </c>
      <c r="R123" s="18" t="n">
        <f aca="false">ABS(D123)+MAX(ABS(G123),ABS(H123))+MAX(ABS(I123),ABS(J123))</f>
        <v>0.01</v>
      </c>
      <c r="S123" s="18" t="n">
        <f aca="false">ABS(K123)+MAX(ABS(N123),ABS(O123))+MAX(ABS(P123),ABS(Q123))</f>
        <v>0.01</v>
      </c>
      <c r="T123" s="18" t="n">
        <f aca="false">MAX(ABS(E123),ABS(F123))</f>
        <v>0</v>
      </c>
      <c r="U123" s="18" t="n">
        <f aca="false">MAX(ABS(L123),ABS(M123))</f>
        <v>0</v>
      </c>
    </row>
    <row r="124" customFormat="false" ht="15" hidden="false" customHeight="false" outlineLevel="0" collapsed="false">
      <c r="A124" s="4" t="n">
        <v>248</v>
      </c>
      <c r="B124" s="4" t="n">
        <v>25</v>
      </c>
      <c r="C124" s="18" t="n">
        <v>1</v>
      </c>
      <c r="D124" s="21" t="n">
        <v>0</v>
      </c>
      <c r="E124" s="21" t="n">
        <v>0</v>
      </c>
      <c r="F124" s="21" t="n">
        <v>0</v>
      </c>
      <c r="G124" s="21" t="n">
        <v>-0.01</v>
      </c>
      <c r="H124" s="21" t="n">
        <v>0.01</v>
      </c>
      <c r="I124" s="21" t="n">
        <v>0</v>
      </c>
      <c r="J124" s="21" t="n">
        <v>0</v>
      </c>
      <c r="K124" s="21" t="n">
        <v>0</v>
      </c>
      <c r="L124" s="21" t="n">
        <v>0</v>
      </c>
      <c r="M124" s="21" t="n">
        <v>0</v>
      </c>
      <c r="N124" s="21" t="n">
        <v>-0.01</v>
      </c>
      <c r="O124" s="21" t="n">
        <v>0.01</v>
      </c>
      <c r="P124" s="21" t="n">
        <v>-0.01</v>
      </c>
      <c r="Q124" s="21" t="n">
        <v>0</v>
      </c>
      <c r="R124" s="18" t="n">
        <f aca="false">ABS(D124)+MAX(ABS(G124),ABS(H124))+MAX(ABS(I124),ABS(J124))</f>
        <v>0.01</v>
      </c>
      <c r="S124" s="18" t="n">
        <f aca="false">ABS(K124)+MAX(ABS(N124),ABS(O124))+MAX(ABS(P124),ABS(Q124))</f>
        <v>0.02</v>
      </c>
      <c r="T124" s="18" t="n">
        <f aca="false">MAX(ABS(E124),ABS(F124))</f>
        <v>0</v>
      </c>
      <c r="U124" s="18" t="n">
        <f aca="false">MAX(ABS(L124),ABS(M124))</f>
        <v>0</v>
      </c>
    </row>
    <row r="125" customFormat="false" ht="15" hidden="false" customHeight="false" outlineLevel="0" collapsed="false">
      <c r="A125" s="4" t="n">
        <v>249</v>
      </c>
      <c r="B125" s="4" t="n">
        <v>26</v>
      </c>
      <c r="C125" s="18" t="n">
        <v>0</v>
      </c>
      <c r="D125" s="21" t="n">
        <v>0</v>
      </c>
      <c r="E125" s="21" t="n">
        <v>0</v>
      </c>
      <c r="F125" s="21" t="n">
        <v>0</v>
      </c>
      <c r="G125" s="21" t="n">
        <v>-0.01</v>
      </c>
      <c r="H125" s="21" t="n">
        <v>0.01</v>
      </c>
      <c r="I125" s="21" t="n">
        <v>0.01</v>
      </c>
      <c r="J125" s="21" t="n">
        <v>0</v>
      </c>
      <c r="K125" s="21" t="n">
        <v>0</v>
      </c>
      <c r="L125" s="21" t="n">
        <v>0</v>
      </c>
      <c r="M125" s="21" t="n">
        <v>0</v>
      </c>
      <c r="N125" s="21" t="n">
        <v>-0.01</v>
      </c>
      <c r="O125" s="21" t="n">
        <v>0.01</v>
      </c>
      <c r="P125" s="21" t="n">
        <v>0.01</v>
      </c>
      <c r="Q125" s="21" t="n">
        <v>0</v>
      </c>
      <c r="R125" s="18" t="n">
        <f aca="false">ABS(D125)+MAX(ABS(G125),ABS(H125))+MAX(ABS(I125),ABS(J125))</f>
        <v>0.02</v>
      </c>
      <c r="S125" s="18" t="n">
        <f aca="false">ABS(K125)+MAX(ABS(N125),ABS(O125))+MAX(ABS(P125),ABS(Q125))</f>
        <v>0.02</v>
      </c>
      <c r="T125" s="18" t="n">
        <f aca="false">MAX(ABS(E125),ABS(F125))</f>
        <v>0</v>
      </c>
      <c r="U125" s="18" t="n">
        <f aca="false">MAX(ABS(L125),ABS(M125))</f>
        <v>0</v>
      </c>
    </row>
    <row r="126" customFormat="false" ht="15" hidden="false" customHeight="false" outlineLevel="0" collapsed="false">
      <c r="A126" s="4" t="n">
        <v>249</v>
      </c>
      <c r="B126" s="4" t="n">
        <v>26</v>
      </c>
      <c r="C126" s="18" t="n">
        <v>0.25</v>
      </c>
      <c r="D126" s="21" t="n">
        <v>0</v>
      </c>
      <c r="E126" s="21" t="n">
        <v>0</v>
      </c>
      <c r="F126" s="21" t="n">
        <v>0</v>
      </c>
      <c r="G126" s="21" t="n">
        <v>-0.01</v>
      </c>
      <c r="H126" s="21" t="n">
        <v>0.01</v>
      </c>
      <c r="I126" s="21" t="n">
        <v>0</v>
      </c>
      <c r="J126" s="21" t="n">
        <v>0</v>
      </c>
      <c r="K126" s="21" t="n">
        <v>0</v>
      </c>
      <c r="L126" s="21" t="n">
        <v>0</v>
      </c>
      <c r="M126" s="21" t="n">
        <v>0</v>
      </c>
      <c r="N126" s="21" t="n">
        <v>-0.01</v>
      </c>
      <c r="O126" s="21" t="n">
        <v>0.01</v>
      </c>
      <c r="P126" s="21" t="n">
        <v>0</v>
      </c>
      <c r="Q126" s="21" t="n">
        <v>0</v>
      </c>
      <c r="R126" s="18" t="n">
        <f aca="false">ABS(D126)+MAX(ABS(G126),ABS(H126))+MAX(ABS(I126),ABS(J126))</f>
        <v>0.01</v>
      </c>
      <c r="S126" s="18" t="n">
        <f aca="false">ABS(K126)+MAX(ABS(N126),ABS(O126))+MAX(ABS(P126),ABS(Q126))</f>
        <v>0.01</v>
      </c>
      <c r="T126" s="18" t="n">
        <f aca="false">MAX(ABS(E126),ABS(F126))</f>
        <v>0</v>
      </c>
      <c r="U126" s="18" t="n">
        <f aca="false">MAX(ABS(L126),ABS(M126))</f>
        <v>0</v>
      </c>
    </row>
    <row r="127" customFormat="false" ht="15" hidden="false" customHeight="false" outlineLevel="0" collapsed="false">
      <c r="A127" s="4" t="n">
        <v>249</v>
      </c>
      <c r="B127" s="4" t="n">
        <v>26</v>
      </c>
      <c r="C127" s="18" t="n">
        <v>0.5</v>
      </c>
      <c r="D127" s="21" t="n">
        <v>0</v>
      </c>
      <c r="E127" s="21" t="n">
        <v>0</v>
      </c>
      <c r="F127" s="21" t="n">
        <v>0</v>
      </c>
      <c r="G127" s="21" t="n">
        <v>0</v>
      </c>
      <c r="H127" s="21" t="n">
        <v>0</v>
      </c>
      <c r="I127" s="21" t="n">
        <v>0</v>
      </c>
      <c r="J127" s="21" t="n">
        <v>0</v>
      </c>
      <c r="K127" s="21" t="n">
        <v>0</v>
      </c>
      <c r="L127" s="21" t="n">
        <v>0</v>
      </c>
      <c r="M127" s="21" t="n">
        <v>0</v>
      </c>
      <c r="N127" s="21" t="n">
        <v>0</v>
      </c>
      <c r="O127" s="21" t="n">
        <v>0</v>
      </c>
      <c r="P127" s="21" t="n">
        <v>0</v>
      </c>
      <c r="Q127" s="21" t="n">
        <v>0</v>
      </c>
      <c r="R127" s="18" t="n">
        <f aca="false">ABS(D127)+MAX(ABS(G127),ABS(H127))+MAX(ABS(I127),ABS(J127))</f>
        <v>0</v>
      </c>
      <c r="S127" s="18" t="n">
        <f aca="false">ABS(K127)+MAX(ABS(N127),ABS(O127))+MAX(ABS(P127),ABS(Q127))</f>
        <v>0</v>
      </c>
      <c r="T127" s="18" t="n">
        <f aca="false">MAX(ABS(E127),ABS(F127))</f>
        <v>0</v>
      </c>
      <c r="U127" s="18" t="n">
        <f aca="false">MAX(ABS(L127),ABS(M127))</f>
        <v>0</v>
      </c>
    </row>
    <row r="128" customFormat="false" ht="15" hidden="false" customHeight="false" outlineLevel="0" collapsed="false">
      <c r="A128" s="4" t="n">
        <v>249</v>
      </c>
      <c r="B128" s="4" t="n">
        <v>26</v>
      </c>
      <c r="C128" s="18" t="n">
        <v>0.75</v>
      </c>
      <c r="D128" s="21" t="n">
        <v>0</v>
      </c>
      <c r="E128" s="21" t="n">
        <v>0</v>
      </c>
      <c r="F128" s="21" t="n">
        <v>0</v>
      </c>
      <c r="G128" s="21" t="n">
        <v>0</v>
      </c>
      <c r="H128" s="21" t="n">
        <v>0</v>
      </c>
      <c r="I128" s="21" t="n">
        <v>0</v>
      </c>
      <c r="J128" s="21" t="n">
        <v>0</v>
      </c>
      <c r="K128" s="21" t="n">
        <v>0</v>
      </c>
      <c r="L128" s="21" t="n">
        <v>0</v>
      </c>
      <c r="M128" s="21" t="n">
        <v>0</v>
      </c>
      <c r="N128" s="21" t="n">
        <v>0</v>
      </c>
      <c r="O128" s="21" t="n">
        <v>0</v>
      </c>
      <c r="P128" s="21" t="n">
        <v>0</v>
      </c>
      <c r="Q128" s="21" t="n">
        <v>0</v>
      </c>
      <c r="R128" s="18" t="n">
        <f aca="false">ABS(D128)+MAX(ABS(G128),ABS(H128))+MAX(ABS(I128),ABS(J128))</f>
        <v>0</v>
      </c>
      <c r="S128" s="18" t="n">
        <f aca="false">ABS(K128)+MAX(ABS(N128),ABS(O128))+MAX(ABS(P128),ABS(Q128))</f>
        <v>0</v>
      </c>
      <c r="T128" s="18" t="n">
        <f aca="false">MAX(ABS(E128),ABS(F128))</f>
        <v>0</v>
      </c>
      <c r="U128" s="18" t="n">
        <f aca="false">MAX(ABS(L128),ABS(M128))</f>
        <v>0</v>
      </c>
    </row>
    <row r="129" customFormat="false" ht="15" hidden="false" customHeight="false" outlineLevel="0" collapsed="false">
      <c r="A129" s="4" t="n">
        <v>249</v>
      </c>
      <c r="B129" s="4" t="n">
        <v>26</v>
      </c>
      <c r="C129" s="18" t="n">
        <v>1</v>
      </c>
      <c r="D129" s="21" t="n">
        <v>0</v>
      </c>
      <c r="E129" s="21" t="n">
        <v>0</v>
      </c>
      <c r="F129" s="21" t="n">
        <v>0</v>
      </c>
      <c r="G129" s="21" t="n">
        <v>0.01</v>
      </c>
      <c r="H129" s="21" t="n">
        <v>-0.01</v>
      </c>
      <c r="I129" s="21" t="n">
        <v>0</v>
      </c>
      <c r="J129" s="21" t="n">
        <v>0</v>
      </c>
      <c r="K129" s="21" t="n">
        <v>0</v>
      </c>
      <c r="L129" s="21" t="n">
        <v>0</v>
      </c>
      <c r="M129" s="21" t="n">
        <v>0</v>
      </c>
      <c r="N129" s="21" t="n">
        <v>0.01</v>
      </c>
      <c r="O129" s="21" t="n">
        <v>-0.01</v>
      </c>
      <c r="P129" s="21" t="n">
        <v>-0.01</v>
      </c>
      <c r="Q129" s="21" t="n">
        <v>0</v>
      </c>
      <c r="R129" s="18" t="n">
        <f aca="false">ABS(D129)+MAX(ABS(G129),ABS(H129))+MAX(ABS(I129),ABS(J129))</f>
        <v>0.01</v>
      </c>
      <c r="S129" s="18" t="n">
        <f aca="false">ABS(K129)+MAX(ABS(N129),ABS(O129))+MAX(ABS(P129),ABS(Q129))</f>
        <v>0.02</v>
      </c>
      <c r="T129" s="18" t="n">
        <f aca="false">MAX(ABS(E129),ABS(F129))</f>
        <v>0</v>
      </c>
      <c r="U129" s="18" t="n">
        <f aca="false">MAX(ABS(L129),ABS(M129))</f>
        <v>0</v>
      </c>
    </row>
    <row r="130" customFormat="false" ht="15" hidden="false" customHeight="false" outlineLevel="0" collapsed="false">
      <c r="A130" s="4" t="n">
        <v>250</v>
      </c>
      <c r="B130" s="4" t="n">
        <v>27</v>
      </c>
      <c r="C130" s="18" t="n">
        <v>0</v>
      </c>
      <c r="D130" s="21" t="n">
        <v>0.01</v>
      </c>
      <c r="E130" s="21" t="n">
        <v>0</v>
      </c>
      <c r="F130" s="21" t="n">
        <v>0</v>
      </c>
      <c r="G130" s="21" t="n">
        <v>0</v>
      </c>
      <c r="H130" s="21" t="n">
        <v>0</v>
      </c>
      <c r="I130" s="21" t="n">
        <v>-0.01</v>
      </c>
      <c r="J130" s="21" t="n">
        <v>0.01</v>
      </c>
      <c r="K130" s="21" t="n">
        <v>0.01</v>
      </c>
      <c r="L130" s="21" t="n">
        <v>0</v>
      </c>
      <c r="M130" s="21" t="n">
        <v>0</v>
      </c>
      <c r="N130" s="21" t="n">
        <v>0</v>
      </c>
      <c r="O130" s="21" t="n">
        <v>0</v>
      </c>
      <c r="P130" s="21" t="n">
        <v>-0.02</v>
      </c>
      <c r="Q130" s="21" t="n">
        <v>0.01</v>
      </c>
      <c r="R130" s="18" t="n">
        <f aca="false">ABS(D130)+MAX(ABS(G130),ABS(H130))+MAX(ABS(I130),ABS(J130))</f>
        <v>0.02</v>
      </c>
      <c r="S130" s="18" t="n">
        <f aca="false">ABS(K130)+MAX(ABS(N130),ABS(O130))+MAX(ABS(P130),ABS(Q130))</f>
        <v>0.03</v>
      </c>
      <c r="T130" s="18" t="n">
        <f aca="false">MAX(ABS(E130),ABS(F130))</f>
        <v>0</v>
      </c>
      <c r="U130" s="18" t="n">
        <f aca="false">MAX(ABS(L130),ABS(M130))</f>
        <v>0</v>
      </c>
    </row>
    <row r="131" customFormat="false" ht="15" hidden="false" customHeight="false" outlineLevel="0" collapsed="false">
      <c r="A131" s="4" t="n">
        <v>250</v>
      </c>
      <c r="B131" s="4" t="n">
        <v>27</v>
      </c>
      <c r="C131" s="18" t="n">
        <v>0.25</v>
      </c>
      <c r="D131" s="21" t="n">
        <v>0.01</v>
      </c>
      <c r="E131" s="21" t="n">
        <v>0</v>
      </c>
      <c r="F131" s="21" t="n">
        <v>0</v>
      </c>
      <c r="G131" s="21" t="n">
        <v>0</v>
      </c>
      <c r="H131" s="21" t="n">
        <v>0</v>
      </c>
      <c r="I131" s="21" t="n">
        <v>-0.01</v>
      </c>
      <c r="J131" s="21" t="n">
        <v>0</v>
      </c>
      <c r="K131" s="21" t="n">
        <v>0.01</v>
      </c>
      <c r="L131" s="21" t="n">
        <v>0</v>
      </c>
      <c r="M131" s="21" t="n">
        <v>0</v>
      </c>
      <c r="N131" s="21" t="n">
        <v>0</v>
      </c>
      <c r="O131" s="21" t="n">
        <v>0</v>
      </c>
      <c r="P131" s="21" t="n">
        <v>-0.01</v>
      </c>
      <c r="Q131" s="21" t="n">
        <v>0.01</v>
      </c>
      <c r="R131" s="18" t="n">
        <f aca="false">ABS(D131)+MAX(ABS(G131),ABS(H131))+MAX(ABS(I131),ABS(J131))</f>
        <v>0.02</v>
      </c>
      <c r="S131" s="18" t="n">
        <f aca="false">ABS(K131)+MAX(ABS(N131),ABS(O131))+MAX(ABS(P131),ABS(Q131))</f>
        <v>0.02</v>
      </c>
      <c r="T131" s="18" t="n">
        <f aca="false">MAX(ABS(E131),ABS(F131))</f>
        <v>0</v>
      </c>
      <c r="U131" s="18" t="n">
        <f aca="false">MAX(ABS(L131),ABS(M131))</f>
        <v>0</v>
      </c>
    </row>
    <row r="132" customFormat="false" ht="15" hidden="false" customHeight="false" outlineLevel="0" collapsed="false">
      <c r="A132" s="4" t="n">
        <v>250</v>
      </c>
      <c r="B132" s="4" t="n">
        <v>27</v>
      </c>
      <c r="C132" s="18" t="n">
        <v>0.5</v>
      </c>
      <c r="D132" s="21" t="n">
        <v>0.01</v>
      </c>
      <c r="E132" s="21" t="n">
        <v>0</v>
      </c>
      <c r="F132" s="21" t="n">
        <v>0</v>
      </c>
      <c r="G132" s="21" t="n">
        <v>0</v>
      </c>
      <c r="H132" s="21" t="n">
        <v>0</v>
      </c>
      <c r="I132" s="21" t="n">
        <v>0</v>
      </c>
      <c r="J132" s="21" t="n">
        <v>0</v>
      </c>
      <c r="K132" s="21" t="n">
        <v>0.01</v>
      </c>
      <c r="L132" s="21" t="n">
        <v>0</v>
      </c>
      <c r="M132" s="21" t="n">
        <v>0</v>
      </c>
      <c r="N132" s="21" t="n">
        <v>0</v>
      </c>
      <c r="O132" s="21" t="n">
        <v>0</v>
      </c>
      <c r="P132" s="21" t="n">
        <v>0</v>
      </c>
      <c r="Q132" s="21" t="n">
        <v>0</v>
      </c>
      <c r="R132" s="18" t="n">
        <f aca="false">ABS(D132)+MAX(ABS(G132),ABS(H132))+MAX(ABS(I132),ABS(J132))</f>
        <v>0.01</v>
      </c>
      <c r="S132" s="18" t="n">
        <f aca="false">ABS(K132)+MAX(ABS(N132),ABS(O132))+MAX(ABS(P132),ABS(Q132))</f>
        <v>0.01</v>
      </c>
      <c r="T132" s="18" t="n">
        <f aca="false">MAX(ABS(E132),ABS(F132))</f>
        <v>0</v>
      </c>
      <c r="U132" s="18" t="n">
        <f aca="false">MAX(ABS(L132),ABS(M132))</f>
        <v>0</v>
      </c>
    </row>
    <row r="133" customFormat="false" ht="15" hidden="false" customHeight="false" outlineLevel="0" collapsed="false">
      <c r="A133" s="4" t="n">
        <v>250</v>
      </c>
      <c r="B133" s="4" t="n">
        <v>27</v>
      </c>
      <c r="C133" s="18" t="n">
        <v>0.75</v>
      </c>
      <c r="D133" s="21" t="n">
        <v>0.01</v>
      </c>
      <c r="E133" s="21" t="n">
        <v>0</v>
      </c>
      <c r="F133" s="21" t="n">
        <v>0</v>
      </c>
      <c r="G133" s="21" t="n">
        <v>0.01</v>
      </c>
      <c r="H133" s="21" t="n">
        <v>-0.01</v>
      </c>
      <c r="I133" s="21" t="n">
        <v>0</v>
      </c>
      <c r="J133" s="21" t="n">
        <v>0</v>
      </c>
      <c r="K133" s="21" t="n">
        <v>0.01</v>
      </c>
      <c r="L133" s="21" t="n">
        <v>0</v>
      </c>
      <c r="M133" s="21" t="n">
        <v>0</v>
      </c>
      <c r="N133" s="21" t="n">
        <v>0.01</v>
      </c>
      <c r="O133" s="21" t="n">
        <v>-0.01</v>
      </c>
      <c r="P133" s="21" t="n">
        <v>0</v>
      </c>
      <c r="Q133" s="21" t="n">
        <v>0</v>
      </c>
      <c r="R133" s="18" t="n">
        <f aca="false">ABS(D133)+MAX(ABS(G133),ABS(H133))+MAX(ABS(I133),ABS(J133))</f>
        <v>0.02</v>
      </c>
      <c r="S133" s="18" t="n">
        <f aca="false">ABS(K133)+MAX(ABS(N133),ABS(O133))+MAX(ABS(P133),ABS(Q133))</f>
        <v>0.02</v>
      </c>
      <c r="T133" s="18" t="n">
        <f aca="false">MAX(ABS(E133),ABS(F133))</f>
        <v>0</v>
      </c>
      <c r="U133" s="18" t="n">
        <f aca="false">MAX(ABS(L133),ABS(M133))</f>
        <v>0</v>
      </c>
    </row>
    <row r="134" customFormat="false" ht="15" hidden="false" customHeight="false" outlineLevel="0" collapsed="false">
      <c r="A134" s="4" t="n">
        <v>250</v>
      </c>
      <c r="B134" s="4" t="n">
        <v>27</v>
      </c>
      <c r="C134" s="18" t="n">
        <v>1</v>
      </c>
      <c r="D134" s="21" t="n">
        <v>0.01</v>
      </c>
      <c r="E134" s="21" t="n">
        <v>0</v>
      </c>
      <c r="F134" s="21" t="n">
        <v>0</v>
      </c>
      <c r="G134" s="21" t="n">
        <v>0.01</v>
      </c>
      <c r="H134" s="21" t="n">
        <v>-0.01</v>
      </c>
      <c r="I134" s="21" t="n">
        <v>0.01</v>
      </c>
      <c r="J134" s="21" t="n">
        <v>0</v>
      </c>
      <c r="K134" s="21" t="n">
        <v>0.01</v>
      </c>
      <c r="L134" s="21" t="n">
        <v>0</v>
      </c>
      <c r="M134" s="21" t="n">
        <v>0</v>
      </c>
      <c r="N134" s="21" t="n">
        <v>0.01</v>
      </c>
      <c r="O134" s="21" t="n">
        <v>-0.01</v>
      </c>
      <c r="P134" s="21" t="n">
        <v>0.01</v>
      </c>
      <c r="Q134" s="21" t="n">
        <v>0</v>
      </c>
      <c r="R134" s="18" t="n">
        <f aca="false">ABS(D134)+MAX(ABS(G134),ABS(H134))+MAX(ABS(I134),ABS(J134))</f>
        <v>0.03</v>
      </c>
      <c r="S134" s="18" t="n">
        <f aca="false">ABS(K134)+MAX(ABS(N134),ABS(O134))+MAX(ABS(P134),ABS(Q134))</f>
        <v>0.03</v>
      </c>
      <c r="T134" s="18" t="n">
        <f aca="false">MAX(ABS(E134),ABS(F134))</f>
        <v>0</v>
      </c>
      <c r="U134" s="18" t="n">
        <f aca="false">MAX(ABS(L134),ABS(M134))</f>
        <v>0</v>
      </c>
    </row>
    <row r="135" customFormat="false" ht="15" hidden="false" customHeight="false" outlineLevel="0" collapsed="false">
      <c r="A135" s="4" t="n">
        <v>251</v>
      </c>
      <c r="B135" s="4" t="n">
        <v>28</v>
      </c>
      <c r="C135" s="18" t="n">
        <v>0</v>
      </c>
      <c r="D135" s="21" t="n">
        <v>0.01</v>
      </c>
      <c r="E135" s="21" t="n">
        <v>0</v>
      </c>
      <c r="F135" s="21" t="n">
        <v>0</v>
      </c>
      <c r="G135" s="21" t="n">
        <v>0.01</v>
      </c>
      <c r="H135" s="21" t="n">
        <v>-0.01</v>
      </c>
      <c r="I135" s="21" t="n">
        <v>-0.01</v>
      </c>
      <c r="J135" s="21" t="n">
        <v>0</v>
      </c>
      <c r="K135" s="21" t="n">
        <v>0.01</v>
      </c>
      <c r="L135" s="21" t="n">
        <v>0</v>
      </c>
      <c r="M135" s="21" t="n">
        <v>0</v>
      </c>
      <c r="N135" s="21" t="n">
        <v>0.01</v>
      </c>
      <c r="O135" s="21" t="n">
        <v>-0.01</v>
      </c>
      <c r="P135" s="21" t="n">
        <v>-0.01</v>
      </c>
      <c r="Q135" s="21" t="n">
        <v>0</v>
      </c>
      <c r="R135" s="18" t="n">
        <f aca="false">ABS(D135)+MAX(ABS(G135),ABS(H135))+MAX(ABS(I135),ABS(J135))</f>
        <v>0.03</v>
      </c>
      <c r="S135" s="18" t="n">
        <f aca="false">ABS(K135)+MAX(ABS(N135),ABS(O135))+MAX(ABS(P135),ABS(Q135))</f>
        <v>0.03</v>
      </c>
      <c r="T135" s="18" t="n">
        <f aca="false">MAX(ABS(E135),ABS(F135))</f>
        <v>0</v>
      </c>
      <c r="U135" s="18" t="n">
        <f aca="false">MAX(ABS(L135),ABS(M135))</f>
        <v>0</v>
      </c>
    </row>
    <row r="136" customFormat="false" ht="15" hidden="false" customHeight="false" outlineLevel="0" collapsed="false">
      <c r="A136" s="4" t="n">
        <v>251</v>
      </c>
      <c r="B136" s="4" t="n">
        <v>28</v>
      </c>
      <c r="C136" s="18" t="n">
        <v>0.25</v>
      </c>
      <c r="D136" s="21" t="n">
        <v>0.01</v>
      </c>
      <c r="E136" s="21" t="n">
        <v>0</v>
      </c>
      <c r="F136" s="21" t="n">
        <v>0</v>
      </c>
      <c r="G136" s="21" t="n">
        <v>0</v>
      </c>
      <c r="H136" s="21" t="n">
        <v>0</v>
      </c>
      <c r="I136" s="21" t="n">
        <v>0</v>
      </c>
      <c r="J136" s="21" t="n">
        <v>0</v>
      </c>
      <c r="K136" s="21" t="n">
        <v>0.01</v>
      </c>
      <c r="L136" s="21" t="n">
        <v>0</v>
      </c>
      <c r="M136" s="21" t="n">
        <v>0</v>
      </c>
      <c r="N136" s="21" t="n">
        <v>0</v>
      </c>
      <c r="O136" s="21" t="n">
        <v>0</v>
      </c>
      <c r="P136" s="21" t="n">
        <v>-0.01</v>
      </c>
      <c r="Q136" s="21" t="n">
        <v>0</v>
      </c>
      <c r="R136" s="18" t="n">
        <f aca="false">ABS(D136)+MAX(ABS(G136),ABS(H136))+MAX(ABS(I136),ABS(J136))</f>
        <v>0.01</v>
      </c>
      <c r="S136" s="18" t="n">
        <f aca="false">ABS(K136)+MAX(ABS(N136),ABS(O136))+MAX(ABS(P136),ABS(Q136))</f>
        <v>0.02</v>
      </c>
      <c r="T136" s="18" t="n">
        <f aca="false">MAX(ABS(E136),ABS(F136))</f>
        <v>0</v>
      </c>
      <c r="U136" s="18" t="n">
        <f aca="false">MAX(ABS(L136),ABS(M136))</f>
        <v>0</v>
      </c>
    </row>
    <row r="137" customFormat="false" ht="15" hidden="false" customHeight="false" outlineLevel="0" collapsed="false">
      <c r="A137" s="4" t="n">
        <v>251</v>
      </c>
      <c r="B137" s="4" t="n">
        <v>28</v>
      </c>
      <c r="C137" s="18" t="n">
        <v>0.5</v>
      </c>
      <c r="D137" s="21" t="n">
        <v>0.01</v>
      </c>
      <c r="E137" s="21" t="n">
        <v>0</v>
      </c>
      <c r="F137" s="21" t="n">
        <v>0</v>
      </c>
      <c r="G137" s="21" t="n">
        <v>0</v>
      </c>
      <c r="H137" s="21" t="n">
        <v>0</v>
      </c>
      <c r="I137" s="21" t="n">
        <v>0</v>
      </c>
      <c r="J137" s="21" t="n">
        <v>0</v>
      </c>
      <c r="K137" s="21" t="n">
        <v>0.01</v>
      </c>
      <c r="L137" s="21" t="n">
        <v>0</v>
      </c>
      <c r="M137" s="21" t="n">
        <v>0</v>
      </c>
      <c r="N137" s="21" t="n">
        <v>-0.01</v>
      </c>
      <c r="O137" s="21" t="n">
        <v>0.01</v>
      </c>
      <c r="P137" s="21" t="n">
        <v>0</v>
      </c>
      <c r="Q137" s="21" t="n">
        <v>0</v>
      </c>
      <c r="R137" s="18" t="n">
        <f aca="false">ABS(D137)+MAX(ABS(G137),ABS(H137))+MAX(ABS(I137),ABS(J137))</f>
        <v>0.01</v>
      </c>
      <c r="S137" s="18" t="n">
        <f aca="false">ABS(K137)+MAX(ABS(N137),ABS(O137))+MAX(ABS(P137),ABS(Q137))</f>
        <v>0.02</v>
      </c>
      <c r="T137" s="18" t="n">
        <f aca="false">MAX(ABS(E137),ABS(F137))</f>
        <v>0</v>
      </c>
      <c r="U137" s="18" t="n">
        <f aca="false">MAX(ABS(L137),ABS(M137))</f>
        <v>0</v>
      </c>
    </row>
    <row r="138" customFormat="false" ht="15" hidden="false" customHeight="false" outlineLevel="0" collapsed="false">
      <c r="A138" s="4" t="n">
        <v>251</v>
      </c>
      <c r="B138" s="4" t="n">
        <v>28</v>
      </c>
      <c r="C138" s="18" t="n">
        <v>0.75</v>
      </c>
      <c r="D138" s="21" t="n">
        <v>0.01</v>
      </c>
      <c r="E138" s="21" t="n">
        <v>0</v>
      </c>
      <c r="F138" s="21" t="n">
        <v>0</v>
      </c>
      <c r="G138" s="21" t="n">
        <v>-0.01</v>
      </c>
      <c r="H138" s="21" t="n">
        <v>0.01</v>
      </c>
      <c r="I138" s="21" t="n">
        <v>0</v>
      </c>
      <c r="J138" s="21" t="n">
        <v>0</v>
      </c>
      <c r="K138" s="21" t="n">
        <v>0.01</v>
      </c>
      <c r="L138" s="21" t="n">
        <v>0</v>
      </c>
      <c r="M138" s="21" t="n">
        <v>0</v>
      </c>
      <c r="N138" s="21" t="n">
        <v>-0.01</v>
      </c>
      <c r="O138" s="21" t="n">
        <v>0.01</v>
      </c>
      <c r="P138" s="21" t="n">
        <v>0</v>
      </c>
      <c r="Q138" s="21" t="n">
        <v>0</v>
      </c>
      <c r="R138" s="18" t="n">
        <f aca="false">ABS(D138)+MAX(ABS(G138),ABS(H138))+MAX(ABS(I138),ABS(J138))</f>
        <v>0.02</v>
      </c>
      <c r="S138" s="18" t="n">
        <f aca="false">ABS(K138)+MAX(ABS(N138),ABS(O138))+MAX(ABS(P138),ABS(Q138))</f>
        <v>0.02</v>
      </c>
      <c r="T138" s="18" t="n">
        <f aca="false">MAX(ABS(E138),ABS(F138))</f>
        <v>0</v>
      </c>
      <c r="U138" s="18" t="n">
        <f aca="false">MAX(ABS(L138),ABS(M138))</f>
        <v>0</v>
      </c>
    </row>
    <row r="139" customFormat="false" ht="15" hidden="false" customHeight="false" outlineLevel="0" collapsed="false">
      <c r="A139" s="4" t="n">
        <v>251</v>
      </c>
      <c r="B139" s="4" t="n">
        <v>28</v>
      </c>
      <c r="C139" s="18" t="n">
        <v>1</v>
      </c>
      <c r="D139" s="21" t="n">
        <v>0.01</v>
      </c>
      <c r="E139" s="21" t="n">
        <v>0</v>
      </c>
      <c r="F139" s="21" t="n">
        <v>0</v>
      </c>
      <c r="G139" s="21" t="n">
        <v>-0.02</v>
      </c>
      <c r="H139" s="21" t="n">
        <v>0.02</v>
      </c>
      <c r="I139" s="21" t="n">
        <v>0</v>
      </c>
      <c r="J139" s="21" t="n">
        <v>0</v>
      </c>
      <c r="K139" s="21" t="n">
        <v>0.01</v>
      </c>
      <c r="L139" s="21" t="n">
        <v>0</v>
      </c>
      <c r="M139" s="21" t="n">
        <v>0</v>
      </c>
      <c r="N139" s="21" t="n">
        <v>-0.02</v>
      </c>
      <c r="O139" s="21" t="n">
        <v>0.02</v>
      </c>
      <c r="P139" s="21" t="n">
        <v>0.01</v>
      </c>
      <c r="Q139" s="21" t="n">
        <v>0</v>
      </c>
      <c r="R139" s="18" t="n">
        <f aca="false">ABS(D139)+MAX(ABS(G139),ABS(H139))+MAX(ABS(I139),ABS(J139))</f>
        <v>0.03</v>
      </c>
      <c r="S139" s="18" t="n">
        <f aca="false">ABS(K139)+MAX(ABS(N139),ABS(O139))+MAX(ABS(P139),ABS(Q139))</f>
        <v>0.04</v>
      </c>
      <c r="T139" s="18" t="n">
        <f aca="false">MAX(ABS(E139),ABS(F139))</f>
        <v>0</v>
      </c>
      <c r="U139" s="18" t="n">
        <f aca="false">MAX(ABS(L139),ABS(M139))</f>
        <v>0</v>
      </c>
    </row>
    <row r="140" customFormat="false" ht="15" hidden="false" customHeight="false" outlineLevel="0" collapsed="false">
      <c r="A140" s="4" t="n">
        <v>252</v>
      </c>
      <c r="B140" s="4" t="n">
        <v>29</v>
      </c>
      <c r="C140" s="18" t="n">
        <v>0</v>
      </c>
      <c r="D140" s="21" t="n">
        <v>0</v>
      </c>
      <c r="E140" s="21" t="n">
        <v>0.01</v>
      </c>
      <c r="F140" s="21" t="n">
        <v>0.04</v>
      </c>
      <c r="G140" s="21" t="n">
        <v>0.03</v>
      </c>
      <c r="H140" s="21" t="n">
        <v>-0.03</v>
      </c>
      <c r="I140" s="21" t="n">
        <v>-0.13</v>
      </c>
      <c r="J140" s="21" t="n">
        <v>0.13</v>
      </c>
      <c r="K140" s="21" t="n">
        <v>0</v>
      </c>
      <c r="L140" s="21" t="n">
        <v>0.02</v>
      </c>
      <c r="M140" s="21" t="n">
        <v>0.04</v>
      </c>
      <c r="N140" s="21" t="n">
        <v>0.04</v>
      </c>
      <c r="O140" s="21" t="n">
        <v>-0.04</v>
      </c>
      <c r="P140" s="21" t="n">
        <v>-0.14</v>
      </c>
      <c r="Q140" s="21" t="n">
        <v>0.14</v>
      </c>
      <c r="R140" s="18" t="n">
        <f aca="false">ABS(D140)+MAX(ABS(G140),ABS(H140))+MAX(ABS(I140),ABS(J140))</f>
        <v>0.16</v>
      </c>
      <c r="S140" s="18" t="n">
        <f aca="false">ABS(K140)+MAX(ABS(N140),ABS(O140))+MAX(ABS(P140),ABS(Q140))</f>
        <v>0.18</v>
      </c>
      <c r="T140" s="18" t="n">
        <f aca="false">MAX(ABS(E140),ABS(F140))</f>
        <v>0.04</v>
      </c>
      <c r="U140" s="18" t="n">
        <f aca="false">MAX(ABS(L140),ABS(M140))</f>
        <v>0.04</v>
      </c>
    </row>
    <row r="141" customFormat="false" ht="15" hidden="false" customHeight="false" outlineLevel="0" collapsed="false">
      <c r="A141" s="4" t="n">
        <v>252</v>
      </c>
      <c r="B141" s="4" t="n">
        <v>29</v>
      </c>
      <c r="C141" s="18" t="n">
        <v>0.25</v>
      </c>
      <c r="D141" s="21" t="n">
        <v>0</v>
      </c>
      <c r="E141" s="21" t="n">
        <v>0.01</v>
      </c>
      <c r="F141" s="21" t="n">
        <v>0.03</v>
      </c>
      <c r="G141" s="21" t="n">
        <v>0.02</v>
      </c>
      <c r="H141" s="21" t="n">
        <v>-0.02</v>
      </c>
      <c r="I141" s="21" t="n">
        <v>-0.05</v>
      </c>
      <c r="J141" s="21" t="n">
        <v>0.05</v>
      </c>
      <c r="K141" s="21" t="n">
        <v>0</v>
      </c>
      <c r="L141" s="21" t="n">
        <v>0.02</v>
      </c>
      <c r="M141" s="21" t="n">
        <v>0.03</v>
      </c>
      <c r="N141" s="21" t="n">
        <v>0.03</v>
      </c>
      <c r="O141" s="21" t="n">
        <v>-0.03</v>
      </c>
      <c r="P141" s="21" t="n">
        <v>-0.07</v>
      </c>
      <c r="Q141" s="21" t="n">
        <v>0.07</v>
      </c>
      <c r="R141" s="18" t="n">
        <f aca="false">ABS(D141)+MAX(ABS(G141),ABS(H141))+MAX(ABS(I141),ABS(J141))</f>
        <v>0.07</v>
      </c>
      <c r="S141" s="18" t="n">
        <f aca="false">ABS(K141)+MAX(ABS(N141),ABS(O141))+MAX(ABS(P141),ABS(Q141))</f>
        <v>0.1</v>
      </c>
      <c r="T141" s="18" t="n">
        <f aca="false">MAX(ABS(E141),ABS(F141))</f>
        <v>0.03</v>
      </c>
      <c r="U141" s="18" t="n">
        <f aca="false">MAX(ABS(L141),ABS(M141))</f>
        <v>0.03</v>
      </c>
    </row>
    <row r="142" customFormat="false" ht="15" hidden="false" customHeight="false" outlineLevel="0" collapsed="false">
      <c r="A142" s="4" t="n">
        <v>252</v>
      </c>
      <c r="B142" s="4" t="n">
        <v>29</v>
      </c>
      <c r="C142" s="18" t="n">
        <v>0.5</v>
      </c>
      <c r="D142" s="21" t="n">
        <v>0</v>
      </c>
      <c r="E142" s="21" t="n">
        <v>0.01</v>
      </c>
      <c r="F142" s="21" t="n">
        <v>0.03</v>
      </c>
      <c r="G142" s="21" t="n">
        <v>0.01</v>
      </c>
      <c r="H142" s="21" t="n">
        <v>-0.01</v>
      </c>
      <c r="I142" s="21" t="n">
        <v>0.01</v>
      </c>
      <c r="J142" s="21" t="n">
        <v>-0.01</v>
      </c>
      <c r="K142" s="21" t="n">
        <v>0</v>
      </c>
      <c r="L142" s="21" t="n">
        <v>0.02</v>
      </c>
      <c r="M142" s="21" t="n">
        <v>0.03</v>
      </c>
      <c r="N142" s="21" t="n">
        <v>0.01</v>
      </c>
      <c r="O142" s="21" t="n">
        <v>-0.01</v>
      </c>
      <c r="P142" s="21" t="n">
        <v>0</v>
      </c>
      <c r="Q142" s="21" t="n">
        <v>0</v>
      </c>
      <c r="R142" s="18" t="n">
        <f aca="false">ABS(D142)+MAX(ABS(G142),ABS(H142))+MAX(ABS(I142),ABS(J142))</f>
        <v>0.02</v>
      </c>
      <c r="S142" s="18" t="n">
        <f aca="false">ABS(K142)+MAX(ABS(N142),ABS(O142))+MAX(ABS(P142),ABS(Q142))</f>
        <v>0.01</v>
      </c>
      <c r="T142" s="18" t="n">
        <f aca="false">MAX(ABS(E142),ABS(F142))</f>
        <v>0.03</v>
      </c>
      <c r="U142" s="18" t="n">
        <f aca="false">MAX(ABS(L142),ABS(M142))</f>
        <v>0.03</v>
      </c>
    </row>
    <row r="143" customFormat="false" ht="15" hidden="false" customHeight="false" outlineLevel="0" collapsed="false">
      <c r="A143" s="4" t="n">
        <v>252</v>
      </c>
      <c r="B143" s="4" t="n">
        <v>29</v>
      </c>
      <c r="C143" s="18" t="n">
        <v>0.75</v>
      </c>
      <c r="D143" s="21" t="n">
        <v>0</v>
      </c>
      <c r="E143" s="21" t="n">
        <v>0.01</v>
      </c>
      <c r="F143" s="21" t="n">
        <v>0.02</v>
      </c>
      <c r="G143" s="21" t="n">
        <v>0</v>
      </c>
      <c r="H143" s="21" t="n">
        <v>0</v>
      </c>
      <c r="I143" s="21" t="n">
        <v>0.07</v>
      </c>
      <c r="J143" s="21" t="n">
        <v>-0.07</v>
      </c>
      <c r="K143" s="21" t="n">
        <v>0</v>
      </c>
      <c r="L143" s="21" t="n">
        <v>0.02</v>
      </c>
      <c r="M143" s="21" t="n">
        <v>0.02</v>
      </c>
      <c r="N143" s="21" t="n">
        <v>0</v>
      </c>
      <c r="O143" s="21" t="n">
        <v>0</v>
      </c>
      <c r="P143" s="21" t="n">
        <v>0.05</v>
      </c>
      <c r="Q143" s="21" t="n">
        <v>-0.05</v>
      </c>
      <c r="R143" s="18" t="n">
        <f aca="false">ABS(D143)+MAX(ABS(G143),ABS(H143))+MAX(ABS(I143),ABS(J143))</f>
        <v>0.07</v>
      </c>
      <c r="S143" s="18" t="n">
        <f aca="false">ABS(K143)+MAX(ABS(N143),ABS(O143))+MAX(ABS(P143),ABS(Q143))</f>
        <v>0.05</v>
      </c>
      <c r="T143" s="18" t="n">
        <f aca="false">MAX(ABS(E143),ABS(F143))</f>
        <v>0.02</v>
      </c>
      <c r="U143" s="18" t="n">
        <f aca="false">MAX(ABS(L143),ABS(M143))</f>
        <v>0.02</v>
      </c>
    </row>
    <row r="144" customFormat="false" ht="15" hidden="false" customHeight="false" outlineLevel="0" collapsed="false">
      <c r="A144" s="4" t="n">
        <v>252</v>
      </c>
      <c r="B144" s="4" t="n">
        <v>29</v>
      </c>
      <c r="C144" s="18" t="n">
        <v>1</v>
      </c>
      <c r="D144" s="21" t="n">
        <v>0</v>
      </c>
      <c r="E144" s="21" t="n">
        <v>0.01</v>
      </c>
      <c r="F144" s="21" t="n">
        <v>0.02</v>
      </c>
      <c r="G144" s="21" t="n">
        <v>-0.01</v>
      </c>
      <c r="H144" s="21" t="n">
        <v>0.01</v>
      </c>
      <c r="I144" s="21" t="n">
        <v>0.1</v>
      </c>
      <c r="J144" s="21" t="n">
        <v>-0.1</v>
      </c>
      <c r="K144" s="21" t="n">
        <v>0</v>
      </c>
      <c r="L144" s="21" t="n">
        <v>0.02</v>
      </c>
      <c r="M144" s="21" t="n">
        <v>0.02</v>
      </c>
      <c r="N144" s="21" t="n">
        <v>-0.02</v>
      </c>
      <c r="O144" s="21" t="n">
        <v>0.02</v>
      </c>
      <c r="P144" s="21" t="n">
        <v>0.09</v>
      </c>
      <c r="Q144" s="21" t="n">
        <v>-0.09</v>
      </c>
      <c r="R144" s="18" t="n">
        <f aca="false">ABS(D144)+MAX(ABS(G144),ABS(H144))+MAX(ABS(I144),ABS(J144))</f>
        <v>0.11</v>
      </c>
      <c r="S144" s="18" t="n">
        <f aca="false">ABS(K144)+MAX(ABS(N144),ABS(O144))+MAX(ABS(P144),ABS(Q144))</f>
        <v>0.11</v>
      </c>
      <c r="T144" s="18" t="n">
        <f aca="false">MAX(ABS(E144),ABS(F144))</f>
        <v>0.02</v>
      </c>
      <c r="U144" s="18" t="n">
        <f aca="false">MAX(ABS(L144),ABS(M144))</f>
        <v>0.02</v>
      </c>
    </row>
    <row r="145" customFormat="false" ht="15" hidden="false" customHeight="false" outlineLevel="0" collapsed="false">
      <c r="A145" s="4" t="n">
        <v>253</v>
      </c>
      <c r="B145" s="4" t="n">
        <v>30</v>
      </c>
      <c r="C145" s="18" t="n">
        <v>0</v>
      </c>
      <c r="D145" s="21" t="n">
        <v>0</v>
      </c>
      <c r="E145" s="21" t="n">
        <v>0.02</v>
      </c>
      <c r="F145" s="21" t="n">
        <v>0.04</v>
      </c>
      <c r="G145" s="21" t="n">
        <v>-0.01</v>
      </c>
      <c r="H145" s="21" t="n">
        <v>0.01</v>
      </c>
      <c r="I145" s="21" t="n">
        <v>0.1</v>
      </c>
      <c r="J145" s="21" t="n">
        <v>-0.1</v>
      </c>
      <c r="K145" s="21" t="n">
        <v>0</v>
      </c>
      <c r="L145" s="21" t="n">
        <v>0.01</v>
      </c>
      <c r="M145" s="21" t="n">
        <v>0.04</v>
      </c>
      <c r="N145" s="21" t="n">
        <v>-0.01</v>
      </c>
      <c r="O145" s="21" t="n">
        <v>0.01</v>
      </c>
      <c r="P145" s="21" t="n">
        <v>0.11</v>
      </c>
      <c r="Q145" s="21" t="n">
        <v>-0.11</v>
      </c>
      <c r="R145" s="18" t="n">
        <f aca="false">ABS(D145)+MAX(ABS(G145),ABS(H145))+MAX(ABS(I145),ABS(J145))</f>
        <v>0.11</v>
      </c>
      <c r="S145" s="18" t="n">
        <f aca="false">ABS(K145)+MAX(ABS(N145),ABS(O145))+MAX(ABS(P145),ABS(Q145))</f>
        <v>0.12</v>
      </c>
      <c r="T145" s="18" t="n">
        <f aca="false">MAX(ABS(E145),ABS(F145))</f>
        <v>0.04</v>
      </c>
      <c r="U145" s="18" t="n">
        <f aca="false">MAX(ABS(L145),ABS(M145))</f>
        <v>0.04</v>
      </c>
    </row>
    <row r="146" customFormat="false" ht="15" hidden="false" customHeight="false" outlineLevel="0" collapsed="false">
      <c r="A146" s="4" t="n">
        <v>253</v>
      </c>
      <c r="B146" s="4" t="n">
        <v>30</v>
      </c>
      <c r="C146" s="18" t="n">
        <v>0.25</v>
      </c>
      <c r="D146" s="21" t="n">
        <v>0</v>
      </c>
      <c r="E146" s="21" t="n">
        <v>0.02</v>
      </c>
      <c r="F146" s="21" t="n">
        <v>0.04</v>
      </c>
      <c r="G146" s="21" t="n">
        <v>-0.01</v>
      </c>
      <c r="H146" s="21" t="n">
        <v>0.01</v>
      </c>
      <c r="I146" s="21" t="n">
        <v>0.12</v>
      </c>
      <c r="J146" s="21" t="n">
        <v>-0.12</v>
      </c>
      <c r="K146" s="21" t="n">
        <v>0</v>
      </c>
      <c r="L146" s="21" t="n">
        <v>0.01</v>
      </c>
      <c r="M146" s="21" t="n">
        <v>0.04</v>
      </c>
      <c r="N146" s="21" t="n">
        <v>-0.01</v>
      </c>
      <c r="O146" s="21" t="n">
        <v>0.01</v>
      </c>
      <c r="P146" s="21" t="n">
        <v>0.13</v>
      </c>
      <c r="Q146" s="21" t="n">
        <v>-0.13</v>
      </c>
      <c r="R146" s="18" t="n">
        <f aca="false">ABS(D146)+MAX(ABS(G146),ABS(H146))+MAX(ABS(I146),ABS(J146))</f>
        <v>0.13</v>
      </c>
      <c r="S146" s="18" t="n">
        <f aca="false">ABS(K146)+MAX(ABS(N146),ABS(O146))+MAX(ABS(P146),ABS(Q146))</f>
        <v>0.14</v>
      </c>
      <c r="T146" s="18" t="n">
        <f aca="false">MAX(ABS(E146),ABS(F146))</f>
        <v>0.04</v>
      </c>
      <c r="U146" s="18" t="n">
        <f aca="false">MAX(ABS(L146),ABS(M146))</f>
        <v>0.04</v>
      </c>
    </row>
    <row r="147" customFormat="false" ht="15" hidden="false" customHeight="false" outlineLevel="0" collapsed="false">
      <c r="A147" s="4" t="n">
        <v>253</v>
      </c>
      <c r="B147" s="4" t="n">
        <v>30</v>
      </c>
      <c r="C147" s="18" t="n">
        <v>0.5</v>
      </c>
      <c r="D147" s="21" t="n">
        <v>0</v>
      </c>
      <c r="E147" s="21" t="n">
        <v>0.02</v>
      </c>
      <c r="F147" s="21" t="n">
        <v>0.04</v>
      </c>
      <c r="G147" s="21" t="n">
        <v>-0.01</v>
      </c>
      <c r="H147" s="21" t="n">
        <v>0.01</v>
      </c>
      <c r="I147" s="21" t="n">
        <v>0.14</v>
      </c>
      <c r="J147" s="21" t="n">
        <v>-0.14</v>
      </c>
      <c r="K147" s="21" t="n">
        <v>0</v>
      </c>
      <c r="L147" s="21" t="n">
        <v>0.01</v>
      </c>
      <c r="M147" s="21" t="n">
        <v>0.04</v>
      </c>
      <c r="N147" s="21" t="n">
        <v>0</v>
      </c>
      <c r="O147" s="21" t="n">
        <v>0</v>
      </c>
      <c r="P147" s="21" t="n">
        <v>0.16</v>
      </c>
      <c r="Q147" s="21" t="n">
        <v>-0.16</v>
      </c>
      <c r="R147" s="18" t="n">
        <f aca="false">ABS(D147)+MAX(ABS(G147),ABS(H147))+MAX(ABS(I147),ABS(J147))</f>
        <v>0.15</v>
      </c>
      <c r="S147" s="18" t="n">
        <f aca="false">ABS(K147)+MAX(ABS(N147),ABS(O147))+MAX(ABS(P147),ABS(Q147))</f>
        <v>0.16</v>
      </c>
      <c r="T147" s="18" t="n">
        <f aca="false">MAX(ABS(E147),ABS(F147))</f>
        <v>0.04</v>
      </c>
      <c r="U147" s="18" t="n">
        <f aca="false">MAX(ABS(L147),ABS(M147))</f>
        <v>0.04</v>
      </c>
    </row>
    <row r="148" customFormat="false" ht="15" hidden="false" customHeight="false" outlineLevel="0" collapsed="false">
      <c r="A148" s="4" t="n">
        <v>253</v>
      </c>
      <c r="B148" s="4" t="n">
        <v>30</v>
      </c>
      <c r="C148" s="18" t="n">
        <v>0.75</v>
      </c>
      <c r="D148" s="21" t="n">
        <v>0</v>
      </c>
      <c r="E148" s="21" t="n">
        <v>0.02</v>
      </c>
      <c r="F148" s="21" t="n">
        <v>0.04</v>
      </c>
      <c r="G148" s="21" t="n">
        <v>0</v>
      </c>
      <c r="H148" s="21" t="n">
        <v>0</v>
      </c>
      <c r="I148" s="21" t="n">
        <v>0.16</v>
      </c>
      <c r="J148" s="21" t="n">
        <v>-0.16</v>
      </c>
      <c r="K148" s="21" t="n">
        <v>0</v>
      </c>
      <c r="L148" s="21" t="n">
        <v>0.01</v>
      </c>
      <c r="M148" s="21" t="n">
        <v>0.04</v>
      </c>
      <c r="N148" s="21" t="n">
        <v>0</v>
      </c>
      <c r="O148" s="21" t="n">
        <v>0</v>
      </c>
      <c r="P148" s="21" t="n">
        <v>0.18</v>
      </c>
      <c r="Q148" s="21" t="n">
        <v>-0.18</v>
      </c>
      <c r="R148" s="18" t="n">
        <f aca="false">ABS(D148)+MAX(ABS(G148),ABS(H148))+MAX(ABS(I148),ABS(J148))</f>
        <v>0.16</v>
      </c>
      <c r="S148" s="18" t="n">
        <f aca="false">ABS(K148)+MAX(ABS(N148),ABS(O148))+MAX(ABS(P148),ABS(Q148))</f>
        <v>0.18</v>
      </c>
      <c r="T148" s="18" t="n">
        <f aca="false">MAX(ABS(E148),ABS(F148))</f>
        <v>0.04</v>
      </c>
      <c r="U148" s="18" t="n">
        <f aca="false">MAX(ABS(L148),ABS(M148))</f>
        <v>0.04</v>
      </c>
    </row>
    <row r="149" customFormat="false" ht="15" hidden="false" customHeight="false" outlineLevel="0" collapsed="false">
      <c r="A149" s="4" t="n">
        <v>253</v>
      </c>
      <c r="B149" s="4" t="n">
        <v>30</v>
      </c>
      <c r="C149" s="18" t="n">
        <v>1</v>
      </c>
      <c r="D149" s="21" t="n">
        <v>0</v>
      </c>
      <c r="E149" s="21" t="n">
        <v>0.02</v>
      </c>
      <c r="F149" s="21" t="n">
        <v>0.04</v>
      </c>
      <c r="G149" s="21" t="n">
        <v>0</v>
      </c>
      <c r="H149" s="21" t="n">
        <v>0</v>
      </c>
      <c r="I149" s="21" t="n">
        <v>0.18</v>
      </c>
      <c r="J149" s="21" t="n">
        <v>-0.18</v>
      </c>
      <c r="K149" s="21" t="n">
        <v>0</v>
      </c>
      <c r="L149" s="21" t="n">
        <v>0.01</v>
      </c>
      <c r="M149" s="21" t="n">
        <v>0.04</v>
      </c>
      <c r="N149" s="21" t="n">
        <v>0</v>
      </c>
      <c r="O149" s="21" t="n">
        <v>0</v>
      </c>
      <c r="P149" s="21" t="n">
        <v>0.2</v>
      </c>
      <c r="Q149" s="21" t="n">
        <v>-0.2</v>
      </c>
      <c r="R149" s="18" t="n">
        <f aca="false">ABS(D149)+MAX(ABS(G149),ABS(H149))+MAX(ABS(I149),ABS(J149))</f>
        <v>0.18</v>
      </c>
      <c r="S149" s="18" t="n">
        <f aca="false">ABS(K149)+MAX(ABS(N149),ABS(O149))+MAX(ABS(P149),ABS(Q149))</f>
        <v>0.2</v>
      </c>
      <c r="T149" s="18" t="n">
        <f aca="false">MAX(ABS(E149),ABS(F149))</f>
        <v>0.04</v>
      </c>
      <c r="U149" s="18" t="n">
        <f aca="false">MAX(ABS(L149),ABS(M149))</f>
        <v>0.04</v>
      </c>
    </row>
    <row r="150" customFormat="false" ht="15" hidden="false" customHeight="false" outlineLevel="0" collapsed="false">
      <c r="A150" s="4" t="n">
        <v>254</v>
      </c>
      <c r="B150" s="4" t="n">
        <v>31</v>
      </c>
      <c r="C150" s="18" t="n">
        <v>0</v>
      </c>
      <c r="D150" s="21" t="n">
        <v>0</v>
      </c>
      <c r="E150" s="21" t="n">
        <v>0</v>
      </c>
      <c r="F150" s="21" t="n">
        <v>0.02</v>
      </c>
      <c r="G150" s="21" t="n">
        <v>0.01</v>
      </c>
      <c r="H150" s="21" t="n">
        <v>-0.01</v>
      </c>
      <c r="I150" s="21" t="n">
        <v>0</v>
      </c>
      <c r="J150" s="21" t="n">
        <v>0</v>
      </c>
      <c r="K150" s="21" t="n">
        <v>0</v>
      </c>
      <c r="L150" s="21" t="n">
        <v>0.01</v>
      </c>
      <c r="M150" s="21" t="n">
        <v>0.03</v>
      </c>
      <c r="N150" s="21" t="n">
        <v>0.02</v>
      </c>
      <c r="O150" s="21" t="n">
        <v>-0.02</v>
      </c>
      <c r="P150" s="21" t="n">
        <v>-0.01</v>
      </c>
      <c r="Q150" s="21" t="n">
        <v>0.01</v>
      </c>
      <c r="R150" s="18" t="n">
        <f aca="false">ABS(D150)+MAX(ABS(G150),ABS(H150))+MAX(ABS(I150),ABS(J150))</f>
        <v>0.01</v>
      </c>
      <c r="S150" s="18" t="n">
        <f aca="false">ABS(K150)+MAX(ABS(N150),ABS(O150))+MAX(ABS(P150),ABS(Q150))</f>
        <v>0.03</v>
      </c>
      <c r="T150" s="18" t="n">
        <f aca="false">MAX(ABS(E150),ABS(F150))</f>
        <v>0.02</v>
      </c>
      <c r="U150" s="18" t="n">
        <f aca="false">MAX(ABS(L150),ABS(M150))</f>
        <v>0.03</v>
      </c>
    </row>
    <row r="151" customFormat="false" ht="15" hidden="false" customHeight="false" outlineLevel="0" collapsed="false">
      <c r="A151" s="4" t="n">
        <v>254</v>
      </c>
      <c r="B151" s="4" t="n">
        <v>31</v>
      </c>
      <c r="C151" s="18" t="n">
        <v>0.25</v>
      </c>
      <c r="D151" s="21" t="n">
        <v>0</v>
      </c>
      <c r="E151" s="21" t="n">
        <v>0</v>
      </c>
      <c r="F151" s="21" t="n">
        <v>0.01</v>
      </c>
      <c r="G151" s="21" t="n">
        <v>0.01</v>
      </c>
      <c r="H151" s="21" t="n">
        <v>-0.01</v>
      </c>
      <c r="I151" s="21" t="n">
        <v>0.08</v>
      </c>
      <c r="J151" s="21" t="n">
        <v>-0.08</v>
      </c>
      <c r="K151" s="21" t="n">
        <v>0</v>
      </c>
      <c r="L151" s="21" t="n">
        <v>0.01</v>
      </c>
      <c r="M151" s="21" t="n">
        <v>0.01</v>
      </c>
      <c r="N151" s="21" t="n">
        <v>0.01</v>
      </c>
      <c r="O151" s="21" t="n">
        <v>-0.01</v>
      </c>
      <c r="P151" s="21" t="n">
        <v>0.07</v>
      </c>
      <c r="Q151" s="21" t="n">
        <v>-0.07</v>
      </c>
      <c r="R151" s="18" t="n">
        <f aca="false">ABS(D151)+MAX(ABS(G151),ABS(H151))+MAX(ABS(I151),ABS(J151))</f>
        <v>0.09</v>
      </c>
      <c r="S151" s="18" t="n">
        <f aca="false">ABS(K151)+MAX(ABS(N151),ABS(O151))+MAX(ABS(P151),ABS(Q151))</f>
        <v>0.08</v>
      </c>
      <c r="T151" s="18" t="n">
        <f aca="false">MAX(ABS(E151),ABS(F151))</f>
        <v>0.01</v>
      </c>
      <c r="U151" s="18" t="n">
        <f aca="false">MAX(ABS(L151),ABS(M151))</f>
        <v>0.01</v>
      </c>
    </row>
    <row r="152" customFormat="false" ht="15" hidden="false" customHeight="false" outlineLevel="0" collapsed="false">
      <c r="A152" s="4" t="n">
        <v>254</v>
      </c>
      <c r="B152" s="4" t="n">
        <v>31</v>
      </c>
      <c r="C152" s="18" t="n">
        <v>0.5</v>
      </c>
      <c r="D152" s="21" t="n">
        <v>0</v>
      </c>
      <c r="E152" s="21" t="n">
        <v>0</v>
      </c>
      <c r="F152" s="21" t="n">
        <v>0</v>
      </c>
      <c r="G152" s="21" t="n">
        <v>0</v>
      </c>
      <c r="H152" s="21" t="n">
        <v>0</v>
      </c>
      <c r="I152" s="21" t="n">
        <v>0.11</v>
      </c>
      <c r="J152" s="21" t="n">
        <v>-0.11</v>
      </c>
      <c r="K152" s="21" t="n">
        <v>0</v>
      </c>
      <c r="L152" s="21" t="n">
        <v>0.01</v>
      </c>
      <c r="M152" s="21" t="n">
        <v>0</v>
      </c>
      <c r="N152" s="21" t="n">
        <v>0</v>
      </c>
      <c r="O152" s="21" t="n">
        <v>0</v>
      </c>
      <c r="P152" s="21" t="n">
        <v>0.1</v>
      </c>
      <c r="Q152" s="21" t="n">
        <v>-0.1</v>
      </c>
      <c r="R152" s="18" t="n">
        <f aca="false">ABS(D152)+MAX(ABS(G152),ABS(H152))+MAX(ABS(I152),ABS(J152))</f>
        <v>0.11</v>
      </c>
      <c r="S152" s="18" t="n">
        <f aca="false">ABS(K152)+MAX(ABS(N152),ABS(O152))+MAX(ABS(P152),ABS(Q152))</f>
        <v>0.1</v>
      </c>
      <c r="T152" s="18" t="n">
        <f aca="false">MAX(ABS(E152),ABS(F152))</f>
        <v>0</v>
      </c>
      <c r="U152" s="18" t="n">
        <f aca="false">MAX(ABS(L152),ABS(M152))</f>
        <v>0.01</v>
      </c>
    </row>
    <row r="153" customFormat="false" ht="15" hidden="false" customHeight="false" outlineLevel="0" collapsed="false">
      <c r="A153" s="4" t="n">
        <v>254</v>
      </c>
      <c r="B153" s="4" t="n">
        <v>31</v>
      </c>
      <c r="C153" s="18" t="n">
        <v>0.75</v>
      </c>
      <c r="D153" s="21" t="n">
        <v>0</v>
      </c>
      <c r="E153" s="21" t="n">
        <v>0</v>
      </c>
      <c r="F153" s="21" t="n">
        <v>0.01</v>
      </c>
      <c r="G153" s="21" t="n">
        <v>0</v>
      </c>
      <c r="H153" s="21" t="n">
        <v>0</v>
      </c>
      <c r="I153" s="21" t="n">
        <v>0.09</v>
      </c>
      <c r="J153" s="21" t="n">
        <v>-0.09</v>
      </c>
      <c r="K153" s="21" t="n">
        <v>0</v>
      </c>
      <c r="L153" s="21" t="n">
        <v>0.01</v>
      </c>
      <c r="M153" s="21" t="n">
        <v>0.01</v>
      </c>
      <c r="N153" s="21" t="n">
        <v>-0.01</v>
      </c>
      <c r="O153" s="21" t="n">
        <v>0.01</v>
      </c>
      <c r="P153" s="21" t="n">
        <v>0.09</v>
      </c>
      <c r="Q153" s="21" t="n">
        <v>-0.09</v>
      </c>
      <c r="R153" s="18" t="n">
        <f aca="false">ABS(D153)+MAX(ABS(G153),ABS(H153))+MAX(ABS(I153),ABS(J153))</f>
        <v>0.09</v>
      </c>
      <c r="S153" s="18" t="n">
        <f aca="false">ABS(K153)+MAX(ABS(N153),ABS(O153))+MAX(ABS(P153),ABS(Q153))</f>
        <v>0.1</v>
      </c>
      <c r="T153" s="18" t="n">
        <f aca="false">MAX(ABS(E153),ABS(F153))</f>
        <v>0.01</v>
      </c>
      <c r="U153" s="18" t="n">
        <f aca="false">MAX(ABS(L153),ABS(M153))</f>
        <v>0.01</v>
      </c>
    </row>
    <row r="154" customFormat="false" ht="15" hidden="false" customHeight="false" outlineLevel="0" collapsed="false">
      <c r="A154" s="4" t="n">
        <v>254</v>
      </c>
      <c r="B154" s="4" t="n">
        <v>31</v>
      </c>
      <c r="C154" s="18" t="n">
        <v>1</v>
      </c>
      <c r="D154" s="21" t="n">
        <v>0</v>
      </c>
      <c r="E154" s="21" t="n">
        <v>0</v>
      </c>
      <c r="F154" s="21" t="n">
        <v>0.02</v>
      </c>
      <c r="G154" s="21" t="n">
        <v>-0.01</v>
      </c>
      <c r="H154" s="21" t="n">
        <v>0.01</v>
      </c>
      <c r="I154" s="21" t="n">
        <v>0.02</v>
      </c>
      <c r="J154" s="21" t="n">
        <v>-0.02</v>
      </c>
      <c r="K154" s="21" t="n">
        <v>0</v>
      </c>
      <c r="L154" s="21" t="n">
        <v>0.01</v>
      </c>
      <c r="M154" s="21" t="n">
        <v>0.02</v>
      </c>
      <c r="N154" s="21" t="n">
        <v>-0.01</v>
      </c>
      <c r="O154" s="21" t="n">
        <v>0.01</v>
      </c>
      <c r="P154" s="21" t="n">
        <v>0.02</v>
      </c>
      <c r="Q154" s="21" t="n">
        <v>-0.02</v>
      </c>
      <c r="R154" s="18" t="n">
        <f aca="false">ABS(D154)+MAX(ABS(G154),ABS(H154))+MAX(ABS(I154),ABS(J154))</f>
        <v>0.03</v>
      </c>
      <c r="S154" s="18" t="n">
        <f aca="false">ABS(K154)+MAX(ABS(N154),ABS(O154))+MAX(ABS(P154),ABS(Q154))</f>
        <v>0.03</v>
      </c>
      <c r="T154" s="18" t="n">
        <f aca="false">MAX(ABS(E154),ABS(F154))</f>
        <v>0.02</v>
      </c>
      <c r="U154" s="18" t="n">
        <f aca="false">MAX(ABS(L154),ABS(M154))</f>
        <v>0.02</v>
      </c>
    </row>
    <row r="155" customFormat="false" ht="15" hidden="false" customHeight="false" outlineLevel="0" collapsed="false">
      <c r="A155" s="4" t="n">
        <v>255</v>
      </c>
      <c r="B155" s="4" t="n">
        <v>32</v>
      </c>
      <c r="C155" s="18" t="n">
        <v>0</v>
      </c>
      <c r="D155" s="21" t="n">
        <v>0</v>
      </c>
      <c r="E155" s="21" t="n">
        <v>0.02</v>
      </c>
      <c r="F155" s="21" t="n">
        <v>0.01</v>
      </c>
      <c r="G155" s="21" t="n">
        <v>-0.01</v>
      </c>
      <c r="H155" s="21" t="n">
        <v>0.01</v>
      </c>
      <c r="I155" s="21" t="n">
        <v>0.02</v>
      </c>
      <c r="J155" s="21" t="n">
        <v>-0.02</v>
      </c>
      <c r="K155" s="21" t="n">
        <v>0</v>
      </c>
      <c r="L155" s="21" t="n">
        <v>0.01</v>
      </c>
      <c r="M155" s="21" t="n">
        <v>0.01</v>
      </c>
      <c r="N155" s="21" t="n">
        <v>-0.01</v>
      </c>
      <c r="O155" s="21" t="n">
        <v>0.01</v>
      </c>
      <c r="P155" s="21" t="n">
        <v>0.04</v>
      </c>
      <c r="Q155" s="21" t="n">
        <v>-0.04</v>
      </c>
      <c r="R155" s="18" t="n">
        <f aca="false">ABS(D155)+MAX(ABS(G155),ABS(H155))+MAX(ABS(I155),ABS(J155))</f>
        <v>0.03</v>
      </c>
      <c r="S155" s="18" t="n">
        <f aca="false">ABS(K155)+MAX(ABS(N155),ABS(O155))+MAX(ABS(P155),ABS(Q155))</f>
        <v>0.05</v>
      </c>
      <c r="T155" s="18" t="n">
        <f aca="false">MAX(ABS(E155),ABS(F155))</f>
        <v>0.02</v>
      </c>
      <c r="U155" s="18" t="n">
        <f aca="false">MAX(ABS(L155),ABS(M155))</f>
        <v>0.01</v>
      </c>
    </row>
    <row r="156" customFormat="false" ht="15" hidden="false" customHeight="false" outlineLevel="0" collapsed="false">
      <c r="A156" s="4" t="n">
        <v>255</v>
      </c>
      <c r="B156" s="4" t="n">
        <v>32</v>
      </c>
      <c r="C156" s="18" t="n">
        <v>0.25</v>
      </c>
      <c r="D156" s="21" t="n">
        <v>0</v>
      </c>
      <c r="E156" s="21" t="n">
        <v>0.02</v>
      </c>
      <c r="F156" s="21" t="n">
        <v>0.01</v>
      </c>
      <c r="G156" s="21" t="n">
        <v>-0.01</v>
      </c>
      <c r="H156" s="21" t="n">
        <v>0.01</v>
      </c>
      <c r="I156" s="21" t="n">
        <v>0.02</v>
      </c>
      <c r="J156" s="21" t="n">
        <v>-0.02</v>
      </c>
      <c r="K156" s="21" t="n">
        <v>0</v>
      </c>
      <c r="L156" s="21" t="n">
        <v>0.01</v>
      </c>
      <c r="M156" s="21" t="n">
        <v>0.01</v>
      </c>
      <c r="N156" s="21" t="n">
        <v>-0.01</v>
      </c>
      <c r="O156" s="21" t="n">
        <v>0.01</v>
      </c>
      <c r="P156" s="21" t="n">
        <v>0.03</v>
      </c>
      <c r="Q156" s="21" t="n">
        <v>-0.03</v>
      </c>
      <c r="R156" s="18" t="n">
        <f aca="false">ABS(D156)+MAX(ABS(G156),ABS(H156))+MAX(ABS(I156),ABS(J156))</f>
        <v>0.03</v>
      </c>
      <c r="S156" s="18" t="n">
        <f aca="false">ABS(K156)+MAX(ABS(N156),ABS(O156))+MAX(ABS(P156),ABS(Q156))</f>
        <v>0.04</v>
      </c>
      <c r="T156" s="18" t="n">
        <f aca="false">MAX(ABS(E156),ABS(F156))</f>
        <v>0.02</v>
      </c>
      <c r="U156" s="18" t="n">
        <f aca="false">MAX(ABS(L156),ABS(M156))</f>
        <v>0.01</v>
      </c>
    </row>
    <row r="157" customFormat="false" ht="15" hidden="false" customHeight="false" outlineLevel="0" collapsed="false">
      <c r="A157" s="4" t="n">
        <v>255</v>
      </c>
      <c r="B157" s="4" t="n">
        <v>32</v>
      </c>
      <c r="C157" s="18" t="n">
        <v>0.5</v>
      </c>
      <c r="D157" s="21" t="n">
        <v>0</v>
      </c>
      <c r="E157" s="21" t="n">
        <v>0.02</v>
      </c>
      <c r="F157" s="21" t="n">
        <v>0.01</v>
      </c>
      <c r="G157" s="21" t="n">
        <v>0</v>
      </c>
      <c r="H157" s="21" t="n">
        <v>0</v>
      </c>
      <c r="I157" s="21" t="n">
        <v>0.01</v>
      </c>
      <c r="J157" s="21" t="n">
        <v>-0.01</v>
      </c>
      <c r="K157" s="21" t="n">
        <v>0</v>
      </c>
      <c r="L157" s="21" t="n">
        <v>0.01</v>
      </c>
      <c r="M157" s="21" t="n">
        <v>0.01</v>
      </c>
      <c r="N157" s="21" t="n">
        <v>0</v>
      </c>
      <c r="O157" s="21" t="n">
        <v>0</v>
      </c>
      <c r="P157" s="21" t="n">
        <v>0.03</v>
      </c>
      <c r="Q157" s="21" t="n">
        <v>-0.03</v>
      </c>
      <c r="R157" s="18" t="n">
        <f aca="false">ABS(D157)+MAX(ABS(G157),ABS(H157))+MAX(ABS(I157),ABS(J157))</f>
        <v>0.01</v>
      </c>
      <c r="S157" s="18" t="n">
        <f aca="false">ABS(K157)+MAX(ABS(N157),ABS(O157))+MAX(ABS(P157),ABS(Q157))</f>
        <v>0.03</v>
      </c>
      <c r="T157" s="18" t="n">
        <f aca="false">MAX(ABS(E157),ABS(F157))</f>
        <v>0.02</v>
      </c>
      <c r="U157" s="18" t="n">
        <f aca="false">MAX(ABS(L157),ABS(M157))</f>
        <v>0.01</v>
      </c>
    </row>
    <row r="158" customFormat="false" ht="15" hidden="false" customHeight="false" outlineLevel="0" collapsed="false">
      <c r="A158" s="4" t="n">
        <v>255</v>
      </c>
      <c r="B158" s="4" t="n">
        <v>32</v>
      </c>
      <c r="C158" s="18" t="n">
        <v>0.75</v>
      </c>
      <c r="D158" s="21" t="n">
        <v>0</v>
      </c>
      <c r="E158" s="21" t="n">
        <v>0.02</v>
      </c>
      <c r="F158" s="21" t="n">
        <v>0.01</v>
      </c>
      <c r="G158" s="21" t="n">
        <v>0</v>
      </c>
      <c r="H158" s="21" t="n">
        <v>0</v>
      </c>
      <c r="I158" s="21" t="n">
        <v>0.01</v>
      </c>
      <c r="J158" s="21" t="n">
        <v>-0.01</v>
      </c>
      <c r="K158" s="21" t="n">
        <v>0</v>
      </c>
      <c r="L158" s="21" t="n">
        <v>0.01</v>
      </c>
      <c r="M158" s="21" t="n">
        <v>0.01</v>
      </c>
      <c r="N158" s="21" t="n">
        <v>0</v>
      </c>
      <c r="O158" s="21" t="n">
        <v>0</v>
      </c>
      <c r="P158" s="21" t="n">
        <v>0.02</v>
      </c>
      <c r="Q158" s="21" t="n">
        <v>-0.02</v>
      </c>
      <c r="R158" s="18" t="n">
        <f aca="false">ABS(D158)+MAX(ABS(G158),ABS(H158))+MAX(ABS(I158),ABS(J158))</f>
        <v>0.01</v>
      </c>
      <c r="S158" s="18" t="n">
        <f aca="false">ABS(K158)+MAX(ABS(N158),ABS(O158))+MAX(ABS(P158),ABS(Q158))</f>
        <v>0.02</v>
      </c>
      <c r="T158" s="18" t="n">
        <f aca="false">MAX(ABS(E158),ABS(F158))</f>
        <v>0.02</v>
      </c>
      <c r="U158" s="18" t="n">
        <f aca="false">MAX(ABS(L158),ABS(M158))</f>
        <v>0.01</v>
      </c>
    </row>
    <row r="159" customFormat="false" ht="15" hidden="false" customHeight="false" outlineLevel="0" collapsed="false">
      <c r="A159" s="4" t="n">
        <v>255</v>
      </c>
      <c r="B159" s="4" t="n">
        <v>32</v>
      </c>
      <c r="C159" s="18" t="n">
        <v>1</v>
      </c>
      <c r="D159" s="21" t="n">
        <v>0</v>
      </c>
      <c r="E159" s="21" t="n">
        <v>0.02</v>
      </c>
      <c r="F159" s="21" t="n">
        <v>0.01</v>
      </c>
      <c r="G159" s="21" t="n">
        <v>0</v>
      </c>
      <c r="H159" s="21" t="n">
        <v>0</v>
      </c>
      <c r="I159" s="21" t="n">
        <v>0</v>
      </c>
      <c r="J159" s="21" t="n">
        <v>0</v>
      </c>
      <c r="K159" s="21" t="n">
        <v>0</v>
      </c>
      <c r="L159" s="21" t="n">
        <v>0.01</v>
      </c>
      <c r="M159" s="21" t="n">
        <v>0.02</v>
      </c>
      <c r="N159" s="21" t="n">
        <v>0</v>
      </c>
      <c r="O159" s="21" t="n">
        <v>0</v>
      </c>
      <c r="P159" s="21" t="n">
        <v>0.02</v>
      </c>
      <c r="Q159" s="21" t="n">
        <v>-0.02</v>
      </c>
      <c r="R159" s="18" t="n">
        <f aca="false">ABS(D159)+MAX(ABS(G159),ABS(H159))+MAX(ABS(I159),ABS(J159))</f>
        <v>0</v>
      </c>
      <c r="S159" s="18" t="n">
        <f aca="false">ABS(K159)+MAX(ABS(N159),ABS(O159))+MAX(ABS(P159),ABS(Q159))</f>
        <v>0.02</v>
      </c>
      <c r="T159" s="18" t="n">
        <f aca="false">MAX(ABS(E159),ABS(F159))</f>
        <v>0.02</v>
      </c>
      <c r="U159" s="18" t="n">
        <f aca="false">MAX(ABS(L159),ABS(M159))</f>
        <v>0.02</v>
      </c>
    </row>
    <row r="160" customFormat="false" ht="15" hidden="false" customHeight="false" outlineLevel="0" collapsed="false">
      <c r="A160" s="4" t="n">
        <v>256</v>
      </c>
      <c r="B160" s="4" t="n">
        <v>33</v>
      </c>
      <c r="C160" s="18" t="n">
        <v>0</v>
      </c>
      <c r="D160" s="21" t="n">
        <v>0</v>
      </c>
      <c r="E160" s="21" t="n">
        <v>0.01</v>
      </c>
      <c r="F160" s="21" t="n">
        <v>0.01</v>
      </c>
      <c r="G160" s="21" t="n">
        <v>0.01</v>
      </c>
      <c r="H160" s="21" t="n">
        <v>-0.01</v>
      </c>
      <c r="I160" s="21" t="n">
        <v>0.09</v>
      </c>
      <c r="J160" s="21" t="n">
        <v>-0.09</v>
      </c>
      <c r="K160" s="21" t="n">
        <v>0</v>
      </c>
      <c r="L160" s="21" t="n">
        <v>0.02</v>
      </c>
      <c r="M160" s="21" t="n">
        <v>0.01</v>
      </c>
      <c r="N160" s="21" t="n">
        <v>0.02</v>
      </c>
      <c r="O160" s="21" t="n">
        <v>-0.02</v>
      </c>
      <c r="P160" s="21" t="n">
        <v>0.07</v>
      </c>
      <c r="Q160" s="21" t="n">
        <v>-0.07</v>
      </c>
      <c r="R160" s="18" t="n">
        <f aca="false">ABS(D160)+MAX(ABS(G160),ABS(H160))+MAX(ABS(I160),ABS(J160))</f>
        <v>0.1</v>
      </c>
      <c r="S160" s="18" t="n">
        <f aca="false">ABS(K160)+MAX(ABS(N160),ABS(O160))+MAX(ABS(P160),ABS(Q160))</f>
        <v>0.09</v>
      </c>
      <c r="T160" s="18" t="n">
        <f aca="false">MAX(ABS(E160),ABS(F160))</f>
        <v>0.01</v>
      </c>
      <c r="U160" s="18" t="n">
        <f aca="false">MAX(ABS(L160),ABS(M160))</f>
        <v>0.02</v>
      </c>
    </row>
    <row r="161" customFormat="false" ht="15" hidden="false" customHeight="false" outlineLevel="0" collapsed="false">
      <c r="A161" s="4" t="n">
        <v>256</v>
      </c>
      <c r="B161" s="4" t="n">
        <v>33</v>
      </c>
      <c r="C161" s="18" t="n">
        <v>0.25</v>
      </c>
      <c r="D161" s="21" t="n">
        <v>0</v>
      </c>
      <c r="E161" s="21" t="n">
        <v>0.01</v>
      </c>
      <c r="F161" s="21" t="n">
        <v>0.02</v>
      </c>
      <c r="G161" s="21" t="n">
        <v>0</v>
      </c>
      <c r="H161" s="21" t="n">
        <v>0</v>
      </c>
      <c r="I161" s="21" t="n">
        <v>0.06</v>
      </c>
      <c r="J161" s="21" t="n">
        <v>-0.06</v>
      </c>
      <c r="K161" s="21" t="n">
        <v>0</v>
      </c>
      <c r="L161" s="21" t="n">
        <v>0.02</v>
      </c>
      <c r="M161" s="21" t="n">
        <v>0.02</v>
      </c>
      <c r="N161" s="21" t="n">
        <v>0</v>
      </c>
      <c r="O161" s="21" t="n">
        <v>0</v>
      </c>
      <c r="P161" s="21" t="n">
        <v>0.04</v>
      </c>
      <c r="Q161" s="21" t="n">
        <v>-0.04</v>
      </c>
      <c r="R161" s="18" t="n">
        <f aca="false">ABS(D161)+MAX(ABS(G161),ABS(H161))+MAX(ABS(I161),ABS(J161))</f>
        <v>0.06</v>
      </c>
      <c r="S161" s="18" t="n">
        <f aca="false">ABS(K161)+MAX(ABS(N161),ABS(O161))+MAX(ABS(P161),ABS(Q161))</f>
        <v>0.04</v>
      </c>
      <c r="T161" s="18" t="n">
        <f aca="false">MAX(ABS(E161),ABS(F161))</f>
        <v>0.02</v>
      </c>
      <c r="U161" s="18" t="n">
        <f aca="false">MAX(ABS(L161),ABS(M161))</f>
        <v>0.02</v>
      </c>
    </row>
    <row r="162" customFormat="false" ht="15" hidden="false" customHeight="false" outlineLevel="0" collapsed="false">
      <c r="A162" s="4" t="n">
        <v>256</v>
      </c>
      <c r="B162" s="4" t="n">
        <v>33</v>
      </c>
      <c r="C162" s="18" t="n">
        <v>0.5</v>
      </c>
      <c r="D162" s="21" t="n">
        <v>0</v>
      </c>
      <c r="E162" s="21" t="n">
        <v>0.01</v>
      </c>
      <c r="F162" s="21" t="n">
        <v>0.03</v>
      </c>
      <c r="G162" s="21" t="n">
        <v>-0.01</v>
      </c>
      <c r="H162" s="21" t="n">
        <v>0.01</v>
      </c>
      <c r="I162" s="21" t="n">
        <v>0.01</v>
      </c>
      <c r="J162" s="21" t="n">
        <v>-0.01</v>
      </c>
      <c r="K162" s="21" t="n">
        <v>0</v>
      </c>
      <c r="L162" s="21" t="n">
        <v>0.02</v>
      </c>
      <c r="M162" s="21" t="n">
        <v>0.03</v>
      </c>
      <c r="N162" s="21" t="n">
        <v>-0.01</v>
      </c>
      <c r="O162" s="21" t="n">
        <v>0.01</v>
      </c>
      <c r="P162" s="21" t="n">
        <v>-0.01</v>
      </c>
      <c r="Q162" s="21" t="n">
        <v>0.01</v>
      </c>
      <c r="R162" s="18" t="n">
        <f aca="false">ABS(D162)+MAX(ABS(G162),ABS(H162))+MAX(ABS(I162),ABS(J162))</f>
        <v>0.02</v>
      </c>
      <c r="S162" s="18" t="n">
        <f aca="false">ABS(K162)+MAX(ABS(N162),ABS(O162))+MAX(ABS(P162),ABS(Q162))</f>
        <v>0.02</v>
      </c>
      <c r="T162" s="18" t="n">
        <f aca="false">MAX(ABS(E162),ABS(F162))</f>
        <v>0.03</v>
      </c>
      <c r="U162" s="18" t="n">
        <f aca="false">MAX(ABS(L162),ABS(M162))</f>
        <v>0.03</v>
      </c>
    </row>
    <row r="163" customFormat="false" ht="15" hidden="false" customHeight="false" outlineLevel="0" collapsed="false">
      <c r="A163" s="4" t="n">
        <v>256</v>
      </c>
      <c r="B163" s="4" t="n">
        <v>33</v>
      </c>
      <c r="C163" s="18" t="n">
        <v>0.75</v>
      </c>
      <c r="D163" s="21" t="n">
        <v>0</v>
      </c>
      <c r="E163" s="21" t="n">
        <v>0.01</v>
      </c>
      <c r="F163" s="21" t="n">
        <v>0.03</v>
      </c>
      <c r="G163" s="21" t="n">
        <v>-0.02</v>
      </c>
      <c r="H163" s="21" t="n">
        <v>0.02</v>
      </c>
      <c r="I163" s="21" t="n">
        <v>-0.05</v>
      </c>
      <c r="J163" s="21" t="n">
        <v>0.05</v>
      </c>
      <c r="K163" s="21" t="n">
        <v>0</v>
      </c>
      <c r="L163" s="21" t="n">
        <v>0.02</v>
      </c>
      <c r="M163" s="21" t="n">
        <v>0.03</v>
      </c>
      <c r="N163" s="21" t="n">
        <v>-0.03</v>
      </c>
      <c r="O163" s="21" t="n">
        <v>0.03</v>
      </c>
      <c r="P163" s="21" t="n">
        <v>-0.07</v>
      </c>
      <c r="Q163" s="21" t="n">
        <v>0.07</v>
      </c>
      <c r="R163" s="18" t="n">
        <f aca="false">ABS(D163)+MAX(ABS(G163),ABS(H163))+MAX(ABS(I163),ABS(J163))</f>
        <v>0.07</v>
      </c>
      <c r="S163" s="18" t="n">
        <f aca="false">ABS(K163)+MAX(ABS(N163),ABS(O163))+MAX(ABS(P163),ABS(Q163))</f>
        <v>0.1</v>
      </c>
      <c r="T163" s="18" t="n">
        <f aca="false">MAX(ABS(E163),ABS(F163))</f>
        <v>0.03</v>
      </c>
      <c r="U163" s="18" t="n">
        <f aca="false">MAX(ABS(L163),ABS(M163))</f>
        <v>0.03</v>
      </c>
    </row>
    <row r="164" customFormat="false" ht="15" hidden="false" customHeight="false" outlineLevel="0" collapsed="false">
      <c r="A164" s="4" t="n">
        <v>256</v>
      </c>
      <c r="B164" s="4" t="n">
        <v>33</v>
      </c>
      <c r="C164" s="18" t="n">
        <v>1</v>
      </c>
      <c r="D164" s="21" t="n">
        <v>0</v>
      </c>
      <c r="E164" s="21" t="n">
        <v>0.01</v>
      </c>
      <c r="F164" s="21" t="n">
        <v>0.04</v>
      </c>
      <c r="G164" s="21" t="n">
        <v>-0.03</v>
      </c>
      <c r="H164" s="21" t="n">
        <v>0.03</v>
      </c>
      <c r="I164" s="21" t="n">
        <v>-0.13</v>
      </c>
      <c r="J164" s="21" t="n">
        <v>0.13</v>
      </c>
      <c r="K164" s="21" t="n">
        <v>0</v>
      </c>
      <c r="L164" s="21" t="n">
        <v>0.02</v>
      </c>
      <c r="M164" s="21" t="n">
        <v>0.04</v>
      </c>
      <c r="N164" s="21" t="n">
        <v>-0.04</v>
      </c>
      <c r="O164" s="21" t="n">
        <v>0.04</v>
      </c>
      <c r="P164" s="21" t="n">
        <v>-0.14</v>
      </c>
      <c r="Q164" s="21" t="n">
        <v>0.14</v>
      </c>
      <c r="R164" s="18" t="n">
        <f aca="false">ABS(D164)+MAX(ABS(G164),ABS(H164))+MAX(ABS(I164),ABS(J164))</f>
        <v>0.16</v>
      </c>
      <c r="S164" s="18" t="n">
        <f aca="false">ABS(K164)+MAX(ABS(N164),ABS(O164))+MAX(ABS(P164),ABS(Q164))</f>
        <v>0.18</v>
      </c>
      <c r="T164" s="18" t="n">
        <f aca="false">MAX(ABS(E164),ABS(F164))</f>
        <v>0.04</v>
      </c>
      <c r="U164" s="18" t="n">
        <f aca="false">MAX(ABS(L164),ABS(M164))</f>
        <v>0.04</v>
      </c>
    </row>
    <row r="165" customFormat="false" ht="15" hidden="false" customHeight="false" outlineLevel="0" collapsed="false">
      <c r="A165" s="4" t="n">
        <v>257</v>
      </c>
      <c r="B165" s="4" t="n">
        <v>34</v>
      </c>
      <c r="C165" s="18" t="n">
        <v>0</v>
      </c>
      <c r="D165" s="21" t="n">
        <v>0</v>
      </c>
      <c r="E165" s="21" t="n">
        <v>0.02</v>
      </c>
      <c r="F165" s="21" t="n">
        <v>0</v>
      </c>
      <c r="G165" s="21" t="n">
        <v>-0.03</v>
      </c>
      <c r="H165" s="21" t="n">
        <v>0.03</v>
      </c>
      <c r="I165" s="21" t="n">
        <v>-0.12</v>
      </c>
      <c r="J165" s="21" t="n">
        <v>0.12</v>
      </c>
      <c r="K165" s="21" t="n">
        <v>0</v>
      </c>
      <c r="L165" s="21" t="n">
        <v>0.01</v>
      </c>
      <c r="M165" s="21" t="n">
        <v>0</v>
      </c>
      <c r="N165" s="21" t="n">
        <v>-0.03</v>
      </c>
      <c r="O165" s="21" t="n">
        <v>0.03</v>
      </c>
      <c r="P165" s="21" t="n">
        <v>-0.09</v>
      </c>
      <c r="Q165" s="21" t="n">
        <v>0.09</v>
      </c>
      <c r="R165" s="18" t="n">
        <f aca="false">ABS(D165)+MAX(ABS(G165),ABS(H165))+MAX(ABS(I165),ABS(J165))</f>
        <v>0.15</v>
      </c>
      <c r="S165" s="18" t="n">
        <f aca="false">ABS(K165)+MAX(ABS(N165),ABS(O165))+MAX(ABS(P165),ABS(Q165))</f>
        <v>0.12</v>
      </c>
      <c r="T165" s="18" t="n">
        <f aca="false">MAX(ABS(E165),ABS(F165))</f>
        <v>0.02</v>
      </c>
      <c r="U165" s="18" t="n">
        <f aca="false">MAX(ABS(L165),ABS(M165))</f>
        <v>0.01</v>
      </c>
    </row>
    <row r="166" customFormat="false" ht="15" hidden="false" customHeight="false" outlineLevel="0" collapsed="false">
      <c r="A166" s="4" t="n">
        <v>257</v>
      </c>
      <c r="B166" s="4" t="n">
        <v>34</v>
      </c>
      <c r="C166" s="18" t="n">
        <v>0.25</v>
      </c>
      <c r="D166" s="21" t="n">
        <v>0</v>
      </c>
      <c r="E166" s="21" t="n">
        <v>0.02</v>
      </c>
      <c r="F166" s="21" t="n">
        <v>0</v>
      </c>
      <c r="G166" s="21" t="n">
        <v>-0.02</v>
      </c>
      <c r="H166" s="21" t="n">
        <v>0.02</v>
      </c>
      <c r="I166" s="21" t="n">
        <v>-0.12</v>
      </c>
      <c r="J166" s="21" t="n">
        <v>0.12</v>
      </c>
      <c r="K166" s="21" t="n">
        <v>0</v>
      </c>
      <c r="L166" s="21" t="n">
        <v>0.01</v>
      </c>
      <c r="M166" s="21" t="n">
        <v>0</v>
      </c>
      <c r="N166" s="21" t="n">
        <v>-0.02</v>
      </c>
      <c r="O166" s="21" t="n">
        <v>0.02</v>
      </c>
      <c r="P166" s="21" t="n">
        <v>-0.09</v>
      </c>
      <c r="Q166" s="21" t="n">
        <v>0.09</v>
      </c>
      <c r="R166" s="18" t="n">
        <f aca="false">ABS(D166)+MAX(ABS(G166),ABS(H166))+MAX(ABS(I166),ABS(J166))</f>
        <v>0.14</v>
      </c>
      <c r="S166" s="18" t="n">
        <f aca="false">ABS(K166)+MAX(ABS(N166),ABS(O166))+MAX(ABS(P166),ABS(Q166))</f>
        <v>0.11</v>
      </c>
      <c r="T166" s="18" t="n">
        <f aca="false">MAX(ABS(E166),ABS(F166))</f>
        <v>0.02</v>
      </c>
      <c r="U166" s="18" t="n">
        <f aca="false">MAX(ABS(L166),ABS(M166))</f>
        <v>0.01</v>
      </c>
    </row>
    <row r="167" customFormat="false" ht="15" hidden="false" customHeight="false" outlineLevel="0" collapsed="false">
      <c r="A167" s="4" t="n">
        <v>257</v>
      </c>
      <c r="B167" s="4" t="n">
        <v>34</v>
      </c>
      <c r="C167" s="18" t="n">
        <v>0.5</v>
      </c>
      <c r="D167" s="21" t="n">
        <v>0</v>
      </c>
      <c r="E167" s="21" t="n">
        <v>0.02</v>
      </c>
      <c r="F167" s="21" t="n">
        <v>0</v>
      </c>
      <c r="G167" s="21" t="n">
        <v>-0.02</v>
      </c>
      <c r="H167" s="21" t="n">
        <v>0.02</v>
      </c>
      <c r="I167" s="21" t="n">
        <v>-0.13</v>
      </c>
      <c r="J167" s="21" t="n">
        <v>0.13</v>
      </c>
      <c r="K167" s="21" t="n">
        <v>0</v>
      </c>
      <c r="L167" s="21" t="n">
        <v>0.01</v>
      </c>
      <c r="M167" s="21" t="n">
        <v>0</v>
      </c>
      <c r="N167" s="21" t="n">
        <v>-0.02</v>
      </c>
      <c r="O167" s="21" t="n">
        <v>0.02</v>
      </c>
      <c r="P167" s="21" t="n">
        <v>-0.09</v>
      </c>
      <c r="Q167" s="21" t="n">
        <v>0.09</v>
      </c>
      <c r="R167" s="18" t="n">
        <f aca="false">ABS(D167)+MAX(ABS(G167),ABS(H167))+MAX(ABS(I167),ABS(J167))</f>
        <v>0.15</v>
      </c>
      <c r="S167" s="18" t="n">
        <f aca="false">ABS(K167)+MAX(ABS(N167),ABS(O167))+MAX(ABS(P167),ABS(Q167))</f>
        <v>0.11</v>
      </c>
      <c r="T167" s="18" t="n">
        <f aca="false">MAX(ABS(E167),ABS(F167))</f>
        <v>0.02</v>
      </c>
      <c r="U167" s="18" t="n">
        <f aca="false">MAX(ABS(L167),ABS(M167))</f>
        <v>0.01</v>
      </c>
    </row>
    <row r="168" customFormat="false" ht="15" hidden="false" customHeight="false" outlineLevel="0" collapsed="false">
      <c r="A168" s="4" t="n">
        <v>257</v>
      </c>
      <c r="B168" s="4" t="n">
        <v>34</v>
      </c>
      <c r="C168" s="18" t="n">
        <v>0.75</v>
      </c>
      <c r="D168" s="21" t="n">
        <v>0</v>
      </c>
      <c r="E168" s="21" t="n">
        <v>0.02</v>
      </c>
      <c r="F168" s="21" t="n">
        <v>0.01</v>
      </c>
      <c r="G168" s="21" t="n">
        <v>-0.02</v>
      </c>
      <c r="H168" s="21" t="n">
        <v>0.02</v>
      </c>
      <c r="I168" s="21" t="n">
        <v>-0.13</v>
      </c>
      <c r="J168" s="21" t="n">
        <v>0.13</v>
      </c>
      <c r="K168" s="21" t="n">
        <v>0</v>
      </c>
      <c r="L168" s="21" t="n">
        <v>0.01</v>
      </c>
      <c r="M168" s="21" t="n">
        <v>0</v>
      </c>
      <c r="N168" s="21" t="n">
        <v>-0.02</v>
      </c>
      <c r="O168" s="21" t="n">
        <v>0.02</v>
      </c>
      <c r="P168" s="21" t="n">
        <v>-0.09</v>
      </c>
      <c r="Q168" s="21" t="n">
        <v>0.09</v>
      </c>
      <c r="R168" s="18" t="n">
        <f aca="false">ABS(D168)+MAX(ABS(G168),ABS(H168))+MAX(ABS(I168),ABS(J168))</f>
        <v>0.15</v>
      </c>
      <c r="S168" s="18" t="n">
        <f aca="false">ABS(K168)+MAX(ABS(N168),ABS(O168))+MAX(ABS(P168),ABS(Q168))</f>
        <v>0.11</v>
      </c>
      <c r="T168" s="18" t="n">
        <f aca="false">MAX(ABS(E168),ABS(F168))</f>
        <v>0.02</v>
      </c>
      <c r="U168" s="18" t="n">
        <f aca="false">MAX(ABS(L168),ABS(M168))</f>
        <v>0.01</v>
      </c>
    </row>
    <row r="169" customFormat="false" ht="15" hidden="false" customHeight="false" outlineLevel="0" collapsed="false">
      <c r="A169" s="4" t="n">
        <v>257</v>
      </c>
      <c r="B169" s="4" t="n">
        <v>34</v>
      </c>
      <c r="C169" s="18" t="n">
        <v>1</v>
      </c>
      <c r="D169" s="21" t="n">
        <v>0</v>
      </c>
      <c r="E169" s="21" t="n">
        <v>0.02</v>
      </c>
      <c r="F169" s="21" t="n">
        <v>0.01</v>
      </c>
      <c r="G169" s="21" t="n">
        <v>-0.01</v>
      </c>
      <c r="H169" s="21" t="n">
        <v>0.01</v>
      </c>
      <c r="I169" s="21" t="n">
        <v>-0.13</v>
      </c>
      <c r="J169" s="21" t="n">
        <v>0.13</v>
      </c>
      <c r="K169" s="21" t="n">
        <v>0</v>
      </c>
      <c r="L169" s="21" t="n">
        <v>0.01</v>
      </c>
      <c r="M169" s="21" t="n">
        <v>0.01</v>
      </c>
      <c r="N169" s="21" t="n">
        <v>-0.02</v>
      </c>
      <c r="O169" s="21" t="n">
        <v>0.02</v>
      </c>
      <c r="P169" s="21" t="n">
        <v>-0.1</v>
      </c>
      <c r="Q169" s="21" t="n">
        <v>0.1</v>
      </c>
      <c r="R169" s="18" t="n">
        <f aca="false">ABS(D169)+MAX(ABS(G169),ABS(H169))+MAX(ABS(I169),ABS(J169))</f>
        <v>0.14</v>
      </c>
      <c r="S169" s="18" t="n">
        <f aca="false">ABS(K169)+MAX(ABS(N169),ABS(O169))+MAX(ABS(P169),ABS(Q169))</f>
        <v>0.12</v>
      </c>
      <c r="T169" s="18" t="n">
        <f aca="false">MAX(ABS(E169),ABS(F169))</f>
        <v>0.02</v>
      </c>
      <c r="U169" s="18" t="n">
        <f aca="false">MAX(ABS(L169),ABS(M169))</f>
        <v>0.01</v>
      </c>
    </row>
    <row r="170" customFormat="false" ht="15" hidden="false" customHeight="false" outlineLevel="0" collapsed="false">
      <c r="A170" s="4" t="n">
        <v>258</v>
      </c>
      <c r="B170" s="4" t="n">
        <v>35</v>
      </c>
      <c r="C170" s="18" t="n">
        <v>0</v>
      </c>
      <c r="D170" s="21" t="n">
        <v>0</v>
      </c>
      <c r="E170" s="21" t="n">
        <v>0</v>
      </c>
      <c r="F170" s="21" t="n">
        <v>0</v>
      </c>
      <c r="G170" s="21" t="n">
        <v>0</v>
      </c>
      <c r="H170" s="21" t="n">
        <v>0</v>
      </c>
      <c r="I170" s="21" t="n">
        <v>0.01</v>
      </c>
      <c r="J170" s="21" t="n">
        <v>-0.01</v>
      </c>
      <c r="K170" s="21" t="n">
        <v>0</v>
      </c>
      <c r="L170" s="21" t="n">
        <v>0</v>
      </c>
      <c r="M170" s="21" t="n">
        <v>0</v>
      </c>
      <c r="N170" s="21" t="n">
        <v>0</v>
      </c>
      <c r="O170" s="21" t="n">
        <v>0</v>
      </c>
      <c r="P170" s="21" t="n">
        <v>0.01</v>
      </c>
      <c r="Q170" s="21" t="n">
        <v>-0.01</v>
      </c>
      <c r="R170" s="18" t="n">
        <f aca="false">ABS(D170)+MAX(ABS(G170),ABS(H170))+MAX(ABS(I170),ABS(J170))</f>
        <v>0.01</v>
      </c>
      <c r="S170" s="18" t="n">
        <f aca="false">ABS(K170)+MAX(ABS(N170),ABS(O170))+MAX(ABS(P170),ABS(Q170))</f>
        <v>0.01</v>
      </c>
      <c r="T170" s="18" t="n">
        <f aca="false">MAX(ABS(E170),ABS(F170))</f>
        <v>0</v>
      </c>
      <c r="U170" s="18" t="n">
        <f aca="false">MAX(ABS(L170),ABS(M170))</f>
        <v>0</v>
      </c>
    </row>
    <row r="171" customFormat="false" ht="15" hidden="false" customHeight="false" outlineLevel="0" collapsed="false">
      <c r="A171" s="4" t="n">
        <v>258</v>
      </c>
      <c r="B171" s="4" t="n">
        <v>35</v>
      </c>
      <c r="C171" s="18" t="n">
        <v>0.25</v>
      </c>
      <c r="D171" s="21" t="n">
        <v>0</v>
      </c>
      <c r="E171" s="21" t="n">
        <v>0</v>
      </c>
      <c r="F171" s="21" t="n">
        <v>0</v>
      </c>
      <c r="G171" s="21" t="n">
        <v>0</v>
      </c>
      <c r="H171" s="21" t="n">
        <v>0</v>
      </c>
      <c r="I171" s="21" t="n">
        <v>0.02</v>
      </c>
      <c r="J171" s="21" t="n">
        <v>-0.02</v>
      </c>
      <c r="K171" s="21" t="n">
        <v>0</v>
      </c>
      <c r="L171" s="21" t="n">
        <v>0</v>
      </c>
      <c r="M171" s="21" t="n">
        <v>0</v>
      </c>
      <c r="N171" s="21" t="n">
        <v>0</v>
      </c>
      <c r="O171" s="21" t="n">
        <v>0</v>
      </c>
      <c r="P171" s="21" t="n">
        <v>0.02</v>
      </c>
      <c r="Q171" s="21" t="n">
        <v>-0.02</v>
      </c>
      <c r="R171" s="18" t="n">
        <f aca="false">ABS(D171)+MAX(ABS(G171),ABS(H171))+MAX(ABS(I171),ABS(J171))</f>
        <v>0.02</v>
      </c>
      <c r="S171" s="18" t="n">
        <f aca="false">ABS(K171)+MAX(ABS(N171),ABS(O171))+MAX(ABS(P171),ABS(Q171))</f>
        <v>0.02</v>
      </c>
      <c r="T171" s="18" t="n">
        <f aca="false">MAX(ABS(E171),ABS(F171))</f>
        <v>0</v>
      </c>
      <c r="U171" s="18" t="n">
        <f aca="false">MAX(ABS(L171),ABS(M171))</f>
        <v>0</v>
      </c>
    </row>
    <row r="172" customFormat="false" ht="15" hidden="false" customHeight="false" outlineLevel="0" collapsed="false">
      <c r="A172" s="4" t="n">
        <v>258</v>
      </c>
      <c r="B172" s="4" t="n">
        <v>35</v>
      </c>
      <c r="C172" s="18" t="n">
        <v>0.5</v>
      </c>
      <c r="D172" s="21" t="n">
        <v>0</v>
      </c>
      <c r="E172" s="21" t="n">
        <v>0</v>
      </c>
      <c r="F172" s="21" t="n">
        <v>0</v>
      </c>
      <c r="G172" s="21" t="n">
        <v>0</v>
      </c>
      <c r="H172" s="21" t="n">
        <v>0</v>
      </c>
      <c r="I172" s="21" t="n">
        <v>0.03</v>
      </c>
      <c r="J172" s="21" t="n">
        <v>-0.03</v>
      </c>
      <c r="K172" s="21" t="n">
        <v>0</v>
      </c>
      <c r="L172" s="21" t="n">
        <v>0</v>
      </c>
      <c r="M172" s="21" t="n">
        <v>0</v>
      </c>
      <c r="N172" s="21" t="n">
        <v>0</v>
      </c>
      <c r="O172" s="21" t="n">
        <v>0</v>
      </c>
      <c r="P172" s="21" t="n">
        <v>0.03</v>
      </c>
      <c r="Q172" s="21" t="n">
        <v>-0.03</v>
      </c>
      <c r="R172" s="18" t="n">
        <f aca="false">ABS(D172)+MAX(ABS(G172),ABS(H172))+MAX(ABS(I172),ABS(J172))</f>
        <v>0.03</v>
      </c>
      <c r="S172" s="18" t="n">
        <f aca="false">ABS(K172)+MAX(ABS(N172),ABS(O172))+MAX(ABS(P172),ABS(Q172))</f>
        <v>0.03</v>
      </c>
      <c r="T172" s="18" t="n">
        <f aca="false">MAX(ABS(E172),ABS(F172))</f>
        <v>0</v>
      </c>
      <c r="U172" s="18" t="n">
        <f aca="false">MAX(ABS(L172),ABS(M172))</f>
        <v>0</v>
      </c>
    </row>
    <row r="173" customFormat="false" ht="15" hidden="false" customHeight="false" outlineLevel="0" collapsed="false">
      <c r="A173" s="4" t="n">
        <v>258</v>
      </c>
      <c r="B173" s="4" t="n">
        <v>35</v>
      </c>
      <c r="C173" s="18" t="n">
        <v>0.75</v>
      </c>
      <c r="D173" s="21" t="n">
        <v>0</v>
      </c>
      <c r="E173" s="21" t="n">
        <v>0</v>
      </c>
      <c r="F173" s="21" t="n">
        <v>0</v>
      </c>
      <c r="G173" s="21" t="n">
        <v>0</v>
      </c>
      <c r="H173" s="21" t="n">
        <v>0</v>
      </c>
      <c r="I173" s="21" t="n">
        <v>0.04</v>
      </c>
      <c r="J173" s="21" t="n">
        <v>-0.04</v>
      </c>
      <c r="K173" s="21" t="n">
        <v>0</v>
      </c>
      <c r="L173" s="21" t="n">
        <v>0</v>
      </c>
      <c r="M173" s="21" t="n">
        <v>0</v>
      </c>
      <c r="N173" s="21" t="n">
        <v>0</v>
      </c>
      <c r="O173" s="21" t="n">
        <v>0</v>
      </c>
      <c r="P173" s="21" t="n">
        <v>0.04</v>
      </c>
      <c r="Q173" s="21" t="n">
        <v>-0.04</v>
      </c>
      <c r="R173" s="18" t="n">
        <f aca="false">ABS(D173)+MAX(ABS(G173),ABS(H173))+MAX(ABS(I173),ABS(J173))</f>
        <v>0.04</v>
      </c>
      <c r="S173" s="18" t="n">
        <f aca="false">ABS(K173)+MAX(ABS(N173),ABS(O173))+MAX(ABS(P173),ABS(Q173))</f>
        <v>0.04</v>
      </c>
      <c r="T173" s="18" t="n">
        <f aca="false">MAX(ABS(E173),ABS(F173))</f>
        <v>0</v>
      </c>
      <c r="U173" s="18" t="n">
        <f aca="false">MAX(ABS(L173),ABS(M173))</f>
        <v>0</v>
      </c>
    </row>
    <row r="174" customFormat="false" ht="15" hidden="false" customHeight="false" outlineLevel="0" collapsed="false">
      <c r="A174" s="4" t="n">
        <v>258</v>
      </c>
      <c r="B174" s="4" t="n">
        <v>35</v>
      </c>
      <c r="C174" s="18" t="n">
        <v>1</v>
      </c>
      <c r="D174" s="21" t="n">
        <v>0</v>
      </c>
      <c r="E174" s="21" t="n">
        <v>0</v>
      </c>
      <c r="F174" s="21" t="n">
        <v>0</v>
      </c>
      <c r="G174" s="21" t="n">
        <v>0</v>
      </c>
      <c r="H174" s="21" t="n">
        <v>0</v>
      </c>
      <c r="I174" s="21" t="n">
        <v>0.04</v>
      </c>
      <c r="J174" s="21" t="n">
        <v>-0.04</v>
      </c>
      <c r="K174" s="21" t="n">
        <v>0</v>
      </c>
      <c r="L174" s="21" t="n">
        <v>0</v>
      </c>
      <c r="M174" s="21" t="n">
        <v>0</v>
      </c>
      <c r="N174" s="21" t="n">
        <v>0</v>
      </c>
      <c r="O174" s="21" t="n">
        <v>0</v>
      </c>
      <c r="P174" s="21" t="n">
        <v>0.04</v>
      </c>
      <c r="Q174" s="21" t="n">
        <v>-0.04</v>
      </c>
      <c r="R174" s="18" t="n">
        <f aca="false">ABS(D174)+MAX(ABS(G174),ABS(H174))+MAX(ABS(I174),ABS(J174))</f>
        <v>0.04</v>
      </c>
      <c r="S174" s="18" t="n">
        <f aca="false">ABS(K174)+MAX(ABS(N174),ABS(O174))+MAX(ABS(P174),ABS(Q174))</f>
        <v>0.04</v>
      </c>
      <c r="T174" s="18" t="n">
        <f aca="false">MAX(ABS(E174),ABS(F174))</f>
        <v>0</v>
      </c>
      <c r="U174" s="18" t="n">
        <f aca="false">MAX(ABS(L174),ABS(M174))</f>
        <v>0</v>
      </c>
    </row>
    <row r="175" customFormat="false" ht="15" hidden="false" customHeight="false" outlineLevel="0" collapsed="false">
      <c r="A175" s="4" t="n">
        <v>259</v>
      </c>
      <c r="B175" s="4" t="n">
        <v>36</v>
      </c>
      <c r="C175" s="18" t="n">
        <v>0</v>
      </c>
      <c r="D175" s="21" t="n">
        <v>0</v>
      </c>
      <c r="E175" s="21" t="n">
        <v>0</v>
      </c>
      <c r="F175" s="21" t="n">
        <v>0</v>
      </c>
      <c r="G175" s="21" t="n">
        <v>0</v>
      </c>
      <c r="H175" s="21" t="n">
        <v>0</v>
      </c>
      <c r="I175" s="21" t="n">
        <v>0.04</v>
      </c>
      <c r="J175" s="21" t="n">
        <v>-0.04</v>
      </c>
      <c r="K175" s="21" t="n">
        <v>0</v>
      </c>
      <c r="L175" s="21" t="n">
        <v>0</v>
      </c>
      <c r="M175" s="21" t="n">
        <v>0</v>
      </c>
      <c r="N175" s="21" t="n">
        <v>0</v>
      </c>
      <c r="O175" s="21" t="n">
        <v>0</v>
      </c>
      <c r="P175" s="21" t="n">
        <v>0.04</v>
      </c>
      <c r="Q175" s="21" t="n">
        <v>-0.04</v>
      </c>
      <c r="R175" s="18" t="n">
        <f aca="false">ABS(D175)+MAX(ABS(G175),ABS(H175))+MAX(ABS(I175),ABS(J175))</f>
        <v>0.04</v>
      </c>
      <c r="S175" s="18" t="n">
        <f aca="false">ABS(K175)+MAX(ABS(N175),ABS(O175))+MAX(ABS(P175),ABS(Q175))</f>
        <v>0.04</v>
      </c>
      <c r="T175" s="18" t="n">
        <f aca="false">MAX(ABS(E175),ABS(F175))</f>
        <v>0</v>
      </c>
      <c r="U175" s="18" t="n">
        <f aca="false">MAX(ABS(L175),ABS(M175))</f>
        <v>0</v>
      </c>
    </row>
    <row r="176" customFormat="false" ht="15" hidden="false" customHeight="false" outlineLevel="0" collapsed="false">
      <c r="A176" s="4" t="n">
        <v>259</v>
      </c>
      <c r="B176" s="4" t="n">
        <v>36</v>
      </c>
      <c r="C176" s="18" t="n">
        <v>0.25</v>
      </c>
      <c r="D176" s="21" t="n">
        <v>0</v>
      </c>
      <c r="E176" s="21" t="n">
        <v>0</v>
      </c>
      <c r="F176" s="21" t="n">
        <v>0</v>
      </c>
      <c r="G176" s="21" t="n">
        <v>0</v>
      </c>
      <c r="H176" s="21" t="n">
        <v>0</v>
      </c>
      <c r="I176" s="21" t="n">
        <v>0.05</v>
      </c>
      <c r="J176" s="21" t="n">
        <v>-0.05</v>
      </c>
      <c r="K176" s="21" t="n">
        <v>0</v>
      </c>
      <c r="L176" s="21" t="n">
        <v>0</v>
      </c>
      <c r="M176" s="21" t="n">
        <v>0</v>
      </c>
      <c r="N176" s="21" t="n">
        <v>0</v>
      </c>
      <c r="O176" s="21" t="n">
        <v>0</v>
      </c>
      <c r="P176" s="21" t="n">
        <v>0.05</v>
      </c>
      <c r="Q176" s="21" t="n">
        <v>-0.05</v>
      </c>
      <c r="R176" s="18" t="n">
        <f aca="false">ABS(D176)+MAX(ABS(G176),ABS(H176))+MAX(ABS(I176),ABS(J176))</f>
        <v>0.05</v>
      </c>
      <c r="S176" s="18" t="n">
        <f aca="false">ABS(K176)+MAX(ABS(N176),ABS(O176))+MAX(ABS(P176),ABS(Q176))</f>
        <v>0.05</v>
      </c>
      <c r="T176" s="18" t="n">
        <f aca="false">MAX(ABS(E176),ABS(F176))</f>
        <v>0</v>
      </c>
      <c r="U176" s="18" t="n">
        <f aca="false">MAX(ABS(L176),ABS(M176))</f>
        <v>0</v>
      </c>
    </row>
    <row r="177" customFormat="false" ht="15" hidden="false" customHeight="false" outlineLevel="0" collapsed="false">
      <c r="A177" s="4" t="n">
        <v>259</v>
      </c>
      <c r="B177" s="4" t="n">
        <v>36</v>
      </c>
      <c r="C177" s="18" t="n">
        <v>0.5</v>
      </c>
      <c r="D177" s="21" t="n">
        <v>0</v>
      </c>
      <c r="E177" s="21" t="n">
        <v>0</v>
      </c>
      <c r="F177" s="21" t="n">
        <v>0</v>
      </c>
      <c r="G177" s="21" t="n">
        <v>0</v>
      </c>
      <c r="H177" s="21" t="n">
        <v>0</v>
      </c>
      <c r="I177" s="21" t="n">
        <v>0.05</v>
      </c>
      <c r="J177" s="21" t="n">
        <v>-0.05</v>
      </c>
      <c r="K177" s="21" t="n">
        <v>0</v>
      </c>
      <c r="L177" s="21" t="n">
        <v>0</v>
      </c>
      <c r="M177" s="21" t="n">
        <v>0</v>
      </c>
      <c r="N177" s="21" t="n">
        <v>0</v>
      </c>
      <c r="O177" s="21" t="n">
        <v>0</v>
      </c>
      <c r="P177" s="21" t="n">
        <v>0.05</v>
      </c>
      <c r="Q177" s="21" t="n">
        <v>-0.05</v>
      </c>
      <c r="R177" s="18" t="n">
        <f aca="false">ABS(D177)+MAX(ABS(G177),ABS(H177))+MAX(ABS(I177),ABS(J177))</f>
        <v>0.05</v>
      </c>
      <c r="S177" s="18" t="n">
        <f aca="false">ABS(K177)+MAX(ABS(N177),ABS(O177))+MAX(ABS(P177),ABS(Q177))</f>
        <v>0.05</v>
      </c>
      <c r="T177" s="18" t="n">
        <f aca="false">MAX(ABS(E177),ABS(F177))</f>
        <v>0</v>
      </c>
      <c r="U177" s="18" t="n">
        <f aca="false">MAX(ABS(L177),ABS(M177))</f>
        <v>0</v>
      </c>
    </row>
    <row r="178" customFormat="false" ht="15" hidden="false" customHeight="false" outlineLevel="0" collapsed="false">
      <c r="A178" s="4" t="n">
        <v>259</v>
      </c>
      <c r="B178" s="4" t="n">
        <v>36</v>
      </c>
      <c r="C178" s="18" t="n">
        <v>0.75</v>
      </c>
      <c r="D178" s="21" t="n">
        <v>0</v>
      </c>
      <c r="E178" s="21" t="n">
        <v>0</v>
      </c>
      <c r="F178" s="21" t="n">
        <v>0</v>
      </c>
      <c r="G178" s="21" t="n">
        <v>0</v>
      </c>
      <c r="H178" s="21" t="n">
        <v>0</v>
      </c>
      <c r="I178" s="21" t="n">
        <v>0.05</v>
      </c>
      <c r="J178" s="21" t="n">
        <v>-0.05</v>
      </c>
      <c r="K178" s="21" t="n">
        <v>0</v>
      </c>
      <c r="L178" s="21" t="n">
        <v>0</v>
      </c>
      <c r="M178" s="21" t="n">
        <v>0</v>
      </c>
      <c r="N178" s="21" t="n">
        <v>0</v>
      </c>
      <c r="O178" s="21" t="n">
        <v>0</v>
      </c>
      <c r="P178" s="21" t="n">
        <v>0.05</v>
      </c>
      <c r="Q178" s="21" t="n">
        <v>-0.05</v>
      </c>
      <c r="R178" s="18" t="n">
        <f aca="false">ABS(D178)+MAX(ABS(G178),ABS(H178))+MAX(ABS(I178),ABS(J178))</f>
        <v>0.05</v>
      </c>
      <c r="S178" s="18" t="n">
        <f aca="false">ABS(K178)+MAX(ABS(N178),ABS(O178))+MAX(ABS(P178),ABS(Q178))</f>
        <v>0.05</v>
      </c>
      <c r="T178" s="18" t="n">
        <f aca="false">MAX(ABS(E178),ABS(F178))</f>
        <v>0</v>
      </c>
      <c r="U178" s="18" t="n">
        <f aca="false">MAX(ABS(L178),ABS(M178))</f>
        <v>0</v>
      </c>
    </row>
    <row r="179" customFormat="false" ht="15" hidden="false" customHeight="false" outlineLevel="0" collapsed="false">
      <c r="A179" s="4" t="n">
        <v>259</v>
      </c>
      <c r="B179" s="4" t="n">
        <v>36</v>
      </c>
      <c r="C179" s="18" t="n">
        <v>1</v>
      </c>
      <c r="D179" s="21" t="n">
        <v>0</v>
      </c>
      <c r="E179" s="21" t="n">
        <v>0</v>
      </c>
      <c r="F179" s="21" t="n">
        <v>0</v>
      </c>
      <c r="G179" s="21" t="n">
        <v>0</v>
      </c>
      <c r="H179" s="21" t="n">
        <v>0</v>
      </c>
      <c r="I179" s="21" t="n">
        <v>0.06</v>
      </c>
      <c r="J179" s="21" t="n">
        <v>-0.06</v>
      </c>
      <c r="K179" s="21" t="n">
        <v>0</v>
      </c>
      <c r="L179" s="21" t="n">
        <v>0</v>
      </c>
      <c r="M179" s="21" t="n">
        <v>0</v>
      </c>
      <c r="N179" s="21" t="n">
        <v>0.01</v>
      </c>
      <c r="O179" s="21" t="n">
        <v>-0.01</v>
      </c>
      <c r="P179" s="21" t="n">
        <v>0.06</v>
      </c>
      <c r="Q179" s="21" t="n">
        <v>-0.06</v>
      </c>
      <c r="R179" s="18" t="n">
        <f aca="false">ABS(D179)+MAX(ABS(G179),ABS(H179))+MAX(ABS(I179),ABS(J179))</f>
        <v>0.06</v>
      </c>
      <c r="S179" s="18" t="n">
        <f aca="false">ABS(K179)+MAX(ABS(N179),ABS(O179))+MAX(ABS(P179),ABS(Q179))</f>
        <v>0.07</v>
      </c>
      <c r="T179" s="18" t="n">
        <f aca="false">MAX(ABS(E179),ABS(F179))</f>
        <v>0</v>
      </c>
      <c r="U179" s="18" t="n">
        <f aca="false">MAX(ABS(L179),ABS(M179))</f>
        <v>0</v>
      </c>
    </row>
    <row r="180" customFormat="false" ht="15" hidden="false" customHeight="false" outlineLevel="0" collapsed="false">
      <c r="A180" s="4" t="n">
        <v>260</v>
      </c>
      <c r="B180" s="4" t="n">
        <v>37</v>
      </c>
      <c r="C180" s="18" t="n">
        <v>0</v>
      </c>
      <c r="D180" s="21" t="n">
        <v>0</v>
      </c>
      <c r="E180" s="21" t="n">
        <v>0</v>
      </c>
      <c r="F180" s="21" t="n">
        <v>0</v>
      </c>
      <c r="G180" s="21" t="n">
        <v>0</v>
      </c>
      <c r="H180" s="21" t="n">
        <v>0</v>
      </c>
      <c r="I180" s="21" t="n">
        <v>0.06</v>
      </c>
      <c r="J180" s="21" t="n">
        <v>-0.06</v>
      </c>
      <c r="K180" s="21" t="n">
        <v>0</v>
      </c>
      <c r="L180" s="21" t="n">
        <v>0</v>
      </c>
      <c r="M180" s="21" t="n">
        <v>0</v>
      </c>
      <c r="N180" s="21" t="n">
        <v>0.01</v>
      </c>
      <c r="O180" s="21" t="n">
        <v>-0.01</v>
      </c>
      <c r="P180" s="21" t="n">
        <v>0.06</v>
      </c>
      <c r="Q180" s="21" t="n">
        <v>-0.06</v>
      </c>
      <c r="R180" s="18" t="n">
        <f aca="false">ABS(D180)+MAX(ABS(G180),ABS(H180))+MAX(ABS(I180),ABS(J180))</f>
        <v>0.06</v>
      </c>
      <c r="S180" s="18" t="n">
        <f aca="false">ABS(K180)+MAX(ABS(N180),ABS(O180))+MAX(ABS(P180),ABS(Q180))</f>
        <v>0.07</v>
      </c>
      <c r="T180" s="18" t="n">
        <f aca="false">MAX(ABS(E180),ABS(F180))</f>
        <v>0</v>
      </c>
      <c r="U180" s="18" t="n">
        <f aca="false">MAX(ABS(L180),ABS(M180))</f>
        <v>0</v>
      </c>
    </row>
    <row r="181" customFormat="false" ht="15" hidden="false" customHeight="false" outlineLevel="0" collapsed="false">
      <c r="A181" s="4" t="n">
        <v>260</v>
      </c>
      <c r="B181" s="4" t="n">
        <v>37</v>
      </c>
      <c r="C181" s="18" t="n">
        <v>0.25</v>
      </c>
      <c r="D181" s="21" t="n">
        <v>0</v>
      </c>
      <c r="E181" s="21" t="n">
        <v>0</v>
      </c>
      <c r="F181" s="21" t="n">
        <v>0</v>
      </c>
      <c r="G181" s="21" t="n">
        <v>0</v>
      </c>
      <c r="H181" s="21" t="n">
        <v>0</v>
      </c>
      <c r="I181" s="21" t="n">
        <v>0.06</v>
      </c>
      <c r="J181" s="21" t="n">
        <v>-0.06</v>
      </c>
      <c r="K181" s="21" t="n">
        <v>0</v>
      </c>
      <c r="L181" s="21" t="n">
        <v>0</v>
      </c>
      <c r="M181" s="21" t="n">
        <v>0</v>
      </c>
      <c r="N181" s="21" t="n">
        <v>0</v>
      </c>
      <c r="O181" s="21" t="n">
        <v>0</v>
      </c>
      <c r="P181" s="21" t="n">
        <v>0.06</v>
      </c>
      <c r="Q181" s="21" t="n">
        <v>-0.06</v>
      </c>
      <c r="R181" s="18" t="n">
        <f aca="false">ABS(D181)+MAX(ABS(G181),ABS(H181))+MAX(ABS(I181),ABS(J181))</f>
        <v>0.06</v>
      </c>
      <c r="S181" s="18" t="n">
        <f aca="false">ABS(K181)+MAX(ABS(N181),ABS(O181))+MAX(ABS(P181),ABS(Q181))</f>
        <v>0.06</v>
      </c>
      <c r="T181" s="18" t="n">
        <f aca="false">MAX(ABS(E181),ABS(F181))</f>
        <v>0</v>
      </c>
      <c r="U181" s="18" t="n">
        <f aca="false">MAX(ABS(L181),ABS(M181))</f>
        <v>0</v>
      </c>
    </row>
    <row r="182" customFormat="false" ht="15" hidden="false" customHeight="false" outlineLevel="0" collapsed="false">
      <c r="A182" s="4" t="n">
        <v>260</v>
      </c>
      <c r="B182" s="4" t="n">
        <v>37</v>
      </c>
      <c r="C182" s="18" t="n">
        <v>0.5</v>
      </c>
      <c r="D182" s="21" t="n">
        <v>0</v>
      </c>
      <c r="E182" s="21" t="n">
        <v>0</v>
      </c>
      <c r="F182" s="21" t="n">
        <v>0</v>
      </c>
      <c r="G182" s="21" t="n">
        <v>0</v>
      </c>
      <c r="H182" s="21" t="n">
        <v>0</v>
      </c>
      <c r="I182" s="21" t="n">
        <v>0.06</v>
      </c>
      <c r="J182" s="21" t="n">
        <v>-0.06</v>
      </c>
      <c r="K182" s="21" t="n">
        <v>0</v>
      </c>
      <c r="L182" s="21" t="n">
        <v>0</v>
      </c>
      <c r="M182" s="21" t="n">
        <v>0</v>
      </c>
      <c r="N182" s="21" t="n">
        <v>0</v>
      </c>
      <c r="O182" s="21" t="n">
        <v>0</v>
      </c>
      <c r="P182" s="21" t="n">
        <v>0.06</v>
      </c>
      <c r="Q182" s="21" t="n">
        <v>-0.06</v>
      </c>
      <c r="R182" s="18" t="n">
        <f aca="false">ABS(D182)+MAX(ABS(G182),ABS(H182))+MAX(ABS(I182),ABS(J182))</f>
        <v>0.06</v>
      </c>
      <c r="S182" s="18" t="n">
        <f aca="false">ABS(K182)+MAX(ABS(N182),ABS(O182))+MAX(ABS(P182),ABS(Q182))</f>
        <v>0.06</v>
      </c>
      <c r="T182" s="18" t="n">
        <f aca="false">MAX(ABS(E182),ABS(F182))</f>
        <v>0</v>
      </c>
      <c r="U182" s="18" t="n">
        <f aca="false">MAX(ABS(L182),ABS(M182))</f>
        <v>0</v>
      </c>
    </row>
    <row r="183" customFormat="false" ht="15" hidden="false" customHeight="false" outlineLevel="0" collapsed="false">
      <c r="A183" s="4" t="n">
        <v>260</v>
      </c>
      <c r="B183" s="4" t="n">
        <v>37</v>
      </c>
      <c r="C183" s="18" t="n">
        <v>0.75</v>
      </c>
      <c r="D183" s="21" t="n">
        <v>0</v>
      </c>
      <c r="E183" s="21" t="n">
        <v>0</v>
      </c>
      <c r="F183" s="21" t="n">
        <v>0</v>
      </c>
      <c r="G183" s="21" t="n">
        <v>0</v>
      </c>
      <c r="H183" s="21" t="n">
        <v>0</v>
      </c>
      <c r="I183" s="21" t="n">
        <v>0.06</v>
      </c>
      <c r="J183" s="21" t="n">
        <v>-0.06</v>
      </c>
      <c r="K183" s="21" t="n">
        <v>0</v>
      </c>
      <c r="L183" s="21" t="n">
        <v>0</v>
      </c>
      <c r="M183" s="21" t="n">
        <v>0</v>
      </c>
      <c r="N183" s="21" t="n">
        <v>0</v>
      </c>
      <c r="O183" s="21" t="n">
        <v>0</v>
      </c>
      <c r="P183" s="21" t="n">
        <v>0.06</v>
      </c>
      <c r="Q183" s="21" t="n">
        <v>-0.06</v>
      </c>
      <c r="R183" s="18" t="n">
        <f aca="false">ABS(D183)+MAX(ABS(G183),ABS(H183))+MAX(ABS(I183),ABS(J183))</f>
        <v>0.06</v>
      </c>
      <c r="S183" s="18" t="n">
        <f aca="false">ABS(K183)+MAX(ABS(N183),ABS(O183))+MAX(ABS(P183),ABS(Q183))</f>
        <v>0.06</v>
      </c>
      <c r="T183" s="18" t="n">
        <f aca="false">MAX(ABS(E183),ABS(F183))</f>
        <v>0</v>
      </c>
      <c r="U183" s="18" t="n">
        <f aca="false">MAX(ABS(L183),ABS(M183))</f>
        <v>0</v>
      </c>
    </row>
    <row r="184" customFormat="false" ht="15" hidden="false" customHeight="false" outlineLevel="0" collapsed="false">
      <c r="A184" s="4" t="n">
        <v>260</v>
      </c>
      <c r="B184" s="4" t="n">
        <v>37</v>
      </c>
      <c r="C184" s="18" t="n">
        <v>1</v>
      </c>
      <c r="D184" s="21" t="n">
        <v>0</v>
      </c>
      <c r="E184" s="21" t="n">
        <v>0</v>
      </c>
      <c r="F184" s="21" t="n">
        <v>0</v>
      </c>
      <c r="G184" s="21" t="n">
        <v>0</v>
      </c>
      <c r="H184" s="21" t="n">
        <v>0</v>
      </c>
      <c r="I184" s="21" t="n">
        <v>0.06</v>
      </c>
      <c r="J184" s="21" t="n">
        <v>-0.06</v>
      </c>
      <c r="K184" s="21" t="n">
        <v>0</v>
      </c>
      <c r="L184" s="21" t="n">
        <v>0</v>
      </c>
      <c r="M184" s="21" t="n">
        <v>0</v>
      </c>
      <c r="N184" s="21" t="n">
        <v>0</v>
      </c>
      <c r="O184" s="21" t="n">
        <v>0</v>
      </c>
      <c r="P184" s="21" t="n">
        <v>0.06</v>
      </c>
      <c r="Q184" s="21" t="n">
        <v>-0.06</v>
      </c>
      <c r="R184" s="18" t="n">
        <f aca="false">ABS(D184)+MAX(ABS(G184),ABS(H184))+MAX(ABS(I184),ABS(J184))</f>
        <v>0.06</v>
      </c>
      <c r="S184" s="18" t="n">
        <f aca="false">ABS(K184)+MAX(ABS(N184),ABS(O184))+MAX(ABS(P184),ABS(Q184))</f>
        <v>0.06</v>
      </c>
      <c r="T184" s="18" t="n">
        <f aca="false">MAX(ABS(E184),ABS(F184))</f>
        <v>0</v>
      </c>
      <c r="U184" s="18" t="n">
        <f aca="false">MAX(ABS(L184),ABS(M184))</f>
        <v>0</v>
      </c>
    </row>
    <row r="185" customFormat="false" ht="15" hidden="false" customHeight="false" outlineLevel="0" collapsed="false">
      <c r="A185" s="4" t="n">
        <v>261</v>
      </c>
      <c r="B185" s="4" t="n">
        <v>38</v>
      </c>
      <c r="C185" s="18" t="n">
        <v>0</v>
      </c>
      <c r="D185" s="21" t="n">
        <v>0</v>
      </c>
      <c r="E185" s="21" t="n">
        <v>0</v>
      </c>
      <c r="F185" s="21" t="n">
        <v>0</v>
      </c>
      <c r="G185" s="21" t="n">
        <v>0</v>
      </c>
      <c r="H185" s="21" t="n">
        <v>0</v>
      </c>
      <c r="I185" s="21" t="n">
        <v>0.06</v>
      </c>
      <c r="J185" s="21" t="n">
        <v>-0.06</v>
      </c>
      <c r="K185" s="21" t="n">
        <v>0</v>
      </c>
      <c r="L185" s="21" t="n">
        <v>0</v>
      </c>
      <c r="M185" s="21" t="n">
        <v>0</v>
      </c>
      <c r="N185" s="21" t="n">
        <v>0</v>
      </c>
      <c r="O185" s="21" t="n">
        <v>0</v>
      </c>
      <c r="P185" s="21" t="n">
        <v>0.06</v>
      </c>
      <c r="Q185" s="21" t="n">
        <v>-0.06</v>
      </c>
      <c r="R185" s="18" t="n">
        <f aca="false">ABS(D185)+MAX(ABS(G185),ABS(H185))+MAX(ABS(I185),ABS(J185))</f>
        <v>0.06</v>
      </c>
      <c r="S185" s="18" t="n">
        <f aca="false">ABS(K185)+MAX(ABS(N185),ABS(O185))+MAX(ABS(P185),ABS(Q185))</f>
        <v>0.06</v>
      </c>
      <c r="T185" s="18" t="n">
        <f aca="false">MAX(ABS(E185),ABS(F185))</f>
        <v>0</v>
      </c>
      <c r="U185" s="18" t="n">
        <f aca="false">MAX(ABS(L185),ABS(M185))</f>
        <v>0</v>
      </c>
    </row>
    <row r="186" customFormat="false" ht="15" hidden="false" customHeight="false" outlineLevel="0" collapsed="false">
      <c r="A186" s="4" t="n">
        <v>261</v>
      </c>
      <c r="B186" s="4" t="n">
        <v>38</v>
      </c>
      <c r="C186" s="18" t="n">
        <v>0.25</v>
      </c>
      <c r="D186" s="21" t="n">
        <v>0</v>
      </c>
      <c r="E186" s="21" t="n">
        <v>0</v>
      </c>
      <c r="F186" s="21" t="n">
        <v>0</v>
      </c>
      <c r="G186" s="21" t="n">
        <v>0</v>
      </c>
      <c r="H186" s="21" t="n">
        <v>0</v>
      </c>
      <c r="I186" s="21" t="n">
        <v>0.05</v>
      </c>
      <c r="J186" s="21" t="n">
        <v>-0.05</v>
      </c>
      <c r="K186" s="21" t="n">
        <v>0</v>
      </c>
      <c r="L186" s="21" t="n">
        <v>0</v>
      </c>
      <c r="M186" s="21" t="n">
        <v>0</v>
      </c>
      <c r="N186" s="21" t="n">
        <v>0</v>
      </c>
      <c r="O186" s="21" t="n">
        <v>0</v>
      </c>
      <c r="P186" s="21" t="n">
        <v>0.05</v>
      </c>
      <c r="Q186" s="21" t="n">
        <v>-0.05</v>
      </c>
      <c r="R186" s="18" t="n">
        <f aca="false">ABS(D186)+MAX(ABS(G186),ABS(H186))+MAX(ABS(I186),ABS(J186))</f>
        <v>0.05</v>
      </c>
      <c r="S186" s="18" t="n">
        <f aca="false">ABS(K186)+MAX(ABS(N186),ABS(O186))+MAX(ABS(P186),ABS(Q186))</f>
        <v>0.05</v>
      </c>
      <c r="T186" s="18" t="n">
        <f aca="false">MAX(ABS(E186),ABS(F186))</f>
        <v>0</v>
      </c>
      <c r="U186" s="18" t="n">
        <f aca="false">MAX(ABS(L186),ABS(M186))</f>
        <v>0</v>
      </c>
    </row>
    <row r="187" customFormat="false" ht="15" hidden="false" customHeight="false" outlineLevel="0" collapsed="false">
      <c r="A187" s="4" t="n">
        <v>261</v>
      </c>
      <c r="B187" s="4" t="n">
        <v>38</v>
      </c>
      <c r="C187" s="18" t="n">
        <v>0.5</v>
      </c>
      <c r="D187" s="21" t="n">
        <v>0</v>
      </c>
      <c r="E187" s="21" t="n">
        <v>0</v>
      </c>
      <c r="F187" s="21" t="n">
        <v>0</v>
      </c>
      <c r="G187" s="21" t="n">
        <v>0</v>
      </c>
      <c r="H187" s="21" t="n">
        <v>0</v>
      </c>
      <c r="I187" s="21" t="n">
        <v>0.05</v>
      </c>
      <c r="J187" s="21" t="n">
        <v>-0.05</v>
      </c>
      <c r="K187" s="21" t="n">
        <v>0</v>
      </c>
      <c r="L187" s="21" t="n">
        <v>0</v>
      </c>
      <c r="M187" s="21" t="n">
        <v>0</v>
      </c>
      <c r="N187" s="21" t="n">
        <v>0</v>
      </c>
      <c r="O187" s="21" t="n">
        <v>0</v>
      </c>
      <c r="P187" s="21" t="n">
        <v>0.05</v>
      </c>
      <c r="Q187" s="21" t="n">
        <v>-0.05</v>
      </c>
      <c r="R187" s="18" t="n">
        <f aca="false">ABS(D187)+MAX(ABS(G187),ABS(H187))+MAX(ABS(I187),ABS(J187))</f>
        <v>0.05</v>
      </c>
      <c r="S187" s="18" t="n">
        <f aca="false">ABS(K187)+MAX(ABS(N187),ABS(O187))+MAX(ABS(P187),ABS(Q187))</f>
        <v>0.05</v>
      </c>
      <c r="T187" s="18" t="n">
        <f aca="false">MAX(ABS(E187),ABS(F187))</f>
        <v>0</v>
      </c>
      <c r="U187" s="18" t="n">
        <f aca="false">MAX(ABS(L187),ABS(M187))</f>
        <v>0</v>
      </c>
    </row>
    <row r="188" customFormat="false" ht="15" hidden="false" customHeight="false" outlineLevel="0" collapsed="false">
      <c r="A188" s="4" t="n">
        <v>261</v>
      </c>
      <c r="B188" s="4" t="n">
        <v>38</v>
      </c>
      <c r="C188" s="18" t="n">
        <v>0.75</v>
      </c>
      <c r="D188" s="21" t="n">
        <v>0</v>
      </c>
      <c r="E188" s="21" t="n">
        <v>0</v>
      </c>
      <c r="F188" s="21" t="n">
        <v>0</v>
      </c>
      <c r="G188" s="21" t="n">
        <v>0</v>
      </c>
      <c r="H188" s="21" t="n">
        <v>0</v>
      </c>
      <c r="I188" s="21" t="n">
        <v>0.05</v>
      </c>
      <c r="J188" s="21" t="n">
        <v>-0.05</v>
      </c>
      <c r="K188" s="21" t="n">
        <v>0</v>
      </c>
      <c r="L188" s="21" t="n">
        <v>0</v>
      </c>
      <c r="M188" s="21" t="n">
        <v>0</v>
      </c>
      <c r="N188" s="21" t="n">
        <v>0</v>
      </c>
      <c r="O188" s="21" t="n">
        <v>0</v>
      </c>
      <c r="P188" s="21" t="n">
        <v>0.05</v>
      </c>
      <c r="Q188" s="21" t="n">
        <v>-0.05</v>
      </c>
      <c r="R188" s="18" t="n">
        <f aca="false">ABS(D188)+MAX(ABS(G188),ABS(H188))+MAX(ABS(I188),ABS(J188))</f>
        <v>0.05</v>
      </c>
      <c r="S188" s="18" t="n">
        <f aca="false">ABS(K188)+MAX(ABS(N188),ABS(O188))+MAX(ABS(P188),ABS(Q188))</f>
        <v>0.05</v>
      </c>
      <c r="T188" s="18" t="n">
        <f aca="false">MAX(ABS(E188),ABS(F188))</f>
        <v>0</v>
      </c>
      <c r="U188" s="18" t="n">
        <f aca="false">MAX(ABS(L188),ABS(M188))</f>
        <v>0</v>
      </c>
    </row>
    <row r="189" customFormat="false" ht="15" hidden="false" customHeight="false" outlineLevel="0" collapsed="false">
      <c r="A189" s="4" t="n">
        <v>261</v>
      </c>
      <c r="B189" s="4" t="n">
        <v>38</v>
      </c>
      <c r="C189" s="18" t="n">
        <v>1</v>
      </c>
      <c r="D189" s="21" t="n">
        <v>0</v>
      </c>
      <c r="E189" s="21" t="n">
        <v>0</v>
      </c>
      <c r="F189" s="21" t="n">
        <v>0</v>
      </c>
      <c r="G189" s="21" t="n">
        <v>0</v>
      </c>
      <c r="H189" s="21" t="n">
        <v>0</v>
      </c>
      <c r="I189" s="21" t="n">
        <v>0.04</v>
      </c>
      <c r="J189" s="21" t="n">
        <v>-0.04</v>
      </c>
      <c r="K189" s="21" t="n">
        <v>0</v>
      </c>
      <c r="L189" s="21" t="n">
        <v>0</v>
      </c>
      <c r="M189" s="21" t="n">
        <v>0</v>
      </c>
      <c r="N189" s="21" t="n">
        <v>0</v>
      </c>
      <c r="O189" s="21" t="n">
        <v>0</v>
      </c>
      <c r="P189" s="21" t="n">
        <v>0.05</v>
      </c>
      <c r="Q189" s="21" t="n">
        <v>-0.05</v>
      </c>
      <c r="R189" s="18" t="n">
        <f aca="false">ABS(D189)+MAX(ABS(G189),ABS(H189))+MAX(ABS(I189),ABS(J189))</f>
        <v>0.04</v>
      </c>
      <c r="S189" s="18" t="n">
        <f aca="false">ABS(K189)+MAX(ABS(N189),ABS(O189))+MAX(ABS(P189),ABS(Q189))</f>
        <v>0.05</v>
      </c>
      <c r="T189" s="18" t="n">
        <f aca="false">MAX(ABS(E189),ABS(F189))</f>
        <v>0</v>
      </c>
      <c r="U189" s="18" t="n">
        <f aca="false">MAX(ABS(L189),ABS(M189))</f>
        <v>0</v>
      </c>
    </row>
    <row r="190" customFormat="false" ht="15" hidden="false" customHeight="false" outlineLevel="0" collapsed="false">
      <c r="A190" s="4" t="n">
        <v>262</v>
      </c>
      <c r="B190" s="4" t="n">
        <v>39</v>
      </c>
      <c r="C190" s="18" t="n">
        <v>0</v>
      </c>
      <c r="D190" s="21" t="n">
        <v>0</v>
      </c>
      <c r="E190" s="21" t="n">
        <v>0</v>
      </c>
      <c r="F190" s="21" t="n">
        <v>0</v>
      </c>
      <c r="G190" s="21" t="n">
        <v>0</v>
      </c>
      <c r="H190" s="21" t="n">
        <v>0</v>
      </c>
      <c r="I190" s="21" t="n">
        <v>0.04</v>
      </c>
      <c r="J190" s="21" t="n">
        <v>-0.04</v>
      </c>
      <c r="K190" s="21" t="n">
        <v>0</v>
      </c>
      <c r="L190" s="21" t="n">
        <v>0</v>
      </c>
      <c r="M190" s="21" t="n">
        <v>0</v>
      </c>
      <c r="N190" s="21" t="n">
        <v>0</v>
      </c>
      <c r="O190" s="21" t="n">
        <v>0</v>
      </c>
      <c r="P190" s="21" t="n">
        <v>0.05</v>
      </c>
      <c r="Q190" s="21" t="n">
        <v>-0.05</v>
      </c>
      <c r="R190" s="18" t="n">
        <f aca="false">ABS(D190)+MAX(ABS(G190),ABS(H190))+MAX(ABS(I190),ABS(J190))</f>
        <v>0.04</v>
      </c>
      <c r="S190" s="18" t="n">
        <f aca="false">ABS(K190)+MAX(ABS(N190),ABS(O190))+MAX(ABS(P190),ABS(Q190))</f>
        <v>0.05</v>
      </c>
      <c r="T190" s="18" t="n">
        <f aca="false">MAX(ABS(E190),ABS(F190))</f>
        <v>0</v>
      </c>
      <c r="U190" s="18" t="n">
        <f aca="false">MAX(ABS(L190),ABS(M190))</f>
        <v>0</v>
      </c>
    </row>
    <row r="191" customFormat="false" ht="15" hidden="false" customHeight="false" outlineLevel="0" collapsed="false">
      <c r="A191" s="4" t="n">
        <v>262</v>
      </c>
      <c r="B191" s="4" t="n">
        <v>39</v>
      </c>
      <c r="C191" s="18" t="n">
        <v>0.25</v>
      </c>
      <c r="D191" s="21" t="n">
        <v>0</v>
      </c>
      <c r="E191" s="21" t="n">
        <v>0</v>
      </c>
      <c r="F191" s="21" t="n">
        <v>0</v>
      </c>
      <c r="G191" s="21" t="n">
        <v>0</v>
      </c>
      <c r="H191" s="21" t="n">
        <v>0</v>
      </c>
      <c r="I191" s="21" t="n">
        <v>0.04</v>
      </c>
      <c r="J191" s="21" t="n">
        <v>-0.04</v>
      </c>
      <c r="K191" s="21" t="n">
        <v>0</v>
      </c>
      <c r="L191" s="21" t="n">
        <v>0</v>
      </c>
      <c r="M191" s="21" t="n">
        <v>0</v>
      </c>
      <c r="N191" s="21" t="n">
        <v>0</v>
      </c>
      <c r="O191" s="21" t="n">
        <v>0</v>
      </c>
      <c r="P191" s="21" t="n">
        <v>0.04</v>
      </c>
      <c r="Q191" s="21" t="n">
        <v>-0.04</v>
      </c>
      <c r="R191" s="18" t="n">
        <f aca="false">ABS(D191)+MAX(ABS(G191),ABS(H191))+MAX(ABS(I191),ABS(J191))</f>
        <v>0.04</v>
      </c>
      <c r="S191" s="18" t="n">
        <f aca="false">ABS(K191)+MAX(ABS(N191),ABS(O191))+MAX(ABS(P191),ABS(Q191))</f>
        <v>0.04</v>
      </c>
      <c r="T191" s="18" t="n">
        <f aca="false">MAX(ABS(E191),ABS(F191))</f>
        <v>0</v>
      </c>
      <c r="U191" s="18" t="n">
        <f aca="false">MAX(ABS(L191),ABS(M191))</f>
        <v>0</v>
      </c>
    </row>
    <row r="192" customFormat="false" ht="15" hidden="false" customHeight="false" outlineLevel="0" collapsed="false">
      <c r="A192" s="4" t="n">
        <v>262</v>
      </c>
      <c r="B192" s="4" t="n">
        <v>39</v>
      </c>
      <c r="C192" s="18" t="n">
        <v>0.5</v>
      </c>
      <c r="D192" s="21" t="n">
        <v>0</v>
      </c>
      <c r="E192" s="21" t="n">
        <v>0</v>
      </c>
      <c r="F192" s="21" t="n">
        <v>0</v>
      </c>
      <c r="G192" s="21" t="n">
        <v>0</v>
      </c>
      <c r="H192" s="21" t="n">
        <v>0</v>
      </c>
      <c r="I192" s="21" t="n">
        <v>0.03</v>
      </c>
      <c r="J192" s="21" t="n">
        <v>-0.03</v>
      </c>
      <c r="K192" s="21" t="n">
        <v>0</v>
      </c>
      <c r="L192" s="21" t="n">
        <v>0</v>
      </c>
      <c r="M192" s="21" t="n">
        <v>0</v>
      </c>
      <c r="N192" s="21" t="n">
        <v>0</v>
      </c>
      <c r="O192" s="21" t="n">
        <v>0</v>
      </c>
      <c r="P192" s="21" t="n">
        <v>0.03</v>
      </c>
      <c r="Q192" s="21" t="n">
        <v>-0.03</v>
      </c>
      <c r="R192" s="18" t="n">
        <f aca="false">ABS(D192)+MAX(ABS(G192),ABS(H192))+MAX(ABS(I192),ABS(J192))</f>
        <v>0.03</v>
      </c>
      <c r="S192" s="18" t="n">
        <f aca="false">ABS(K192)+MAX(ABS(N192),ABS(O192))+MAX(ABS(P192),ABS(Q192))</f>
        <v>0.03</v>
      </c>
      <c r="T192" s="18" t="n">
        <f aca="false">MAX(ABS(E192),ABS(F192))</f>
        <v>0</v>
      </c>
      <c r="U192" s="18" t="n">
        <f aca="false">MAX(ABS(L192),ABS(M192))</f>
        <v>0</v>
      </c>
    </row>
    <row r="193" customFormat="false" ht="15" hidden="false" customHeight="false" outlineLevel="0" collapsed="false">
      <c r="A193" s="4" t="n">
        <v>262</v>
      </c>
      <c r="B193" s="4" t="n">
        <v>39</v>
      </c>
      <c r="C193" s="18" t="n">
        <v>0.75</v>
      </c>
      <c r="D193" s="21" t="n">
        <v>0</v>
      </c>
      <c r="E193" s="21" t="n">
        <v>0</v>
      </c>
      <c r="F193" s="21" t="n">
        <v>0</v>
      </c>
      <c r="G193" s="21" t="n">
        <v>0</v>
      </c>
      <c r="H193" s="21" t="n">
        <v>0</v>
      </c>
      <c r="I193" s="21" t="n">
        <v>0.02</v>
      </c>
      <c r="J193" s="21" t="n">
        <v>-0.02</v>
      </c>
      <c r="K193" s="21" t="n">
        <v>0</v>
      </c>
      <c r="L193" s="21" t="n">
        <v>0</v>
      </c>
      <c r="M193" s="21" t="n">
        <v>0</v>
      </c>
      <c r="N193" s="21" t="n">
        <v>0</v>
      </c>
      <c r="O193" s="21" t="n">
        <v>0</v>
      </c>
      <c r="P193" s="21" t="n">
        <v>0.02</v>
      </c>
      <c r="Q193" s="21" t="n">
        <v>-0.02</v>
      </c>
      <c r="R193" s="18" t="n">
        <f aca="false">ABS(D193)+MAX(ABS(G193),ABS(H193))+MAX(ABS(I193),ABS(J193))</f>
        <v>0.02</v>
      </c>
      <c r="S193" s="18" t="n">
        <f aca="false">ABS(K193)+MAX(ABS(N193),ABS(O193))+MAX(ABS(P193),ABS(Q193))</f>
        <v>0.02</v>
      </c>
      <c r="T193" s="18" t="n">
        <f aca="false">MAX(ABS(E193),ABS(F193))</f>
        <v>0</v>
      </c>
      <c r="U193" s="18" t="n">
        <f aca="false">MAX(ABS(L193),ABS(M193))</f>
        <v>0</v>
      </c>
    </row>
    <row r="194" customFormat="false" ht="15" hidden="false" customHeight="false" outlineLevel="0" collapsed="false">
      <c r="A194" s="4" t="n">
        <v>262</v>
      </c>
      <c r="B194" s="4" t="n">
        <v>39</v>
      </c>
      <c r="C194" s="18" t="n">
        <v>1</v>
      </c>
      <c r="D194" s="21" t="n">
        <v>0</v>
      </c>
      <c r="E194" s="21" t="n">
        <v>0</v>
      </c>
      <c r="F194" s="21" t="n">
        <v>0</v>
      </c>
      <c r="G194" s="21" t="n">
        <v>0</v>
      </c>
      <c r="H194" s="21" t="n">
        <v>0</v>
      </c>
      <c r="I194" s="21" t="n">
        <v>0.01</v>
      </c>
      <c r="J194" s="21" t="n">
        <v>-0.01</v>
      </c>
      <c r="K194" s="21" t="n">
        <v>0</v>
      </c>
      <c r="L194" s="21" t="n">
        <v>0</v>
      </c>
      <c r="M194" s="21" t="n">
        <v>0</v>
      </c>
      <c r="N194" s="21" t="n">
        <v>0</v>
      </c>
      <c r="O194" s="21" t="n">
        <v>0</v>
      </c>
      <c r="P194" s="21" t="n">
        <v>0.01</v>
      </c>
      <c r="Q194" s="21" t="n">
        <v>-0.01</v>
      </c>
      <c r="R194" s="18" t="n">
        <f aca="false">ABS(D194)+MAX(ABS(G194),ABS(H194))+MAX(ABS(I194),ABS(J194))</f>
        <v>0.01</v>
      </c>
      <c r="S194" s="18" t="n">
        <f aca="false">ABS(K194)+MAX(ABS(N194),ABS(O194))+MAX(ABS(P194),ABS(Q194))</f>
        <v>0.01</v>
      </c>
      <c r="T194" s="18" t="n">
        <f aca="false">MAX(ABS(E194),ABS(F194))</f>
        <v>0</v>
      </c>
      <c r="U194" s="18" t="n">
        <f aca="false">MAX(ABS(L194),ABS(M194))</f>
        <v>0</v>
      </c>
    </row>
    <row r="195" customFormat="false" ht="15" hidden="false" customHeight="false" outlineLevel="0" collapsed="false">
      <c r="A195" s="4" t="n">
        <v>263</v>
      </c>
      <c r="B195" s="4" t="n">
        <v>40</v>
      </c>
      <c r="C195" s="18" t="n">
        <v>0</v>
      </c>
      <c r="D195" s="21" t="n">
        <v>0</v>
      </c>
      <c r="E195" s="21" t="n">
        <v>0</v>
      </c>
      <c r="F195" s="21" t="n">
        <v>0</v>
      </c>
      <c r="G195" s="21" t="n">
        <v>0</v>
      </c>
      <c r="H195" s="21" t="n">
        <v>0</v>
      </c>
      <c r="I195" s="21" t="n">
        <v>0.01</v>
      </c>
      <c r="J195" s="21" t="n">
        <v>-0.01</v>
      </c>
      <c r="K195" s="21" t="n">
        <v>0</v>
      </c>
      <c r="L195" s="21" t="n">
        <v>0</v>
      </c>
      <c r="M195" s="21" t="n">
        <v>0</v>
      </c>
      <c r="N195" s="21" t="n">
        <v>-0.01</v>
      </c>
      <c r="O195" s="21" t="n">
        <v>0.01</v>
      </c>
      <c r="P195" s="21" t="n">
        <v>0.01</v>
      </c>
      <c r="Q195" s="21" t="n">
        <v>-0.01</v>
      </c>
      <c r="R195" s="18" t="n">
        <f aca="false">ABS(D195)+MAX(ABS(G195),ABS(H195))+MAX(ABS(I195),ABS(J195))</f>
        <v>0.01</v>
      </c>
      <c r="S195" s="18" t="n">
        <f aca="false">ABS(K195)+MAX(ABS(N195),ABS(O195))+MAX(ABS(P195),ABS(Q195))</f>
        <v>0.02</v>
      </c>
      <c r="T195" s="18" t="n">
        <f aca="false">MAX(ABS(E195),ABS(F195))</f>
        <v>0</v>
      </c>
      <c r="U195" s="18" t="n">
        <f aca="false">MAX(ABS(L195),ABS(M195))</f>
        <v>0</v>
      </c>
    </row>
    <row r="196" customFormat="false" ht="15" hidden="false" customHeight="false" outlineLevel="0" collapsed="false">
      <c r="A196" s="4" t="n">
        <v>263</v>
      </c>
      <c r="B196" s="4" t="n">
        <v>40</v>
      </c>
      <c r="C196" s="18" t="n">
        <v>0.25</v>
      </c>
      <c r="D196" s="21" t="n">
        <v>0</v>
      </c>
      <c r="E196" s="21" t="n">
        <v>0</v>
      </c>
      <c r="F196" s="21" t="n">
        <v>0</v>
      </c>
      <c r="G196" s="21" t="n">
        <v>0</v>
      </c>
      <c r="H196" s="21" t="n">
        <v>0</v>
      </c>
      <c r="I196" s="21" t="n">
        <v>0.01</v>
      </c>
      <c r="J196" s="21" t="n">
        <v>-0.01</v>
      </c>
      <c r="K196" s="21" t="n">
        <v>0</v>
      </c>
      <c r="L196" s="21" t="n">
        <v>0</v>
      </c>
      <c r="M196" s="21" t="n">
        <v>0</v>
      </c>
      <c r="N196" s="21" t="n">
        <v>0</v>
      </c>
      <c r="O196" s="21" t="n">
        <v>0</v>
      </c>
      <c r="P196" s="21" t="n">
        <v>0.01</v>
      </c>
      <c r="Q196" s="21" t="n">
        <v>-0.01</v>
      </c>
      <c r="R196" s="18" t="n">
        <f aca="false">ABS(D196)+MAX(ABS(G196),ABS(H196))+MAX(ABS(I196),ABS(J196))</f>
        <v>0.01</v>
      </c>
      <c r="S196" s="18" t="n">
        <f aca="false">ABS(K196)+MAX(ABS(N196),ABS(O196))+MAX(ABS(P196),ABS(Q196))</f>
        <v>0.01</v>
      </c>
      <c r="T196" s="18" t="n">
        <f aca="false">MAX(ABS(E196),ABS(F196))</f>
        <v>0</v>
      </c>
      <c r="U196" s="18" t="n">
        <f aca="false">MAX(ABS(L196),ABS(M196))</f>
        <v>0</v>
      </c>
    </row>
    <row r="197" customFormat="false" ht="15" hidden="false" customHeight="false" outlineLevel="0" collapsed="false">
      <c r="A197" s="4" t="n">
        <v>263</v>
      </c>
      <c r="B197" s="4" t="n">
        <v>40</v>
      </c>
      <c r="C197" s="18" t="n">
        <v>0.5</v>
      </c>
      <c r="D197" s="21" t="n">
        <v>0</v>
      </c>
      <c r="E197" s="21" t="n">
        <v>0</v>
      </c>
      <c r="F197" s="21" t="n">
        <v>0</v>
      </c>
      <c r="G197" s="21" t="n">
        <v>0</v>
      </c>
      <c r="H197" s="21" t="n">
        <v>0</v>
      </c>
      <c r="I197" s="21" t="n">
        <v>0</v>
      </c>
      <c r="J197" s="21" t="n">
        <v>0</v>
      </c>
      <c r="K197" s="21" t="n">
        <v>0</v>
      </c>
      <c r="L197" s="21" t="n">
        <v>0</v>
      </c>
      <c r="M197" s="21" t="n">
        <v>0</v>
      </c>
      <c r="N197" s="21" t="n">
        <v>0</v>
      </c>
      <c r="O197" s="21" t="n">
        <v>0</v>
      </c>
      <c r="P197" s="21" t="n">
        <v>0</v>
      </c>
      <c r="Q197" s="21" t="n">
        <v>0</v>
      </c>
      <c r="R197" s="18" t="n">
        <f aca="false">ABS(D197)+MAX(ABS(G197),ABS(H197))+MAX(ABS(I197),ABS(J197))</f>
        <v>0</v>
      </c>
      <c r="S197" s="18" t="n">
        <f aca="false">ABS(K197)+MAX(ABS(N197),ABS(O197))+MAX(ABS(P197),ABS(Q197))</f>
        <v>0</v>
      </c>
      <c r="T197" s="18" t="n">
        <f aca="false">MAX(ABS(E197),ABS(F197))</f>
        <v>0</v>
      </c>
      <c r="U197" s="18" t="n">
        <f aca="false">MAX(ABS(L197),ABS(M197))</f>
        <v>0</v>
      </c>
    </row>
    <row r="198" customFormat="false" ht="15" hidden="false" customHeight="false" outlineLevel="0" collapsed="false">
      <c r="A198" s="4" t="n">
        <v>263</v>
      </c>
      <c r="B198" s="4" t="n">
        <v>40</v>
      </c>
      <c r="C198" s="18" t="n">
        <v>0.75</v>
      </c>
      <c r="D198" s="21" t="n">
        <v>0</v>
      </c>
      <c r="E198" s="21" t="n">
        <v>0</v>
      </c>
      <c r="F198" s="21" t="n">
        <v>0</v>
      </c>
      <c r="G198" s="21" t="n">
        <v>0</v>
      </c>
      <c r="H198" s="21" t="n">
        <v>0</v>
      </c>
      <c r="I198" s="21" t="n">
        <v>0</v>
      </c>
      <c r="J198" s="21" t="n">
        <v>0</v>
      </c>
      <c r="K198" s="21" t="n">
        <v>0</v>
      </c>
      <c r="L198" s="21" t="n">
        <v>0</v>
      </c>
      <c r="M198" s="21" t="n">
        <v>0</v>
      </c>
      <c r="N198" s="21" t="n">
        <v>0</v>
      </c>
      <c r="O198" s="21" t="n">
        <v>0</v>
      </c>
      <c r="P198" s="21" t="n">
        <v>0</v>
      </c>
      <c r="Q198" s="21" t="n">
        <v>0</v>
      </c>
      <c r="R198" s="18" t="n">
        <f aca="false">ABS(D198)+MAX(ABS(G198),ABS(H198))+MAX(ABS(I198),ABS(J198))</f>
        <v>0</v>
      </c>
      <c r="S198" s="18" t="n">
        <f aca="false">ABS(K198)+MAX(ABS(N198),ABS(O198))+MAX(ABS(P198),ABS(Q198))</f>
        <v>0</v>
      </c>
      <c r="T198" s="18" t="n">
        <f aca="false">MAX(ABS(E198),ABS(F198))</f>
        <v>0</v>
      </c>
      <c r="U198" s="18" t="n">
        <f aca="false">MAX(ABS(L198),ABS(M198))</f>
        <v>0</v>
      </c>
    </row>
    <row r="199" customFormat="false" ht="15" hidden="false" customHeight="false" outlineLevel="0" collapsed="false">
      <c r="A199" s="4" t="n">
        <v>263</v>
      </c>
      <c r="B199" s="4" t="n">
        <v>40</v>
      </c>
      <c r="C199" s="18" t="n">
        <v>1</v>
      </c>
      <c r="D199" s="21" t="n">
        <v>0</v>
      </c>
      <c r="E199" s="21" t="n">
        <v>0</v>
      </c>
      <c r="F199" s="21" t="n">
        <v>0</v>
      </c>
      <c r="G199" s="21" t="n">
        <v>0</v>
      </c>
      <c r="H199" s="21" t="n">
        <v>0</v>
      </c>
      <c r="I199" s="21" t="n">
        <v>0</v>
      </c>
      <c r="J199" s="21" t="n">
        <v>0</v>
      </c>
      <c r="K199" s="21" t="n">
        <v>0</v>
      </c>
      <c r="L199" s="21" t="n">
        <v>0</v>
      </c>
      <c r="M199" s="21" t="n">
        <v>0</v>
      </c>
      <c r="N199" s="21" t="n">
        <v>0</v>
      </c>
      <c r="O199" s="21" t="n">
        <v>0</v>
      </c>
      <c r="P199" s="21" t="n">
        <v>0</v>
      </c>
      <c r="Q199" s="21" t="n">
        <v>0</v>
      </c>
      <c r="R199" s="18" t="n">
        <f aca="false">ABS(D199)+MAX(ABS(G199),ABS(H199))+MAX(ABS(I199),ABS(J199))</f>
        <v>0</v>
      </c>
      <c r="S199" s="18" t="n">
        <f aca="false">ABS(K199)+MAX(ABS(N199),ABS(O199))+MAX(ABS(P199),ABS(Q199))</f>
        <v>0</v>
      </c>
      <c r="T199" s="18" t="n">
        <f aca="false">MAX(ABS(E199),ABS(F199))</f>
        <v>0</v>
      </c>
      <c r="U199" s="18" t="n">
        <f aca="false">MAX(ABS(L199),ABS(M199))</f>
        <v>0</v>
      </c>
    </row>
    <row r="200" customFormat="false" ht="15" hidden="false" customHeight="false" outlineLevel="0" collapsed="false">
      <c r="A200" s="4" t="n">
        <v>264</v>
      </c>
      <c r="B200" s="4" t="n">
        <v>41</v>
      </c>
      <c r="C200" s="18" t="n">
        <v>0</v>
      </c>
      <c r="D200" s="21" t="n">
        <v>0</v>
      </c>
      <c r="E200" s="21" t="n">
        <v>0.01</v>
      </c>
      <c r="F200" s="21" t="n">
        <v>0.02</v>
      </c>
      <c r="G200" s="21" t="n">
        <v>-0.01</v>
      </c>
      <c r="H200" s="21" t="n">
        <v>0.01</v>
      </c>
      <c r="I200" s="21" t="n">
        <v>-0.09</v>
      </c>
      <c r="J200" s="21" t="n">
        <v>0.09</v>
      </c>
      <c r="K200" s="21" t="n">
        <v>0</v>
      </c>
      <c r="L200" s="21" t="n">
        <v>0.01</v>
      </c>
      <c r="M200" s="21" t="n">
        <v>0.02</v>
      </c>
      <c r="N200" s="21" t="n">
        <v>-0.02</v>
      </c>
      <c r="O200" s="21" t="n">
        <v>0.02</v>
      </c>
      <c r="P200" s="21" t="n">
        <v>-0.08</v>
      </c>
      <c r="Q200" s="21" t="n">
        <v>0.08</v>
      </c>
      <c r="R200" s="18" t="n">
        <f aca="false">ABS(D200)+MAX(ABS(G200),ABS(H200))+MAX(ABS(I200),ABS(J200))</f>
        <v>0.1</v>
      </c>
      <c r="S200" s="18" t="n">
        <f aca="false">ABS(K200)+MAX(ABS(N200),ABS(O200))+MAX(ABS(P200),ABS(Q200))</f>
        <v>0.1</v>
      </c>
      <c r="T200" s="18" t="n">
        <f aca="false">MAX(ABS(E200),ABS(F200))</f>
        <v>0.02</v>
      </c>
      <c r="U200" s="18" t="n">
        <f aca="false">MAX(ABS(L200),ABS(M200))</f>
        <v>0.02</v>
      </c>
    </row>
    <row r="201" customFormat="false" ht="15" hidden="false" customHeight="false" outlineLevel="0" collapsed="false">
      <c r="A201" s="4" t="n">
        <v>264</v>
      </c>
      <c r="B201" s="4" t="n">
        <v>41</v>
      </c>
      <c r="C201" s="18" t="n">
        <v>0.25</v>
      </c>
      <c r="D201" s="21" t="n">
        <v>0</v>
      </c>
      <c r="E201" s="21" t="n">
        <v>0.01</v>
      </c>
      <c r="F201" s="21" t="n">
        <v>0.02</v>
      </c>
      <c r="G201" s="21" t="n">
        <v>-0.01</v>
      </c>
      <c r="H201" s="21" t="n">
        <v>0.01</v>
      </c>
      <c r="I201" s="21" t="n">
        <v>-0.06</v>
      </c>
      <c r="J201" s="21" t="n">
        <v>0.06</v>
      </c>
      <c r="K201" s="21" t="n">
        <v>0</v>
      </c>
      <c r="L201" s="21" t="n">
        <v>0.01</v>
      </c>
      <c r="M201" s="21" t="n">
        <v>0.02</v>
      </c>
      <c r="N201" s="21" t="n">
        <v>-0.01</v>
      </c>
      <c r="O201" s="21" t="n">
        <v>0.01</v>
      </c>
      <c r="P201" s="21" t="n">
        <v>-0.04</v>
      </c>
      <c r="Q201" s="21" t="n">
        <v>0.04</v>
      </c>
      <c r="R201" s="18" t="n">
        <f aca="false">ABS(D201)+MAX(ABS(G201),ABS(H201))+MAX(ABS(I201),ABS(J201))</f>
        <v>0.07</v>
      </c>
      <c r="S201" s="18" t="n">
        <f aca="false">ABS(K201)+MAX(ABS(N201),ABS(O201))+MAX(ABS(P201),ABS(Q201))</f>
        <v>0.05</v>
      </c>
      <c r="T201" s="18" t="n">
        <f aca="false">MAX(ABS(E201),ABS(F201))</f>
        <v>0.02</v>
      </c>
      <c r="U201" s="18" t="n">
        <f aca="false">MAX(ABS(L201),ABS(M201))</f>
        <v>0.02</v>
      </c>
    </row>
    <row r="202" customFormat="false" ht="15" hidden="false" customHeight="false" outlineLevel="0" collapsed="false">
      <c r="A202" s="4" t="n">
        <v>264</v>
      </c>
      <c r="B202" s="4" t="n">
        <v>41</v>
      </c>
      <c r="C202" s="18" t="n">
        <v>0.5</v>
      </c>
      <c r="D202" s="21" t="n">
        <v>0</v>
      </c>
      <c r="E202" s="21" t="n">
        <v>0.01</v>
      </c>
      <c r="F202" s="21" t="n">
        <v>0.02</v>
      </c>
      <c r="G202" s="21" t="n">
        <v>0</v>
      </c>
      <c r="H202" s="21" t="n">
        <v>0</v>
      </c>
      <c r="I202" s="21" t="n">
        <v>-0.02</v>
      </c>
      <c r="J202" s="21" t="n">
        <v>0.02</v>
      </c>
      <c r="K202" s="21" t="n">
        <v>0</v>
      </c>
      <c r="L202" s="21" t="n">
        <v>0.01</v>
      </c>
      <c r="M202" s="21" t="n">
        <v>0.02</v>
      </c>
      <c r="N202" s="21" t="n">
        <v>0</v>
      </c>
      <c r="O202" s="21" t="n">
        <v>0</v>
      </c>
      <c r="P202" s="21" t="n">
        <v>0</v>
      </c>
      <c r="Q202" s="21" t="n">
        <v>0</v>
      </c>
      <c r="R202" s="18" t="n">
        <f aca="false">ABS(D202)+MAX(ABS(G202),ABS(H202))+MAX(ABS(I202),ABS(J202))</f>
        <v>0.02</v>
      </c>
      <c r="S202" s="18" t="n">
        <f aca="false">ABS(K202)+MAX(ABS(N202),ABS(O202))+MAX(ABS(P202),ABS(Q202))</f>
        <v>0</v>
      </c>
      <c r="T202" s="18" t="n">
        <f aca="false">MAX(ABS(E202),ABS(F202))</f>
        <v>0.02</v>
      </c>
      <c r="U202" s="18" t="n">
        <f aca="false">MAX(ABS(L202),ABS(M202))</f>
        <v>0.02</v>
      </c>
    </row>
    <row r="203" customFormat="false" ht="15" hidden="false" customHeight="false" outlineLevel="0" collapsed="false">
      <c r="A203" s="4" t="n">
        <v>264</v>
      </c>
      <c r="B203" s="4" t="n">
        <v>41</v>
      </c>
      <c r="C203" s="18" t="n">
        <v>0.75</v>
      </c>
      <c r="D203" s="21" t="n">
        <v>0</v>
      </c>
      <c r="E203" s="21" t="n">
        <v>0.01</v>
      </c>
      <c r="F203" s="21" t="n">
        <v>0.02</v>
      </c>
      <c r="G203" s="21" t="n">
        <v>0</v>
      </c>
      <c r="H203" s="21" t="n">
        <v>0</v>
      </c>
      <c r="I203" s="21" t="n">
        <v>0.02</v>
      </c>
      <c r="J203" s="21" t="n">
        <v>-0.02</v>
      </c>
      <c r="K203" s="21" t="n">
        <v>0</v>
      </c>
      <c r="L203" s="21" t="n">
        <v>0.01</v>
      </c>
      <c r="M203" s="21" t="n">
        <v>0.02</v>
      </c>
      <c r="N203" s="21" t="n">
        <v>0.01</v>
      </c>
      <c r="O203" s="21" t="n">
        <v>-0.01</v>
      </c>
      <c r="P203" s="21" t="n">
        <v>0.03</v>
      </c>
      <c r="Q203" s="21" t="n">
        <v>-0.03</v>
      </c>
      <c r="R203" s="18" t="n">
        <f aca="false">ABS(D203)+MAX(ABS(G203),ABS(H203))+MAX(ABS(I203),ABS(J203))</f>
        <v>0.02</v>
      </c>
      <c r="S203" s="18" t="n">
        <f aca="false">ABS(K203)+MAX(ABS(N203),ABS(O203))+MAX(ABS(P203),ABS(Q203))</f>
        <v>0.04</v>
      </c>
      <c r="T203" s="18" t="n">
        <f aca="false">MAX(ABS(E203),ABS(F203))</f>
        <v>0.02</v>
      </c>
      <c r="U203" s="18" t="n">
        <f aca="false">MAX(ABS(L203),ABS(M203))</f>
        <v>0.02</v>
      </c>
    </row>
    <row r="204" customFormat="false" ht="15" hidden="false" customHeight="false" outlineLevel="0" collapsed="false">
      <c r="A204" s="4" t="n">
        <v>264</v>
      </c>
      <c r="B204" s="4" t="n">
        <v>41</v>
      </c>
      <c r="C204" s="18" t="n">
        <v>1</v>
      </c>
      <c r="D204" s="21" t="n">
        <v>0</v>
      </c>
      <c r="E204" s="21" t="n">
        <v>0.01</v>
      </c>
      <c r="F204" s="21" t="n">
        <v>0.02</v>
      </c>
      <c r="G204" s="21" t="n">
        <v>0.01</v>
      </c>
      <c r="H204" s="21" t="n">
        <v>-0.01</v>
      </c>
      <c r="I204" s="21" t="n">
        <v>0.06</v>
      </c>
      <c r="J204" s="21" t="n">
        <v>-0.06</v>
      </c>
      <c r="K204" s="21" t="n">
        <v>0</v>
      </c>
      <c r="L204" s="21" t="n">
        <v>0.01</v>
      </c>
      <c r="M204" s="21" t="n">
        <v>0.02</v>
      </c>
      <c r="N204" s="21" t="n">
        <v>0.01</v>
      </c>
      <c r="O204" s="21" t="n">
        <v>-0.01</v>
      </c>
      <c r="P204" s="21" t="n">
        <v>0.07</v>
      </c>
      <c r="Q204" s="21" t="n">
        <v>-0.07</v>
      </c>
      <c r="R204" s="18" t="n">
        <f aca="false">ABS(D204)+MAX(ABS(G204),ABS(H204))+MAX(ABS(I204),ABS(J204))</f>
        <v>0.07</v>
      </c>
      <c r="S204" s="18" t="n">
        <f aca="false">ABS(K204)+MAX(ABS(N204),ABS(O204))+MAX(ABS(P204),ABS(Q204))</f>
        <v>0.08</v>
      </c>
      <c r="T204" s="18" t="n">
        <f aca="false">MAX(ABS(E204),ABS(F204))</f>
        <v>0.02</v>
      </c>
      <c r="U204" s="18" t="n">
        <f aca="false">MAX(ABS(L204),ABS(M204))</f>
        <v>0.02</v>
      </c>
    </row>
    <row r="205" customFormat="false" ht="15" hidden="false" customHeight="false" outlineLevel="0" collapsed="false">
      <c r="A205" s="4" t="n">
        <v>265</v>
      </c>
      <c r="B205" s="4" t="n">
        <v>42</v>
      </c>
      <c r="C205" s="18" t="n">
        <v>0</v>
      </c>
      <c r="D205" s="21" t="n">
        <v>0</v>
      </c>
      <c r="E205" s="21" t="n">
        <v>0.01</v>
      </c>
      <c r="F205" s="21" t="n">
        <v>0.01</v>
      </c>
      <c r="G205" s="21" t="n">
        <v>0.01</v>
      </c>
      <c r="H205" s="21" t="n">
        <v>-0.01</v>
      </c>
      <c r="I205" s="21" t="n">
        <v>0.05</v>
      </c>
      <c r="J205" s="21" t="n">
        <v>-0.05</v>
      </c>
      <c r="K205" s="21" t="n">
        <v>0</v>
      </c>
      <c r="L205" s="21" t="n">
        <v>0</v>
      </c>
      <c r="M205" s="21" t="n">
        <v>0.01</v>
      </c>
      <c r="N205" s="21" t="n">
        <v>0.01</v>
      </c>
      <c r="O205" s="21" t="n">
        <v>-0.01</v>
      </c>
      <c r="P205" s="21" t="n">
        <v>0.06</v>
      </c>
      <c r="Q205" s="21" t="n">
        <v>-0.06</v>
      </c>
      <c r="R205" s="18" t="n">
        <f aca="false">ABS(D205)+MAX(ABS(G205),ABS(H205))+MAX(ABS(I205),ABS(J205))</f>
        <v>0.06</v>
      </c>
      <c r="S205" s="18" t="n">
        <f aca="false">ABS(K205)+MAX(ABS(N205),ABS(O205))+MAX(ABS(P205),ABS(Q205))</f>
        <v>0.07</v>
      </c>
      <c r="T205" s="18" t="n">
        <f aca="false">MAX(ABS(E205),ABS(F205))</f>
        <v>0.01</v>
      </c>
      <c r="U205" s="18" t="n">
        <f aca="false">MAX(ABS(L205),ABS(M205))</f>
        <v>0.01</v>
      </c>
    </row>
    <row r="206" customFormat="false" ht="15" hidden="false" customHeight="false" outlineLevel="0" collapsed="false">
      <c r="A206" s="4" t="n">
        <v>265</v>
      </c>
      <c r="B206" s="4" t="n">
        <v>42</v>
      </c>
      <c r="C206" s="18" t="n">
        <v>0.25</v>
      </c>
      <c r="D206" s="21" t="n">
        <v>0</v>
      </c>
      <c r="E206" s="21" t="n">
        <v>0.01</v>
      </c>
      <c r="F206" s="21" t="n">
        <v>0.01</v>
      </c>
      <c r="G206" s="21" t="n">
        <v>0.01</v>
      </c>
      <c r="H206" s="21" t="n">
        <v>-0.01</v>
      </c>
      <c r="I206" s="21" t="n">
        <v>0.06</v>
      </c>
      <c r="J206" s="21" t="n">
        <v>-0.06</v>
      </c>
      <c r="K206" s="21" t="n">
        <v>0</v>
      </c>
      <c r="L206" s="21" t="n">
        <v>0</v>
      </c>
      <c r="M206" s="21" t="n">
        <v>0.01</v>
      </c>
      <c r="N206" s="21" t="n">
        <v>0.01</v>
      </c>
      <c r="O206" s="21" t="n">
        <v>-0.01</v>
      </c>
      <c r="P206" s="21" t="n">
        <v>0.06</v>
      </c>
      <c r="Q206" s="21" t="n">
        <v>-0.06</v>
      </c>
      <c r="R206" s="18" t="n">
        <f aca="false">ABS(D206)+MAX(ABS(G206),ABS(H206))+MAX(ABS(I206),ABS(J206))</f>
        <v>0.07</v>
      </c>
      <c r="S206" s="18" t="n">
        <f aca="false">ABS(K206)+MAX(ABS(N206),ABS(O206))+MAX(ABS(P206),ABS(Q206))</f>
        <v>0.07</v>
      </c>
      <c r="T206" s="18" t="n">
        <f aca="false">MAX(ABS(E206),ABS(F206))</f>
        <v>0.01</v>
      </c>
      <c r="U206" s="18" t="n">
        <f aca="false">MAX(ABS(L206),ABS(M206))</f>
        <v>0.01</v>
      </c>
    </row>
    <row r="207" customFormat="false" ht="15" hidden="false" customHeight="false" outlineLevel="0" collapsed="false">
      <c r="A207" s="4" t="n">
        <v>265</v>
      </c>
      <c r="B207" s="4" t="n">
        <v>42</v>
      </c>
      <c r="C207" s="18" t="n">
        <v>0.5</v>
      </c>
      <c r="D207" s="21" t="n">
        <v>0</v>
      </c>
      <c r="E207" s="21" t="n">
        <v>0.01</v>
      </c>
      <c r="F207" s="21" t="n">
        <v>0.01</v>
      </c>
      <c r="G207" s="21" t="n">
        <v>0</v>
      </c>
      <c r="H207" s="21" t="n">
        <v>0</v>
      </c>
      <c r="I207" s="21" t="n">
        <v>0.07</v>
      </c>
      <c r="J207" s="21" t="n">
        <v>-0.07</v>
      </c>
      <c r="K207" s="21" t="n">
        <v>0</v>
      </c>
      <c r="L207" s="21" t="n">
        <v>0</v>
      </c>
      <c r="M207" s="21" t="n">
        <v>0.01</v>
      </c>
      <c r="N207" s="21" t="n">
        <v>0.01</v>
      </c>
      <c r="O207" s="21" t="n">
        <v>-0.01</v>
      </c>
      <c r="P207" s="21" t="n">
        <v>0.07</v>
      </c>
      <c r="Q207" s="21" t="n">
        <v>-0.07</v>
      </c>
      <c r="R207" s="18" t="n">
        <f aca="false">ABS(D207)+MAX(ABS(G207),ABS(H207))+MAX(ABS(I207),ABS(J207))</f>
        <v>0.07</v>
      </c>
      <c r="S207" s="18" t="n">
        <f aca="false">ABS(K207)+MAX(ABS(N207),ABS(O207))+MAX(ABS(P207),ABS(Q207))</f>
        <v>0.08</v>
      </c>
      <c r="T207" s="18" t="n">
        <f aca="false">MAX(ABS(E207),ABS(F207))</f>
        <v>0.01</v>
      </c>
      <c r="U207" s="18" t="n">
        <f aca="false">MAX(ABS(L207),ABS(M207))</f>
        <v>0.01</v>
      </c>
    </row>
    <row r="208" customFormat="false" ht="15" hidden="false" customHeight="false" outlineLevel="0" collapsed="false">
      <c r="A208" s="4" t="n">
        <v>265</v>
      </c>
      <c r="B208" s="4" t="n">
        <v>42</v>
      </c>
      <c r="C208" s="18" t="n">
        <v>0.75</v>
      </c>
      <c r="D208" s="21" t="n">
        <v>0</v>
      </c>
      <c r="E208" s="21" t="n">
        <v>0.01</v>
      </c>
      <c r="F208" s="21" t="n">
        <v>0.01</v>
      </c>
      <c r="G208" s="21" t="n">
        <v>0</v>
      </c>
      <c r="H208" s="21" t="n">
        <v>0</v>
      </c>
      <c r="I208" s="21" t="n">
        <v>0.08</v>
      </c>
      <c r="J208" s="21" t="n">
        <v>-0.08</v>
      </c>
      <c r="K208" s="21" t="n">
        <v>0</v>
      </c>
      <c r="L208" s="21" t="n">
        <v>0</v>
      </c>
      <c r="M208" s="21" t="n">
        <v>0.01</v>
      </c>
      <c r="N208" s="21" t="n">
        <v>0</v>
      </c>
      <c r="O208" s="21" t="n">
        <v>0</v>
      </c>
      <c r="P208" s="21" t="n">
        <v>0.08</v>
      </c>
      <c r="Q208" s="21" t="n">
        <v>-0.08</v>
      </c>
      <c r="R208" s="18" t="n">
        <f aca="false">ABS(D208)+MAX(ABS(G208),ABS(H208))+MAX(ABS(I208),ABS(J208))</f>
        <v>0.08</v>
      </c>
      <c r="S208" s="18" t="n">
        <f aca="false">ABS(K208)+MAX(ABS(N208),ABS(O208))+MAX(ABS(P208),ABS(Q208))</f>
        <v>0.08</v>
      </c>
      <c r="T208" s="18" t="n">
        <f aca="false">MAX(ABS(E208),ABS(F208))</f>
        <v>0.01</v>
      </c>
      <c r="U208" s="18" t="n">
        <f aca="false">MAX(ABS(L208),ABS(M208))</f>
        <v>0.01</v>
      </c>
    </row>
    <row r="209" customFormat="false" ht="15" hidden="false" customHeight="false" outlineLevel="0" collapsed="false">
      <c r="A209" s="4" t="n">
        <v>265</v>
      </c>
      <c r="B209" s="4" t="n">
        <v>42</v>
      </c>
      <c r="C209" s="18" t="n">
        <v>1</v>
      </c>
      <c r="D209" s="21" t="n">
        <v>0</v>
      </c>
      <c r="E209" s="21" t="n">
        <v>0.01</v>
      </c>
      <c r="F209" s="21" t="n">
        <v>0.01</v>
      </c>
      <c r="G209" s="21" t="n">
        <v>0</v>
      </c>
      <c r="H209" s="21" t="n">
        <v>0</v>
      </c>
      <c r="I209" s="21" t="n">
        <v>0.09</v>
      </c>
      <c r="J209" s="21" t="n">
        <v>-0.09</v>
      </c>
      <c r="K209" s="21" t="n">
        <v>0</v>
      </c>
      <c r="L209" s="21" t="n">
        <v>0</v>
      </c>
      <c r="M209" s="21" t="n">
        <v>0.01</v>
      </c>
      <c r="N209" s="21" t="n">
        <v>0</v>
      </c>
      <c r="O209" s="21" t="n">
        <v>0</v>
      </c>
      <c r="P209" s="21" t="n">
        <v>0.09</v>
      </c>
      <c r="Q209" s="21" t="n">
        <v>-0.09</v>
      </c>
      <c r="R209" s="18" t="n">
        <f aca="false">ABS(D209)+MAX(ABS(G209),ABS(H209))+MAX(ABS(I209),ABS(J209))</f>
        <v>0.09</v>
      </c>
      <c r="S209" s="18" t="n">
        <f aca="false">ABS(K209)+MAX(ABS(N209),ABS(O209))+MAX(ABS(P209),ABS(Q209))</f>
        <v>0.09</v>
      </c>
      <c r="T209" s="18" t="n">
        <f aca="false">MAX(ABS(E209),ABS(F209))</f>
        <v>0.01</v>
      </c>
      <c r="U209" s="18" t="n">
        <f aca="false">MAX(ABS(L209),ABS(M209))</f>
        <v>0.01</v>
      </c>
    </row>
    <row r="210" customFormat="false" ht="15" hidden="false" customHeight="false" outlineLevel="0" collapsed="false">
      <c r="A210" s="4" t="n">
        <v>266</v>
      </c>
      <c r="B210" s="4" t="n">
        <v>43</v>
      </c>
      <c r="C210" s="18" t="n">
        <v>0</v>
      </c>
      <c r="D210" s="21" t="n">
        <v>0</v>
      </c>
      <c r="E210" s="21" t="n">
        <v>0</v>
      </c>
      <c r="F210" s="21" t="n">
        <v>0</v>
      </c>
      <c r="G210" s="21" t="n">
        <v>0</v>
      </c>
      <c r="H210" s="21" t="n">
        <v>0</v>
      </c>
      <c r="I210" s="21" t="n">
        <v>0.09</v>
      </c>
      <c r="J210" s="21" t="n">
        <v>-0.09</v>
      </c>
      <c r="K210" s="21" t="n">
        <v>0</v>
      </c>
      <c r="L210" s="21" t="n">
        <v>0</v>
      </c>
      <c r="M210" s="21" t="n">
        <v>0</v>
      </c>
      <c r="N210" s="21" t="n">
        <v>0</v>
      </c>
      <c r="O210" s="21" t="n">
        <v>0</v>
      </c>
      <c r="P210" s="21" t="n">
        <v>0.09</v>
      </c>
      <c r="Q210" s="21" t="n">
        <v>-0.09</v>
      </c>
      <c r="R210" s="18" t="n">
        <f aca="false">ABS(D210)+MAX(ABS(G210),ABS(H210))+MAX(ABS(I210),ABS(J210))</f>
        <v>0.09</v>
      </c>
      <c r="S210" s="18" t="n">
        <f aca="false">ABS(K210)+MAX(ABS(N210),ABS(O210))+MAX(ABS(P210),ABS(Q210))</f>
        <v>0.09</v>
      </c>
      <c r="T210" s="18" t="n">
        <f aca="false">MAX(ABS(E210),ABS(F210))</f>
        <v>0</v>
      </c>
      <c r="U210" s="18" t="n">
        <f aca="false">MAX(ABS(L210),ABS(M210))</f>
        <v>0</v>
      </c>
    </row>
    <row r="211" customFormat="false" ht="15" hidden="false" customHeight="false" outlineLevel="0" collapsed="false">
      <c r="A211" s="4" t="n">
        <v>266</v>
      </c>
      <c r="B211" s="4" t="n">
        <v>43</v>
      </c>
      <c r="C211" s="18" t="n">
        <v>0.25</v>
      </c>
      <c r="D211" s="21" t="n">
        <v>0</v>
      </c>
      <c r="E211" s="21" t="n">
        <v>0</v>
      </c>
      <c r="F211" s="21" t="n">
        <v>0</v>
      </c>
      <c r="G211" s="21" t="n">
        <v>0</v>
      </c>
      <c r="H211" s="21" t="n">
        <v>0</v>
      </c>
      <c r="I211" s="21" t="n">
        <v>0.09</v>
      </c>
      <c r="J211" s="21" t="n">
        <v>-0.09</v>
      </c>
      <c r="K211" s="21" t="n">
        <v>0</v>
      </c>
      <c r="L211" s="21" t="n">
        <v>0</v>
      </c>
      <c r="M211" s="21" t="n">
        <v>0</v>
      </c>
      <c r="N211" s="21" t="n">
        <v>0</v>
      </c>
      <c r="O211" s="21" t="n">
        <v>0</v>
      </c>
      <c r="P211" s="21" t="n">
        <v>0.09</v>
      </c>
      <c r="Q211" s="21" t="n">
        <v>-0.09</v>
      </c>
      <c r="R211" s="18" t="n">
        <f aca="false">ABS(D211)+MAX(ABS(G211),ABS(H211))+MAX(ABS(I211),ABS(J211))</f>
        <v>0.09</v>
      </c>
      <c r="S211" s="18" t="n">
        <f aca="false">ABS(K211)+MAX(ABS(N211),ABS(O211))+MAX(ABS(P211),ABS(Q211))</f>
        <v>0.09</v>
      </c>
      <c r="T211" s="18" t="n">
        <f aca="false">MAX(ABS(E211),ABS(F211))</f>
        <v>0</v>
      </c>
      <c r="U211" s="18" t="n">
        <f aca="false">MAX(ABS(L211),ABS(M211))</f>
        <v>0</v>
      </c>
    </row>
    <row r="212" customFormat="false" ht="15" hidden="false" customHeight="false" outlineLevel="0" collapsed="false">
      <c r="A212" s="4" t="n">
        <v>266</v>
      </c>
      <c r="B212" s="4" t="n">
        <v>43</v>
      </c>
      <c r="C212" s="18" t="n">
        <v>0.5</v>
      </c>
      <c r="D212" s="21" t="n">
        <v>0</v>
      </c>
      <c r="E212" s="21" t="n">
        <v>0</v>
      </c>
      <c r="F212" s="21" t="n">
        <v>0</v>
      </c>
      <c r="G212" s="21" t="n">
        <v>0</v>
      </c>
      <c r="H212" s="21" t="n">
        <v>0</v>
      </c>
      <c r="I212" s="21" t="n">
        <v>0.08</v>
      </c>
      <c r="J212" s="21" t="n">
        <v>-0.08</v>
      </c>
      <c r="K212" s="21" t="n">
        <v>0</v>
      </c>
      <c r="L212" s="21" t="n">
        <v>0</v>
      </c>
      <c r="M212" s="21" t="n">
        <v>0</v>
      </c>
      <c r="N212" s="21" t="n">
        <v>0</v>
      </c>
      <c r="O212" s="21" t="n">
        <v>0</v>
      </c>
      <c r="P212" s="21" t="n">
        <v>0.08</v>
      </c>
      <c r="Q212" s="21" t="n">
        <v>-0.08</v>
      </c>
      <c r="R212" s="18" t="n">
        <f aca="false">ABS(D212)+MAX(ABS(G212),ABS(H212))+MAX(ABS(I212),ABS(J212))</f>
        <v>0.08</v>
      </c>
      <c r="S212" s="18" t="n">
        <f aca="false">ABS(K212)+MAX(ABS(N212),ABS(O212))+MAX(ABS(P212),ABS(Q212))</f>
        <v>0.08</v>
      </c>
      <c r="T212" s="18" t="n">
        <f aca="false">MAX(ABS(E212),ABS(F212))</f>
        <v>0</v>
      </c>
      <c r="U212" s="18" t="n">
        <f aca="false">MAX(ABS(L212),ABS(M212))</f>
        <v>0</v>
      </c>
    </row>
    <row r="213" customFormat="false" ht="15" hidden="false" customHeight="false" outlineLevel="0" collapsed="false">
      <c r="A213" s="4" t="n">
        <v>266</v>
      </c>
      <c r="B213" s="4" t="n">
        <v>43</v>
      </c>
      <c r="C213" s="18" t="n">
        <v>0.75</v>
      </c>
      <c r="D213" s="21" t="n">
        <v>0</v>
      </c>
      <c r="E213" s="21" t="n">
        <v>0</v>
      </c>
      <c r="F213" s="21" t="n">
        <v>0</v>
      </c>
      <c r="G213" s="21" t="n">
        <v>0</v>
      </c>
      <c r="H213" s="21" t="n">
        <v>0</v>
      </c>
      <c r="I213" s="21" t="n">
        <v>0.08</v>
      </c>
      <c r="J213" s="21" t="n">
        <v>-0.08</v>
      </c>
      <c r="K213" s="21" t="n">
        <v>0</v>
      </c>
      <c r="L213" s="21" t="n">
        <v>0</v>
      </c>
      <c r="M213" s="21" t="n">
        <v>0</v>
      </c>
      <c r="N213" s="21" t="n">
        <v>0</v>
      </c>
      <c r="O213" s="21" t="n">
        <v>0</v>
      </c>
      <c r="P213" s="21" t="n">
        <v>0.07</v>
      </c>
      <c r="Q213" s="21" t="n">
        <v>-0.07</v>
      </c>
      <c r="R213" s="18" t="n">
        <f aca="false">ABS(D213)+MAX(ABS(G213),ABS(H213))+MAX(ABS(I213),ABS(J213))</f>
        <v>0.08</v>
      </c>
      <c r="S213" s="18" t="n">
        <f aca="false">ABS(K213)+MAX(ABS(N213),ABS(O213))+MAX(ABS(P213),ABS(Q213))</f>
        <v>0.07</v>
      </c>
      <c r="T213" s="18" t="n">
        <f aca="false">MAX(ABS(E213),ABS(F213))</f>
        <v>0</v>
      </c>
      <c r="U213" s="18" t="n">
        <f aca="false">MAX(ABS(L213),ABS(M213))</f>
        <v>0</v>
      </c>
    </row>
    <row r="214" customFormat="false" ht="15" hidden="false" customHeight="false" outlineLevel="0" collapsed="false">
      <c r="A214" s="4" t="n">
        <v>266</v>
      </c>
      <c r="B214" s="4" t="n">
        <v>43</v>
      </c>
      <c r="C214" s="18" t="n">
        <v>1</v>
      </c>
      <c r="D214" s="21" t="n">
        <v>0</v>
      </c>
      <c r="E214" s="21" t="n">
        <v>0</v>
      </c>
      <c r="F214" s="21" t="n">
        <v>0</v>
      </c>
      <c r="G214" s="21" t="n">
        <v>0</v>
      </c>
      <c r="H214" s="21" t="n">
        <v>0</v>
      </c>
      <c r="I214" s="21" t="n">
        <v>0.07</v>
      </c>
      <c r="J214" s="21" t="n">
        <v>-0.07</v>
      </c>
      <c r="K214" s="21" t="n">
        <v>0</v>
      </c>
      <c r="L214" s="21" t="n">
        <v>0</v>
      </c>
      <c r="M214" s="21" t="n">
        <v>0</v>
      </c>
      <c r="N214" s="21" t="n">
        <v>0</v>
      </c>
      <c r="O214" s="21" t="n">
        <v>0</v>
      </c>
      <c r="P214" s="21" t="n">
        <v>0.07</v>
      </c>
      <c r="Q214" s="21" t="n">
        <v>-0.07</v>
      </c>
      <c r="R214" s="18" t="n">
        <f aca="false">ABS(D214)+MAX(ABS(G214),ABS(H214))+MAX(ABS(I214),ABS(J214))</f>
        <v>0.07</v>
      </c>
      <c r="S214" s="18" t="n">
        <f aca="false">ABS(K214)+MAX(ABS(N214),ABS(O214))+MAX(ABS(P214),ABS(Q214))</f>
        <v>0.07</v>
      </c>
      <c r="T214" s="18" t="n">
        <f aca="false">MAX(ABS(E214),ABS(F214))</f>
        <v>0</v>
      </c>
      <c r="U214" s="18" t="n">
        <f aca="false">MAX(ABS(L214),ABS(M214))</f>
        <v>0</v>
      </c>
    </row>
    <row r="215" customFormat="false" ht="15" hidden="false" customHeight="false" outlineLevel="0" collapsed="false">
      <c r="A215" s="4" t="n">
        <v>267</v>
      </c>
      <c r="B215" s="4" t="n">
        <v>44</v>
      </c>
      <c r="C215" s="18" t="n">
        <v>0</v>
      </c>
      <c r="D215" s="21" t="n">
        <v>0</v>
      </c>
      <c r="E215" s="21" t="n">
        <v>0.01</v>
      </c>
      <c r="F215" s="21" t="n">
        <v>0</v>
      </c>
      <c r="G215" s="21" t="n">
        <v>0</v>
      </c>
      <c r="H215" s="21" t="n">
        <v>0</v>
      </c>
      <c r="I215" s="21" t="n">
        <v>0.07</v>
      </c>
      <c r="J215" s="21" t="n">
        <v>-0.07</v>
      </c>
      <c r="K215" s="21" t="n">
        <v>0</v>
      </c>
      <c r="L215" s="21" t="n">
        <v>0</v>
      </c>
      <c r="M215" s="21" t="n">
        <v>0</v>
      </c>
      <c r="N215" s="21" t="n">
        <v>0</v>
      </c>
      <c r="O215" s="21" t="n">
        <v>0</v>
      </c>
      <c r="P215" s="21" t="n">
        <v>0.07</v>
      </c>
      <c r="Q215" s="21" t="n">
        <v>-0.07</v>
      </c>
      <c r="R215" s="18" t="n">
        <f aca="false">ABS(D215)+MAX(ABS(G215),ABS(H215))+MAX(ABS(I215),ABS(J215))</f>
        <v>0.07</v>
      </c>
      <c r="S215" s="18" t="n">
        <f aca="false">ABS(K215)+MAX(ABS(N215),ABS(O215))+MAX(ABS(P215),ABS(Q215))</f>
        <v>0.07</v>
      </c>
      <c r="T215" s="18" t="n">
        <f aca="false">MAX(ABS(E215),ABS(F215))</f>
        <v>0.01</v>
      </c>
      <c r="U215" s="18" t="n">
        <f aca="false">MAX(ABS(L215),ABS(M215))</f>
        <v>0</v>
      </c>
    </row>
    <row r="216" customFormat="false" ht="15" hidden="false" customHeight="false" outlineLevel="0" collapsed="false">
      <c r="A216" s="4" t="n">
        <v>267</v>
      </c>
      <c r="B216" s="4" t="n">
        <v>44</v>
      </c>
      <c r="C216" s="18" t="n">
        <v>0.25</v>
      </c>
      <c r="D216" s="21" t="n">
        <v>0</v>
      </c>
      <c r="E216" s="21" t="n">
        <v>0.01</v>
      </c>
      <c r="F216" s="21" t="n">
        <v>0</v>
      </c>
      <c r="G216" s="21" t="n">
        <v>0</v>
      </c>
      <c r="H216" s="21" t="n">
        <v>0</v>
      </c>
      <c r="I216" s="21" t="n">
        <v>0.07</v>
      </c>
      <c r="J216" s="21" t="n">
        <v>-0.07</v>
      </c>
      <c r="K216" s="21" t="n">
        <v>0</v>
      </c>
      <c r="L216" s="21" t="n">
        <v>0</v>
      </c>
      <c r="M216" s="21" t="n">
        <v>0</v>
      </c>
      <c r="N216" s="21" t="n">
        <v>0</v>
      </c>
      <c r="O216" s="21" t="n">
        <v>0</v>
      </c>
      <c r="P216" s="21" t="n">
        <v>0.07</v>
      </c>
      <c r="Q216" s="21" t="n">
        <v>-0.07</v>
      </c>
      <c r="R216" s="18" t="n">
        <f aca="false">ABS(D216)+MAX(ABS(G216),ABS(H216))+MAX(ABS(I216),ABS(J216))</f>
        <v>0.07</v>
      </c>
      <c r="S216" s="18" t="n">
        <f aca="false">ABS(K216)+MAX(ABS(N216),ABS(O216))+MAX(ABS(P216),ABS(Q216))</f>
        <v>0.07</v>
      </c>
      <c r="T216" s="18" t="n">
        <f aca="false">MAX(ABS(E216),ABS(F216))</f>
        <v>0.01</v>
      </c>
      <c r="U216" s="18" t="n">
        <f aca="false">MAX(ABS(L216),ABS(M216))</f>
        <v>0</v>
      </c>
    </row>
    <row r="217" customFormat="false" ht="15" hidden="false" customHeight="false" outlineLevel="0" collapsed="false">
      <c r="A217" s="4" t="n">
        <v>267</v>
      </c>
      <c r="B217" s="4" t="n">
        <v>44</v>
      </c>
      <c r="C217" s="18" t="n">
        <v>0.5</v>
      </c>
      <c r="D217" s="21" t="n">
        <v>0</v>
      </c>
      <c r="E217" s="21" t="n">
        <v>0.01</v>
      </c>
      <c r="F217" s="21" t="n">
        <v>0</v>
      </c>
      <c r="G217" s="21" t="n">
        <v>0</v>
      </c>
      <c r="H217" s="21" t="n">
        <v>0</v>
      </c>
      <c r="I217" s="21" t="n">
        <v>0.07</v>
      </c>
      <c r="J217" s="21" t="n">
        <v>-0.07</v>
      </c>
      <c r="K217" s="21" t="n">
        <v>0</v>
      </c>
      <c r="L217" s="21" t="n">
        <v>0</v>
      </c>
      <c r="M217" s="21" t="n">
        <v>0</v>
      </c>
      <c r="N217" s="21" t="n">
        <v>0</v>
      </c>
      <c r="O217" s="21" t="n">
        <v>0</v>
      </c>
      <c r="P217" s="21" t="n">
        <v>0.07</v>
      </c>
      <c r="Q217" s="21" t="n">
        <v>-0.07</v>
      </c>
      <c r="R217" s="18" t="n">
        <f aca="false">ABS(D217)+MAX(ABS(G217),ABS(H217))+MAX(ABS(I217),ABS(J217))</f>
        <v>0.07</v>
      </c>
      <c r="S217" s="18" t="n">
        <f aca="false">ABS(K217)+MAX(ABS(N217),ABS(O217))+MAX(ABS(P217),ABS(Q217))</f>
        <v>0.07</v>
      </c>
      <c r="T217" s="18" t="n">
        <f aca="false">MAX(ABS(E217),ABS(F217))</f>
        <v>0.01</v>
      </c>
      <c r="U217" s="18" t="n">
        <f aca="false">MAX(ABS(L217),ABS(M217))</f>
        <v>0</v>
      </c>
    </row>
    <row r="218" customFormat="false" ht="15" hidden="false" customHeight="false" outlineLevel="0" collapsed="false">
      <c r="A218" s="4" t="n">
        <v>267</v>
      </c>
      <c r="B218" s="4" t="n">
        <v>44</v>
      </c>
      <c r="C218" s="18" t="n">
        <v>0.75</v>
      </c>
      <c r="D218" s="21" t="n">
        <v>0</v>
      </c>
      <c r="E218" s="21" t="n">
        <v>0.01</v>
      </c>
      <c r="F218" s="21" t="n">
        <v>0</v>
      </c>
      <c r="G218" s="21" t="n">
        <v>-0.01</v>
      </c>
      <c r="H218" s="21" t="n">
        <v>0.01</v>
      </c>
      <c r="I218" s="21" t="n">
        <v>0.07</v>
      </c>
      <c r="J218" s="21" t="n">
        <v>-0.07</v>
      </c>
      <c r="K218" s="21" t="n">
        <v>0</v>
      </c>
      <c r="L218" s="21" t="n">
        <v>0</v>
      </c>
      <c r="M218" s="21" t="n">
        <v>0</v>
      </c>
      <c r="N218" s="21" t="n">
        <v>0</v>
      </c>
      <c r="O218" s="21" t="n">
        <v>0</v>
      </c>
      <c r="P218" s="21" t="n">
        <v>0.07</v>
      </c>
      <c r="Q218" s="21" t="n">
        <v>-0.07</v>
      </c>
      <c r="R218" s="18" t="n">
        <f aca="false">ABS(D218)+MAX(ABS(G218),ABS(H218))+MAX(ABS(I218),ABS(J218))</f>
        <v>0.08</v>
      </c>
      <c r="S218" s="18" t="n">
        <f aca="false">ABS(K218)+MAX(ABS(N218),ABS(O218))+MAX(ABS(P218),ABS(Q218))</f>
        <v>0.07</v>
      </c>
      <c r="T218" s="18" t="n">
        <f aca="false">MAX(ABS(E218),ABS(F218))</f>
        <v>0.01</v>
      </c>
      <c r="U218" s="18" t="n">
        <f aca="false">MAX(ABS(L218),ABS(M218))</f>
        <v>0</v>
      </c>
    </row>
    <row r="219" customFormat="false" ht="15" hidden="false" customHeight="false" outlineLevel="0" collapsed="false">
      <c r="A219" s="4" t="n">
        <v>267</v>
      </c>
      <c r="B219" s="4" t="n">
        <v>44</v>
      </c>
      <c r="C219" s="18" t="n">
        <v>1</v>
      </c>
      <c r="D219" s="21" t="n">
        <v>0</v>
      </c>
      <c r="E219" s="21" t="n">
        <v>0.01</v>
      </c>
      <c r="F219" s="21" t="n">
        <v>0</v>
      </c>
      <c r="G219" s="21" t="n">
        <v>-0.01</v>
      </c>
      <c r="H219" s="21" t="n">
        <v>0.01</v>
      </c>
      <c r="I219" s="21" t="n">
        <v>0.07</v>
      </c>
      <c r="J219" s="21" t="n">
        <v>-0.07</v>
      </c>
      <c r="K219" s="21" t="n">
        <v>0</v>
      </c>
      <c r="L219" s="21" t="n">
        <v>0</v>
      </c>
      <c r="M219" s="21" t="n">
        <v>0</v>
      </c>
      <c r="N219" s="21" t="n">
        <v>-0.01</v>
      </c>
      <c r="O219" s="21" t="n">
        <v>0.01</v>
      </c>
      <c r="P219" s="21" t="n">
        <v>0.07</v>
      </c>
      <c r="Q219" s="21" t="n">
        <v>-0.07</v>
      </c>
      <c r="R219" s="18" t="n">
        <f aca="false">ABS(D219)+MAX(ABS(G219),ABS(H219))+MAX(ABS(I219),ABS(J219))</f>
        <v>0.08</v>
      </c>
      <c r="S219" s="18" t="n">
        <f aca="false">ABS(K219)+MAX(ABS(N219),ABS(O219))+MAX(ABS(P219),ABS(Q219))</f>
        <v>0.08</v>
      </c>
      <c r="T219" s="18" t="n">
        <f aca="false">MAX(ABS(E219),ABS(F219))</f>
        <v>0.01</v>
      </c>
      <c r="U219" s="18" t="n">
        <f aca="false">MAX(ABS(L219),ABS(M219))</f>
        <v>0</v>
      </c>
    </row>
    <row r="220" customFormat="false" ht="15" hidden="false" customHeight="false" outlineLevel="0" collapsed="false">
      <c r="A220" s="4" t="n">
        <v>268</v>
      </c>
      <c r="B220" s="4" t="n">
        <v>45</v>
      </c>
      <c r="C220" s="18" t="n">
        <v>0</v>
      </c>
      <c r="D220" s="21" t="n">
        <v>0</v>
      </c>
      <c r="E220" s="21" t="n">
        <v>0.01</v>
      </c>
      <c r="F220" s="21" t="n">
        <v>0.02</v>
      </c>
      <c r="G220" s="21" t="n">
        <v>-0.01</v>
      </c>
      <c r="H220" s="21" t="n">
        <v>0.01</v>
      </c>
      <c r="I220" s="21" t="n">
        <v>0.08</v>
      </c>
      <c r="J220" s="21" t="n">
        <v>-0.08</v>
      </c>
      <c r="K220" s="21" t="n">
        <v>0</v>
      </c>
      <c r="L220" s="21" t="n">
        <v>0.01</v>
      </c>
      <c r="M220" s="21" t="n">
        <v>0.02</v>
      </c>
      <c r="N220" s="21" t="n">
        <v>-0.02</v>
      </c>
      <c r="O220" s="21" t="n">
        <v>0.02</v>
      </c>
      <c r="P220" s="21" t="n">
        <v>0.1</v>
      </c>
      <c r="Q220" s="21" t="n">
        <v>-0.1</v>
      </c>
      <c r="R220" s="18" t="n">
        <f aca="false">ABS(D220)+MAX(ABS(G220),ABS(H220))+MAX(ABS(I220),ABS(J220))</f>
        <v>0.09</v>
      </c>
      <c r="S220" s="18" t="n">
        <f aca="false">ABS(K220)+MAX(ABS(N220),ABS(O220))+MAX(ABS(P220),ABS(Q220))</f>
        <v>0.12</v>
      </c>
      <c r="T220" s="18" t="n">
        <f aca="false">MAX(ABS(E220),ABS(F220))</f>
        <v>0.02</v>
      </c>
      <c r="U220" s="18" t="n">
        <f aca="false">MAX(ABS(L220),ABS(M220))</f>
        <v>0.02</v>
      </c>
    </row>
    <row r="221" customFormat="false" ht="15" hidden="false" customHeight="false" outlineLevel="0" collapsed="false">
      <c r="A221" s="4" t="n">
        <v>268</v>
      </c>
      <c r="B221" s="4" t="n">
        <v>45</v>
      </c>
      <c r="C221" s="18" t="n">
        <v>0.25</v>
      </c>
      <c r="D221" s="21" t="n">
        <v>0</v>
      </c>
      <c r="E221" s="21" t="n">
        <v>0.01</v>
      </c>
      <c r="F221" s="21" t="n">
        <v>0.02</v>
      </c>
      <c r="G221" s="21" t="n">
        <v>0</v>
      </c>
      <c r="H221" s="21" t="n">
        <v>0</v>
      </c>
      <c r="I221" s="21" t="n">
        <v>0.03</v>
      </c>
      <c r="J221" s="21" t="n">
        <v>-0.03</v>
      </c>
      <c r="K221" s="21" t="n">
        <v>0</v>
      </c>
      <c r="L221" s="21" t="n">
        <v>0.01</v>
      </c>
      <c r="M221" s="21" t="n">
        <v>0.02</v>
      </c>
      <c r="N221" s="21" t="n">
        <v>-0.01</v>
      </c>
      <c r="O221" s="21" t="n">
        <v>0.01</v>
      </c>
      <c r="P221" s="21" t="n">
        <v>0.05</v>
      </c>
      <c r="Q221" s="21" t="n">
        <v>-0.05</v>
      </c>
      <c r="R221" s="18" t="n">
        <f aca="false">ABS(D221)+MAX(ABS(G221),ABS(H221))+MAX(ABS(I221),ABS(J221))</f>
        <v>0.03</v>
      </c>
      <c r="S221" s="18" t="n">
        <f aca="false">ABS(K221)+MAX(ABS(N221),ABS(O221))+MAX(ABS(P221),ABS(Q221))</f>
        <v>0.06</v>
      </c>
      <c r="T221" s="18" t="n">
        <f aca="false">MAX(ABS(E221),ABS(F221))</f>
        <v>0.02</v>
      </c>
      <c r="U221" s="18" t="n">
        <f aca="false">MAX(ABS(L221),ABS(M221))</f>
        <v>0.02</v>
      </c>
    </row>
    <row r="222" customFormat="false" ht="15" hidden="false" customHeight="false" outlineLevel="0" collapsed="false">
      <c r="A222" s="4" t="n">
        <v>268</v>
      </c>
      <c r="B222" s="4" t="n">
        <v>45</v>
      </c>
      <c r="C222" s="18" t="n">
        <v>0.5</v>
      </c>
      <c r="D222" s="21" t="n">
        <v>0</v>
      </c>
      <c r="E222" s="21" t="n">
        <v>0.01</v>
      </c>
      <c r="F222" s="21" t="n">
        <v>0.02</v>
      </c>
      <c r="G222" s="21" t="n">
        <v>0</v>
      </c>
      <c r="H222" s="21" t="n">
        <v>0</v>
      </c>
      <c r="I222" s="21" t="n">
        <v>-0.01</v>
      </c>
      <c r="J222" s="21" t="n">
        <v>0.01</v>
      </c>
      <c r="K222" s="21" t="n">
        <v>0</v>
      </c>
      <c r="L222" s="21" t="n">
        <v>0.01</v>
      </c>
      <c r="M222" s="21" t="n">
        <v>0.02</v>
      </c>
      <c r="N222" s="21" t="n">
        <v>0</v>
      </c>
      <c r="O222" s="21" t="n">
        <v>0</v>
      </c>
      <c r="P222" s="21" t="n">
        <v>0</v>
      </c>
      <c r="Q222" s="21" t="n">
        <v>0</v>
      </c>
      <c r="R222" s="18" t="n">
        <f aca="false">ABS(D222)+MAX(ABS(G222),ABS(H222))+MAX(ABS(I222),ABS(J222))</f>
        <v>0.01</v>
      </c>
      <c r="S222" s="18" t="n">
        <f aca="false">ABS(K222)+MAX(ABS(N222),ABS(O222))+MAX(ABS(P222),ABS(Q222))</f>
        <v>0</v>
      </c>
      <c r="T222" s="18" t="n">
        <f aca="false">MAX(ABS(E222),ABS(F222))</f>
        <v>0.02</v>
      </c>
      <c r="U222" s="18" t="n">
        <f aca="false">MAX(ABS(L222),ABS(M222))</f>
        <v>0.02</v>
      </c>
    </row>
    <row r="223" customFormat="false" ht="15" hidden="false" customHeight="false" outlineLevel="0" collapsed="false">
      <c r="A223" s="4" t="n">
        <v>268</v>
      </c>
      <c r="B223" s="4" t="n">
        <v>45</v>
      </c>
      <c r="C223" s="18" t="n">
        <v>0.75</v>
      </c>
      <c r="D223" s="21" t="n">
        <v>0</v>
      </c>
      <c r="E223" s="21" t="n">
        <v>0.01</v>
      </c>
      <c r="F223" s="21" t="n">
        <v>0.02</v>
      </c>
      <c r="G223" s="21" t="n">
        <v>0.01</v>
      </c>
      <c r="H223" s="21" t="n">
        <v>-0.01</v>
      </c>
      <c r="I223" s="21" t="n">
        <v>-0.06</v>
      </c>
      <c r="J223" s="21" t="n">
        <v>0.06</v>
      </c>
      <c r="K223" s="21" t="n">
        <v>0</v>
      </c>
      <c r="L223" s="21" t="n">
        <v>0.01</v>
      </c>
      <c r="M223" s="21" t="n">
        <v>0.02</v>
      </c>
      <c r="N223" s="21" t="n">
        <v>0.01</v>
      </c>
      <c r="O223" s="21" t="n">
        <v>-0.01</v>
      </c>
      <c r="P223" s="21" t="n">
        <v>-0.04</v>
      </c>
      <c r="Q223" s="21" t="n">
        <v>0.04</v>
      </c>
      <c r="R223" s="18" t="n">
        <f aca="false">ABS(D223)+MAX(ABS(G223),ABS(H223))+MAX(ABS(I223),ABS(J223))</f>
        <v>0.07</v>
      </c>
      <c r="S223" s="18" t="n">
        <f aca="false">ABS(K223)+MAX(ABS(N223),ABS(O223))+MAX(ABS(P223),ABS(Q223))</f>
        <v>0.05</v>
      </c>
      <c r="T223" s="18" t="n">
        <f aca="false">MAX(ABS(E223),ABS(F223))</f>
        <v>0.02</v>
      </c>
      <c r="U223" s="18" t="n">
        <f aca="false">MAX(ABS(L223),ABS(M223))</f>
        <v>0.02</v>
      </c>
    </row>
    <row r="224" customFormat="false" ht="15" hidden="false" customHeight="false" outlineLevel="0" collapsed="false">
      <c r="A224" s="4" t="n">
        <v>268</v>
      </c>
      <c r="B224" s="4" t="n">
        <v>45</v>
      </c>
      <c r="C224" s="18" t="n">
        <v>1</v>
      </c>
      <c r="D224" s="21" t="n">
        <v>0</v>
      </c>
      <c r="E224" s="21" t="n">
        <v>0.01</v>
      </c>
      <c r="F224" s="21" t="n">
        <v>0.02</v>
      </c>
      <c r="G224" s="21" t="n">
        <v>0.01</v>
      </c>
      <c r="H224" s="21" t="n">
        <v>-0.01</v>
      </c>
      <c r="I224" s="21" t="n">
        <v>-0.1</v>
      </c>
      <c r="J224" s="21" t="n">
        <v>0.1</v>
      </c>
      <c r="K224" s="21" t="n">
        <v>0</v>
      </c>
      <c r="L224" s="21" t="n">
        <v>0.01</v>
      </c>
      <c r="M224" s="21" t="n">
        <v>0.02</v>
      </c>
      <c r="N224" s="21" t="n">
        <v>0.02</v>
      </c>
      <c r="O224" s="21" t="n">
        <v>-0.02</v>
      </c>
      <c r="P224" s="21" t="n">
        <v>-0.09</v>
      </c>
      <c r="Q224" s="21" t="n">
        <v>0.09</v>
      </c>
      <c r="R224" s="18" t="n">
        <f aca="false">ABS(D224)+MAX(ABS(G224),ABS(H224))+MAX(ABS(I224),ABS(J224))</f>
        <v>0.11</v>
      </c>
      <c r="S224" s="18" t="n">
        <f aca="false">ABS(K224)+MAX(ABS(N224),ABS(O224))+MAX(ABS(P224),ABS(Q224))</f>
        <v>0.11</v>
      </c>
      <c r="T224" s="18" t="n">
        <f aca="false">MAX(ABS(E224),ABS(F224))</f>
        <v>0.02</v>
      </c>
      <c r="U224" s="18" t="n">
        <f aca="false">MAX(ABS(L224),ABS(M224))</f>
        <v>0.02</v>
      </c>
    </row>
    <row r="225" customFormat="false" ht="15" hidden="false" customHeight="false" outlineLevel="0" collapsed="false">
      <c r="A225" s="4" t="n">
        <v>269</v>
      </c>
      <c r="B225" s="4" t="n">
        <v>46</v>
      </c>
      <c r="C225" s="18" t="n">
        <v>0</v>
      </c>
      <c r="D225" s="21" t="n">
        <v>0</v>
      </c>
      <c r="E225" s="21" t="n">
        <v>0.02</v>
      </c>
      <c r="F225" s="21" t="n">
        <v>0.05</v>
      </c>
      <c r="G225" s="21" t="n">
        <v>0.01</v>
      </c>
      <c r="H225" s="21" t="n">
        <v>-0.01</v>
      </c>
      <c r="I225" s="21" t="n">
        <v>-0.09</v>
      </c>
      <c r="J225" s="21" t="n">
        <v>0.09</v>
      </c>
      <c r="K225" s="21" t="n">
        <v>0</v>
      </c>
      <c r="L225" s="21" t="n">
        <v>0.02</v>
      </c>
      <c r="M225" s="21" t="n">
        <v>0.05</v>
      </c>
      <c r="N225" s="21" t="n">
        <v>0.01</v>
      </c>
      <c r="O225" s="21" t="n">
        <v>-0.01</v>
      </c>
      <c r="P225" s="21" t="n">
        <v>-0.12</v>
      </c>
      <c r="Q225" s="21" t="n">
        <v>0.12</v>
      </c>
      <c r="R225" s="18" t="n">
        <f aca="false">ABS(D225)+MAX(ABS(G225),ABS(H225))+MAX(ABS(I225),ABS(J225))</f>
        <v>0.1</v>
      </c>
      <c r="S225" s="18" t="n">
        <f aca="false">ABS(K225)+MAX(ABS(N225),ABS(O225))+MAX(ABS(P225),ABS(Q225))</f>
        <v>0.13</v>
      </c>
      <c r="T225" s="18" t="n">
        <f aca="false">MAX(ABS(E225),ABS(F225))</f>
        <v>0.05</v>
      </c>
      <c r="U225" s="18" t="n">
        <f aca="false">MAX(ABS(L225),ABS(M225))</f>
        <v>0.05</v>
      </c>
    </row>
    <row r="226" customFormat="false" ht="15" hidden="false" customHeight="false" outlineLevel="0" collapsed="false">
      <c r="A226" s="4" t="n">
        <v>269</v>
      </c>
      <c r="B226" s="4" t="n">
        <v>46</v>
      </c>
      <c r="C226" s="18" t="n">
        <v>0.25</v>
      </c>
      <c r="D226" s="21" t="n">
        <v>0</v>
      </c>
      <c r="E226" s="21" t="n">
        <v>0.02</v>
      </c>
      <c r="F226" s="21" t="n">
        <v>0.05</v>
      </c>
      <c r="G226" s="21" t="n">
        <v>0.01</v>
      </c>
      <c r="H226" s="21" t="n">
        <v>-0.01</v>
      </c>
      <c r="I226" s="21" t="n">
        <v>-0.15</v>
      </c>
      <c r="J226" s="21" t="n">
        <v>0.15</v>
      </c>
      <c r="K226" s="21" t="n">
        <v>0</v>
      </c>
      <c r="L226" s="21" t="n">
        <v>0.02</v>
      </c>
      <c r="M226" s="21" t="n">
        <v>0.05</v>
      </c>
      <c r="N226" s="21" t="n">
        <v>0</v>
      </c>
      <c r="O226" s="21" t="n">
        <v>0</v>
      </c>
      <c r="P226" s="21" t="n">
        <v>-0.17</v>
      </c>
      <c r="Q226" s="21" t="n">
        <v>0.17</v>
      </c>
      <c r="R226" s="18" t="n">
        <f aca="false">ABS(D226)+MAX(ABS(G226),ABS(H226))+MAX(ABS(I226),ABS(J226))</f>
        <v>0.16</v>
      </c>
      <c r="S226" s="18" t="n">
        <f aca="false">ABS(K226)+MAX(ABS(N226),ABS(O226))+MAX(ABS(P226),ABS(Q226))</f>
        <v>0.17</v>
      </c>
      <c r="T226" s="18" t="n">
        <f aca="false">MAX(ABS(E226),ABS(F226))</f>
        <v>0.05</v>
      </c>
      <c r="U226" s="18" t="n">
        <f aca="false">MAX(ABS(L226),ABS(M226))</f>
        <v>0.05</v>
      </c>
    </row>
    <row r="227" customFormat="false" ht="15" hidden="false" customHeight="false" outlineLevel="0" collapsed="false">
      <c r="A227" s="4" t="n">
        <v>269</v>
      </c>
      <c r="B227" s="4" t="n">
        <v>46</v>
      </c>
      <c r="C227" s="18" t="n">
        <v>0.5</v>
      </c>
      <c r="D227" s="21" t="n">
        <v>0</v>
      </c>
      <c r="E227" s="21" t="n">
        <v>0.02</v>
      </c>
      <c r="F227" s="21" t="n">
        <v>0.05</v>
      </c>
      <c r="G227" s="21" t="n">
        <v>0</v>
      </c>
      <c r="H227" s="21" t="n">
        <v>0</v>
      </c>
      <c r="I227" s="21" t="n">
        <v>-0.2</v>
      </c>
      <c r="J227" s="21" t="n">
        <v>0.2</v>
      </c>
      <c r="K227" s="21" t="n">
        <v>0</v>
      </c>
      <c r="L227" s="21" t="n">
        <v>0.02</v>
      </c>
      <c r="M227" s="21" t="n">
        <v>0.05</v>
      </c>
      <c r="N227" s="21" t="n">
        <v>0</v>
      </c>
      <c r="O227" s="21" t="n">
        <v>0</v>
      </c>
      <c r="P227" s="21" t="n">
        <v>-0.22</v>
      </c>
      <c r="Q227" s="21" t="n">
        <v>0.22</v>
      </c>
      <c r="R227" s="18" t="n">
        <f aca="false">ABS(D227)+MAX(ABS(G227),ABS(H227))+MAX(ABS(I227),ABS(J227))</f>
        <v>0.2</v>
      </c>
      <c r="S227" s="18" t="n">
        <f aca="false">ABS(K227)+MAX(ABS(N227),ABS(O227))+MAX(ABS(P227),ABS(Q227))</f>
        <v>0.22</v>
      </c>
      <c r="T227" s="18" t="n">
        <f aca="false">MAX(ABS(E227),ABS(F227))</f>
        <v>0.05</v>
      </c>
      <c r="U227" s="18" t="n">
        <f aca="false">MAX(ABS(L227),ABS(M227))</f>
        <v>0.05</v>
      </c>
    </row>
    <row r="228" customFormat="false" ht="15" hidden="false" customHeight="false" outlineLevel="0" collapsed="false">
      <c r="A228" s="4" t="n">
        <v>269</v>
      </c>
      <c r="B228" s="4" t="n">
        <v>46</v>
      </c>
      <c r="C228" s="18" t="n">
        <v>0.75</v>
      </c>
      <c r="D228" s="21" t="n">
        <v>0</v>
      </c>
      <c r="E228" s="21" t="n">
        <v>0.02</v>
      </c>
      <c r="F228" s="21" t="n">
        <v>0.05</v>
      </c>
      <c r="G228" s="21" t="n">
        <v>-0.01</v>
      </c>
      <c r="H228" s="21" t="n">
        <v>0.01</v>
      </c>
      <c r="I228" s="21" t="n">
        <v>-0.25</v>
      </c>
      <c r="J228" s="21" t="n">
        <v>0.25</v>
      </c>
      <c r="K228" s="21" t="n">
        <v>0</v>
      </c>
      <c r="L228" s="21" t="n">
        <v>0.02</v>
      </c>
      <c r="M228" s="21" t="n">
        <v>0.05</v>
      </c>
      <c r="N228" s="21" t="n">
        <v>-0.01</v>
      </c>
      <c r="O228" s="21" t="n">
        <v>0.01</v>
      </c>
      <c r="P228" s="21" t="n">
        <v>-0.28</v>
      </c>
      <c r="Q228" s="21" t="n">
        <v>0.28</v>
      </c>
      <c r="R228" s="18" t="n">
        <f aca="false">ABS(D228)+MAX(ABS(G228),ABS(H228))+MAX(ABS(I228),ABS(J228))</f>
        <v>0.26</v>
      </c>
      <c r="S228" s="18" t="n">
        <f aca="false">ABS(K228)+MAX(ABS(N228),ABS(O228))+MAX(ABS(P228),ABS(Q228))</f>
        <v>0.29</v>
      </c>
      <c r="T228" s="18" t="n">
        <f aca="false">MAX(ABS(E228),ABS(F228))</f>
        <v>0.05</v>
      </c>
      <c r="U228" s="18" t="n">
        <f aca="false">MAX(ABS(L228),ABS(M228))</f>
        <v>0.05</v>
      </c>
    </row>
    <row r="229" customFormat="false" ht="15" hidden="false" customHeight="false" outlineLevel="0" collapsed="false">
      <c r="A229" s="4" t="n">
        <v>269</v>
      </c>
      <c r="B229" s="4" t="n">
        <v>46</v>
      </c>
      <c r="C229" s="18" t="n">
        <v>1</v>
      </c>
      <c r="D229" s="21" t="n">
        <v>0</v>
      </c>
      <c r="E229" s="21" t="n">
        <v>0.02</v>
      </c>
      <c r="F229" s="21" t="n">
        <v>0.05</v>
      </c>
      <c r="G229" s="21" t="n">
        <v>-0.01</v>
      </c>
      <c r="H229" s="21" t="n">
        <v>0.01</v>
      </c>
      <c r="I229" s="21" t="n">
        <v>-0.31</v>
      </c>
      <c r="J229" s="21" t="n">
        <v>0.31</v>
      </c>
      <c r="K229" s="21" t="n">
        <v>0</v>
      </c>
      <c r="L229" s="21" t="n">
        <v>0.02</v>
      </c>
      <c r="M229" s="21" t="n">
        <v>0.05</v>
      </c>
      <c r="N229" s="21" t="n">
        <v>-0.01</v>
      </c>
      <c r="O229" s="21" t="n">
        <v>0.01</v>
      </c>
      <c r="P229" s="21" t="n">
        <v>-0.33</v>
      </c>
      <c r="Q229" s="21" t="n">
        <v>0.33</v>
      </c>
      <c r="R229" s="18" t="n">
        <f aca="false">ABS(D229)+MAX(ABS(G229),ABS(H229))+MAX(ABS(I229),ABS(J229))</f>
        <v>0.32</v>
      </c>
      <c r="S229" s="18" t="n">
        <f aca="false">ABS(K229)+MAX(ABS(N229),ABS(O229))+MAX(ABS(P229),ABS(Q229))</f>
        <v>0.34</v>
      </c>
      <c r="T229" s="18" t="n">
        <f aca="false">MAX(ABS(E229),ABS(F229))</f>
        <v>0.05</v>
      </c>
      <c r="U229" s="18" t="n">
        <f aca="false">MAX(ABS(L229),ABS(M229))</f>
        <v>0.05</v>
      </c>
    </row>
    <row r="230" customFormat="false" ht="15" hidden="false" customHeight="false" outlineLevel="0" collapsed="false">
      <c r="A230" s="4" t="n">
        <v>270</v>
      </c>
      <c r="B230" s="4" t="n">
        <v>47</v>
      </c>
      <c r="C230" s="18" t="n">
        <v>0</v>
      </c>
      <c r="D230" s="21" t="n">
        <v>0</v>
      </c>
      <c r="E230" s="21" t="n">
        <v>0</v>
      </c>
      <c r="F230" s="21" t="n">
        <v>0</v>
      </c>
      <c r="G230" s="21" t="n">
        <v>0</v>
      </c>
      <c r="H230" s="21" t="n">
        <v>0</v>
      </c>
      <c r="I230" s="21" t="n">
        <v>0</v>
      </c>
      <c r="J230" s="21" t="n">
        <v>0</v>
      </c>
      <c r="K230" s="21" t="n">
        <v>0</v>
      </c>
      <c r="L230" s="21" t="n">
        <v>0</v>
      </c>
      <c r="M230" s="21" t="n">
        <v>0</v>
      </c>
      <c r="N230" s="21" t="n">
        <v>0</v>
      </c>
      <c r="O230" s="21" t="n">
        <v>0</v>
      </c>
      <c r="P230" s="21" t="n">
        <v>0</v>
      </c>
      <c r="Q230" s="21" t="n">
        <v>0</v>
      </c>
      <c r="R230" s="18" t="n">
        <f aca="false">ABS(D230)+MAX(ABS(G230),ABS(H230))+MAX(ABS(I230),ABS(J230))</f>
        <v>0</v>
      </c>
      <c r="S230" s="18" t="n">
        <f aca="false">ABS(K230)+MAX(ABS(N230),ABS(O230))+MAX(ABS(P230),ABS(Q230))</f>
        <v>0</v>
      </c>
      <c r="T230" s="18" t="n">
        <f aca="false">MAX(ABS(E230),ABS(F230))</f>
        <v>0</v>
      </c>
      <c r="U230" s="18" t="n">
        <f aca="false">MAX(ABS(L230),ABS(M230))</f>
        <v>0</v>
      </c>
    </row>
    <row r="231" customFormat="false" ht="15" hidden="false" customHeight="false" outlineLevel="0" collapsed="false">
      <c r="A231" s="4" t="n">
        <v>270</v>
      </c>
      <c r="B231" s="4" t="n">
        <v>47</v>
      </c>
      <c r="C231" s="18" t="n">
        <v>0.25</v>
      </c>
      <c r="D231" s="21" t="n">
        <v>0</v>
      </c>
      <c r="E231" s="21" t="n">
        <v>0</v>
      </c>
      <c r="F231" s="21" t="n">
        <v>0</v>
      </c>
      <c r="G231" s="21" t="n">
        <v>0</v>
      </c>
      <c r="H231" s="21" t="n">
        <v>0</v>
      </c>
      <c r="I231" s="21" t="n">
        <v>0</v>
      </c>
      <c r="J231" s="21" t="n">
        <v>0</v>
      </c>
      <c r="K231" s="21" t="n">
        <v>0</v>
      </c>
      <c r="L231" s="21" t="n">
        <v>0</v>
      </c>
      <c r="M231" s="21" t="n">
        <v>0</v>
      </c>
      <c r="N231" s="21" t="n">
        <v>0</v>
      </c>
      <c r="O231" s="21" t="n">
        <v>0</v>
      </c>
      <c r="P231" s="21" t="n">
        <v>0</v>
      </c>
      <c r="Q231" s="21" t="n">
        <v>0</v>
      </c>
      <c r="R231" s="18" t="n">
        <f aca="false">ABS(D231)+MAX(ABS(G231),ABS(H231))+MAX(ABS(I231),ABS(J231))</f>
        <v>0</v>
      </c>
      <c r="S231" s="18" t="n">
        <f aca="false">ABS(K231)+MAX(ABS(N231),ABS(O231))+MAX(ABS(P231),ABS(Q231))</f>
        <v>0</v>
      </c>
      <c r="T231" s="18" t="n">
        <f aca="false">MAX(ABS(E231),ABS(F231))</f>
        <v>0</v>
      </c>
      <c r="U231" s="18" t="n">
        <f aca="false">MAX(ABS(L231),ABS(M231))</f>
        <v>0</v>
      </c>
    </row>
    <row r="232" customFormat="false" ht="15" hidden="false" customHeight="false" outlineLevel="0" collapsed="false">
      <c r="A232" s="4" t="n">
        <v>270</v>
      </c>
      <c r="B232" s="4" t="n">
        <v>47</v>
      </c>
      <c r="C232" s="18" t="n">
        <v>0.5</v>
      </c>
      <c r="D232" s="21" t="n">
        <v>0</v>
      </c>
      <c r="E232" s="21" t="n">
        <v>0</v>
      </c>
      <c r="F232" s="21" t="n">
        <v>0</v>
      </c>
      <c r="G232" s="21" t="n">
        <v>0</v>
      </c>
      <c r="H232" s="21" t="n">
        <v>0</v>
      </c>
      <c r="I232" s="21" t="n">
        <v>0</v>
      </c>
      <c r="J232" s="21" t="n">
        <v>0</v>
      </c>
      <c r="K232" s="21" t="n">
        <v>0</v>
      </c>
      <c r="L232" s="21" t="n">
        <v>0</v>
      </c>
      <c r="M232" s="21" t="n">
        <v>0</v>
      </c>
      <c r="N232" s="21" t="n">
        <v>0</v>
      </c>
      <c r="O232" s="21" t="n">
        <v>0</v>
      </c>
      <c r="P232" s="21" t="n">
        <v>0</v>
      </c>
      <c r="Q232" s="21" t="n">
        <v>0</v>
      </c>
      <c r="R232" s="18" t="n">
        <f aca="false">ABS(D232)+MAX(ABS(G232),ABS(H232))+MAX(ABS(I232),ABS(J232))</f>
        <v>0</v>
      </c>
      <c r="S232" s="18" t="n">
        <f aca="false">ABS(K232)+MAX(ABS(N232),ABS(O232))+MAX(ABS(P232),ABS(Q232))</f>
        <v>0</v>
      </c>
      <c r="T232" s="18" t="n">
        <f aca="false">MAX(ABS(E232),ABS(F232))</f>
        <v>0</v>
      </c>
      <c r="U232" s="18" t="n">
        <f aca="false">MAX(ABS(L232),ABS(M232))</f>
        <v>0</v>
      </c>
    </row>
    <row r="233" customFormat="false" ht="15" hidden="false" customHeight="false" outlineLevel="0" collapsed="false">
      <c r="A233" s="4" t="n">
        <v>270</v>
      </c>
      <c r="B233" s="4" t="n">
        <v>47</v>
      </c>
      <c r="C233" s="18" t="n">
        <v>0.75</v>
      </c>
      <c r="D233" s="21" t="n">
        <v>0</v>
      </c>
      <c r="E233" s="21" t="n">
        <v>0</v>
      </c>
      <c r="F233" s="21" t="n">
        <v>0</v>
      </c>
      <c r="G233" s="21" t="n">
        <v>0</v>
      </c>
      <c r="H233" s="21" t="n">
        <v>0</v>
      </c>
      <c r="I233" s="21" t="n">
        <v>0</v>
      </c>
      <c r="J233" s="21" t="n">
        <v>0</v>
      </c>
      <c r="K233" s="21" t="n">
        <v>0</v>
      </c>
      <c r="L233" s="21" t="n">
        <v>0</v>
      </c>
      <c r="M233" s="21" t="n">
        <v>0</v>
      </c>
      <c r="N233" s="21" t="n">
        <v>0</v>
      </c>
      <c r="O233" s="21" t="n">
        <v>0</v>
      </c>
      <c r="P233" s="21" t="n">
        <v>0</v>
      </c>
      <c r="Q233" s="21" t="n">
        <v>0</v>
      </c>
      <c r="R233" s="18" t="n">
        <f aca="false">ABS(D233)+MAX(ABS(G233),ABS(H233))+MAX(ABS(I233),ABS(J233))</f>
        <v>0</v>
      </c>
      <c r="S233" s="18" t="n">
        <f aca="false">ABS(K233)+MAX(ABS(N233),ABS(O233))+MAX(ABS(P233),ABS(Q233))</f>
        <v>0</v>
      </c>
      <c r="T233" s="18" t="n">
        <f aca="false">MAX(ABS(E233),ABS(F233))</f>
        <v>0</v>
      </c>
      <c r="U233" s="18" t="n">
        <f aca="false">MAX(ABS(L233),ABS(M233))</f>
        <v>0</v>
      </c>
    </row>
    <row r="234" customFormat="false" ht="15" hidden="false" customHeight="false" outlineLevel="0" collapsed="false">
      <c r="A234" s="4" t="n">
        <v>270</v>
      </c>
      <c r="B234" s="4" t="n">
        <v>47</v>
      </c>
      <c r="C234" s="18" t="n">
        <v>1</v>
      </c>
      <c r="D234" s="21" t="n">
        <v>0</v>
      </c>
      <c r="E234" s="21" t="n">
        <v>0</v>
      </c>
      <c r="F234" s="21" t="n">
        <v>0</v>
      </c>
      <c r="G234" s="21" t="n">
        <v>0</v>
      </c>
      <c r="H234" s="21" t="n">
        <v>0</v>
      </c>
      <c r="I234" s="21" t="n">
        <v>0</v>
      </c>
      <c r="J234" s="21" t="n">
        <v>0</v>
      </c>
      <c r="K234" s="21" t="n">
        <v>0</v>
      </c>
      <c r="L234" s="21" t="n">
        <v>0</v>
      </c>
      <c r="M234" s="21" t="n">
        <v>0</v>
      </c>
      <c r="N234" s="21" t="n">
        <v>0</v>
      </c>
      <c r="O234" s="21" t="n">
        <v>0</v>
      </c>
      <c r="P234" s="21" t="n">
        <v>0</v>
      </c>
      <c r="Q234" s="21" t="n">
        <v>0</v>
      </c>
      <c r="R234" s="18" t="n">
        <f aca="false">ABS(D234)+MAX(ABS(G234),ABS(H234))+MAX(ABS(I234),ABS(J234))</f>
        <v>0</v>
      </c>
      <c r="S234" s="18" t="n">
        <f aca="false">ABS(K234)+MAX(ABS(N234),ABS(O234))+MAX(ABS(P234),ABS(Q234))</f>
        <v>0</v>
      </c>
      <c r="T234" s="18" t="n">
        <f aca="false">MAX(ABS(E234),ABS(F234))</f>
        <v>0</v>
      </c>
      <c r="U234" s="18" t="n">
        <f aca="false">MAX(ABS(L234),ABS(M234))</f>
        <v>0</v>
      </c>
    </row>
    <row r="235" customFormat="false" ht="15" hidden="false" customHeight="false" outlineLevel="0" collapsed="false">
      <c r="A235" s="4" t="n">
        <v>271</v>
      </c>
      <c r="B235" s="4" t="n">
        <v>48</v>
      </c>
      <c r="C235" s="18" t="n">
        <v>0</v>
      </c>
      <c r="D235" s="21" t="n">
        <v>0</v>
      </c>
      <c r="E235" s="21" t="n">
        <v>0</v>
      </c>
      <c r="F235" s="21" t="n">
        <v>0</v>
      </c>
      <c r="G235" s="21" t="n">
        <v>0</v>
      </c>
      <c r="H235" s="21" t="n">
        <v>0</v>
      </c>
      <c r="I235" s="21" t="n">
        <v>0</v>
      </c>
      <c r="J235" s="21" t="n">
        <v>0</v>
      </c>
      <c r="K235" s="21" t="n">
        <v>0</v>
      </c>
      <c r="L235" s="21" t="n">
        <v>0</v>
      </c>
      <c r="M235" s="21" t="n">
        <v>0</v>
      </c>
      <c r="N235" s="21" t="n">
        <v>0</v>
      </c>
      <c r="O235" s="21" t="n">
        <v>0</v>
      </c>
      <c r="P235" s="21" t="n">
        <v>0</v>
      </c>
      <c r="Q235" s="21" t="n">
        <v>0</v>
      </c>
      <c r="R235" s="18" t="n">
        <f aca="false">ABS(D235)+MAX(ABS(G235),ABS(H235))+MAX(ABS(I235),ABS(J235))</f>
        <v>0</v>
      </c>
      <c r="S235" s="18" t="n">
        <f aca="false">ABS(K235)+MAX(ABS(N235),ABS(O235))+MAX(ABS(P235),ABS(Q235))</f>
        <v>0</v>
      </c>
      <c r="T235" s="18" t="n">
        <f aca="false">MAX(ABS(E235),ABS(F235))</f>
        <v>0</v>
      </c>
      <c r="U235" s="18" t="n">
        <f aca="false">MAX(ABS(L235),ABS(M235))</f>
        <v>0</v>
      </c>
    </row>
    <row r="236" customFormat="false" ht="15" hidden="false" customHeight="false" outlineLevel="0" collapsed="false">
      <c r="A236" s="4" t="n">
        <v>271</v>
      </c>
      <c r="B236" s="4" t="n">
        <v>48</v>
      </c>
      <c r="C236" s="18" t="n">
        <v>0.25</v>
      </c>
      <c r="D236" s="21" t="n">
        <v>0</v>
      </c>
      <c r="E236" s="21" t="n">
        <v>0</v>
      </c>
      <c r="F236" s="21" t="n">
        <v>0</v>
      </c>
      <c r="G236" s="21" t="n">
        <v>0</v>
      </c>
      <c r="H236" s="21" t="n">
        <v>0</v>
      </c>
      <c r="I236" s="21" t="n">
        <v>0</v>
      </c>
      <c r="J236" s="21" t="n">
        <v>0</v>
      </c>
      <c r="K236" s="21" t="n">
        <v>0</v>
      </c>
      <c r="L236" s="21" t="n">
        <v>0</v>
      </c>
      <c r="M236" s="21" t="n">
        <v>0</v>
      </c>
      <c r="N236" s="21" t="n">
        <v>0</v>
      </c>
      <c r="O236" s="21" t="n">
        <v>0</v>
      </c>
      <c r="P236" s="21" t="n">
        <v>0</v>
      </c>
      <c r="Q236" s="21" t="n">
        <v>0</v>
      </c>
      <c r="R236" s="18" t="n">
        <f aca="false">ABS(D236)+MAX(ABS(G236),ABS(H236))+MAX(ABS(I236),ABS(J236))</f>
        <v>0</v>
      </c>
      <c r="S236" s="18" t="n">
        <f aca="false">ABS(K236)+MAX(ABS(N236),ABS(O236))+MAX(ABS(P236),ABS(Q236))</f>
        <v>0</v>
      </c>
      <c r="T236" s="18" t="n">
        <f aca="false">MAX(ABS(E236),ABS(F236))</f>
        <v>0</v>
      </c>
      <c r="U236" s="18" t="n">
        <f aca="false">MAX(ABS(L236),ABS(M236))</f>
        <v>0</v>
      </c>
    </row>
    <row r="237" customFormat="false" ht="15" hidden="false" customHeight="false" outlineLevel="0" collapsed="false">
      <c r="A237" s="4" t="n">
        <v>271</v>
      </c>
      <c r="B237" s="4" t="n">
        <v>48</v>
      </c>
      <c r="C237" s="18" t="n">
        <v>0.5</v>
      </c>
      <c r="D237" s="21" t="n">
        <v>0</v>
      </c>
      <c r="E237" s="21" t="n">
        <v>0</v>
      </c>
      <c r="F237" s="21" t="n">
        <v>0</v>
      </c>
      <c r="G237" s="21" t="n">
        <v>0</v>
      </c>
      <c r="H237" s="21" t="n">
        <v>0</v>
      </c>
      <c r="I237" s="21" t="n">
        <v>0</v>
      </c>
      <c r="J237" s="21" t="n">
        <v>0</v>
      </c>
      <c r="K237" s="21" t="n">
        <v>0</v>
      </c>
      <c r="L237" s="21" t="n">
        <v>0</v>
      </c>
      <c r="M237" s="21" t="n">
        <v>0</v>
      </c>
      <c r="N237" s="21" t="n">
        <v>0</v>
      </c>
      <c r="O237" s="21" t="n">
        <v>0</v>
      </c>
      <c r="P237" s="21" t="n">
        <v>0</v>
      </c>
      <c r="Q237" s="21" t="n">
        <v>0</v>
      </c>
      <c r="R237" s="18" t="n">
        <f aca="false">ABS(D237)+MAX(ABS(G237),ABS(H237))+MAX(ABS(I237),ABS(J237))</f>
        <v>0</v>
      </c>
      <c r="S237" s="18" t="n">
        <f aca="false">ABS(K237)+MAX(ABS(N237),ABS(O237))+MAX(ABS(P237),ABS(Q237))</f>
        <v>0</v>
      </c>
      <c r="T237" s="18" t="n">
        <f aca="false">MAX(ABS(E237),ABS(F237))</f>
        <v>0</v>
      </c>
      <c r="U237" s="18" t="n">
        <f aca="false">MAX(ABS(L237),ABS(M237))</f>
        <v>0</v>
      </c>
    </row>
    <row r="238" customFormat="false" ht="15" hidden="false" customHeight="false" outlineLevel="0" collapsed="false">
      <c r="A238" s="4" t="n">
        <v>271</v>
      </c>
      <c r="B238" s="4" t="n">
        <v>48</v>
      </c>
      <c r="C238" s="18" t="n">
        <v>0.75</v>
      </c>
      <c r="D238" s="21" t="n">
        <v>0</v>
      </c>
      <c r="E238" s="21" t="n">
        <v>0</v>
      </c>
      <c r="F238" s="21" t="n">
        <v>0</v>
      </c>
      <c r="G238" s="21" t="n">
        <v>0</v>
      </c>
      <c r="H238" s="21" t="n">
        <v>0</v>
      </c>
      <c r="I238" s="21" t="n">
        <v>0</v>
      </c>
      <c r="J238" s="21" t="n">
        <v>0</v>
      </c>
      <c r="K238" s="21" t="n">
        <v>0</v>
      </c>
      <c r="L238" s="21" t="n">
        <v>0</v>
      </c>
      <c r="M238" s="21" t="n">
        <v>0</v>
      </c>
      <c r="N238" s="21" t="n">
        <v>0</v>
      </c>
      <c r="O238" s="21" t="n">
        <v>0</v>
      </c>
      <c r="P238" s="21" t="n">
        <v>0</v>
      </c>
      <c r="Q238" s="21" t="n">
        <v>0</v>
      </c>
      <c r="R238" s="18" t="n">
        <f aca="false">ABS(D238)+MAX(ABS(G238),ABS(H238))+MAX(ABS(I238),ABS(J238))</f>
        <v>0</v>
      </c>
      <c r="S238" s="18" t="n">
        <f aca="false">ABS(K238)+MAX(ABS(N238),ABS(O238))+MAX(ABS(P238),ABS(Q238))</f>
        <v>0</v>
      </c>
      <c r="T238" s="18" t="n">
        <f aca="false">MAX(ABS(E238),ABS(F238))</f>
        <v>0</v>
      </c>
      <c r="U238" s="18" t="n">
        <f aca="false">MAX(ABS(L238),ABS(M238))</f>
        <v>0</v>
      </c>
    </row>
    <row r="239" customFormat="false" ht="15" hidden="false" customHeight="false" outlineLevel="0" collapsed="false">
      <c r="A239" s="4" t="n">
        <v>271</v>
      </c>
      <c r="B239" s="4" t="n">
        <v>48</v>
      </c>
      <c r="C239" s="18" t="n">
        <v>1</v>
      </c>
      <c r="D239" s="21" t="n">
        <v>0</v>
      </c>
      <c r="E239" s="21" t="n">
        <v>0</v>
      </c>
      <c r="F239" s="21" t="n">
        <v>0</v>
      </c>
      <c r="G239" s="21" t="n">
        <v>0</v>
      </c>
      <c r="H239" s="21" t="n">
        <v>0</v>
      </c>
      <c r="I239" s="21" t="n">
        <v>0</v>
      </c>
      <c r="J239" s="21" t="n">
        <v>0</v>
      </c>
      <c r="K239" s="21" t="n">
        <v>0</v>
      </c>
      <c r="L239" s="21" t="n">
        <v>0</v>
      </c>
      <c r="M239" s="21" t="n">
        <v>0</v>
      </c>
      <c r="N239" s="21" t="n">
        <v>0</v>
      </c>
      <c r="O239" s="21" t="n">
        <v>0</v>
      </c>
      <c r="P239" s="21" t="n">
        <v>0</v>
      </c>
      <c r="Q239" s="21" t="n">
        <v>0</v>
      </c>
      <c r="R239" s="18" t="n">
        <f aca="false">ABS(D239)+MAX(ABS(G239),ABS(H239))+MAX(ABS(I239),ABS(J239))</f>
        <v>0</v>
      </c>
      <c r="S239" s="18" t="n">
        <f aca="false">ABS(K239)+MAX(ABS(N239),ABS(O239))+MAX(ABS(P239),ABS(Q239))</f>
        <v>0</v>
      </c>
      <c r="T239" s="18" t="n">
        <f aca="false">MAX(ABS(E239),ABS(F239))</f>
        <v>0</v>
      </c>
      <c r="U239" s="18" t="n">
        <f aca="false">MAX(ABS(L239),ABS(M239))</f>
        <v>0</v>
      </c>
    </row>
    <row r="240" customFormat="false" ht="15" hidden="false" customHeight="false" outlineLevel="0" collapsed="false">
      <c r="A240" s="4" t="n">
        <v>272</v>
      </c>
      <c r="B240" s="4" t="n">
        <v>49</v>
      </c>
      <c r="C240" s="18" t="n">
        <v>0</v>
      </c>
      <c r="D240" s="21" t="n">
        <v>0</v>
      </c>
      <c r="E240" s="21" t="n">
        <v>0</v>
      </c>
      <c r="F240" s="21" t="n">
        <v>0</v>
      </c>
      <c r="G240" s="21" t="n">
        <v>0</v>
      </c>
      <c r="H240" s="21" t="n">
        <v>0</v>
      </c>
      <c r="I240" s="21" t="n">
        <v>0</v>
      </c>
      <c r="J240" s="21" t="n">
        <v>0</v>
      </c>
      <c r="K240" s="21" t="n">
        <v>0</v>
      </c>
      <c r="L240" s="21" t="n">
        <v>0</v>
      </c>
      <c r="M240" s="21" t="n">
        <v>0</v>
      </c>
      <c r="N240" s="21" t="n">
        <v>0</v>
      </c>
      <c r="O240" s="21" t="n">
        <v>0</v>
      </c>
      <c r="P240" s="21" t="n">
        <v>0</v>
      </c>
      <c r="Q240" s="21" t="n">
        <v>0</v>
      </c>
      <c r="R240" s="18" t="n">
        <f aca="false">ABS(D240)+MAX(ABS(G240),ABS(H240))+MAX(ABS(I240),ABS(J240))</f>
        <v>0</v>
      </c>
      <c r="S240" s="18" t="n">
        <f aca="false">ABS(K240)+MAX(ABS(N240),ABS(O240))+MAX(ABS(P240),ABS(Q240))</f>
        <v>0</v>
      </c>
      <c r="T240" s="18" t="n">
        <f aca="false">MAX(ABS(E240),ABS(F240))</f>
        <v>0</v>
      </c>
      <c r="U240" s="18" t="n">
        <f aca="false">MAX(ABS(L240),ABS(M240))</f>
        <v>0</v>
      </c>
    </row>
    <row r="241" customFormat="false" ht="15" hidden="false" customHeight="false" outlineLevel="0" collapsed="false">
      <c r="A241" s="4" t="n">
        <v>272</v>
      </c>
      <c r="B241" s="4" t="n">
        <v>49</v>
      </c>
      <c r="C241" s="18" t="n">
        <v>0.25</v>
      </c>
      <c r="D241" s="21" t="n">
        <v>0</v>
      </c>
      <c r="E241" s="21" t="n">
        <v>0</v>
      </c>
      <c r="F241" s="21" t="n">
        <v>0</v>
      </c>
      <c r="G241" s="21" t="n">
        <v>0</v>
      </c>
      <c r="H241" s="21" t="n">
        <v>0</v>
      </c>
      <c r="I241" s="21" t="n">
        <v>0</v>
      </c>
      <c r="J241" s="21" t="n">
        <v>0</v>
      </c>
      <c r="K241" s="21" t="n">
        <v>0</v>
      </c>
      <c r="L241" s="21" t="n">
        <v>0</v>
      </c>
      <c r="M241" s="21" t="n">
        <v>0</v>
      </c>
      <c r="N241" s="21" t="n">
        <v>0</v>
      </c>
      <c r="O241" s="21" t="n">
        <v>0</v>
      </c>
      <c r="P241" s="21" t="n">
        <v>0</v>
      </c>
      <c r="Q241" s="21" t="n">
        <v>0</v>
      </c>
      <c r="R241" s="18" t="n">
        <f aca="false">ABS(D241)+MAX(ABS(G241),ABS(H241))+MAX(ABS(I241),ABS(J241))</f>
        <v>0</v>
      </c>
      <c r="S241" s="18" t="n">
        <f aca="false">ABS(K241)+MAX(ABS(N241),ABS(O241))+MAX(ABS(P241),ABS(Q241))</f>
        <v>0</v>
      </c>
      <c r="T241" s="18" t="n">
        <f aca="false">MAX(ABS(E241),ABS(F241))</f>
        <v>0</v>
      </c>
      <c r="U241" s="18" t="n">
        <f aca="false">MAX(ABS(L241),ABS(M241))</f>
        <v>0</v>
      </c>
    </row>
    <row r="242" customFormat="false" ht="15" hidden="false" customHeight="false" outlineLevel="0" collapsed="false">
      <c r="A242" s="4" t="n">
        <v>272</v>
      </c>
      <c r="B242" s="4" t="n">
        <v>49</v>
      </c>
      <c r="C242" s="18" t="n">
        <v>0.5</v>
      </c>
      <c r="D242" s="21" t="n">
        <v>0</v>
      </c>
      <c r="E242" s="21" t="n">
        <v>0</v>
      </c>
      <c r="F242" s="21" t="n">
        <v>0</v>
      </c>
      <c r="G242" s="21" t="n">
        <v>0</v>
      </c>
      <c r="H242" s="21" t="n">
        <v>0</v>
      </c>
      <c r="I242" s="21" t="n">
        <v>0</v>
      </c>
      <c r="J242" s="21" t="n">
        <v>0</v>
      </c>
      <c r="K242" s="21" t="n">
        <v>0</v>
      </c>
      <c r="L242" s="21" t="n">
        <v>0</v>
      </c>
      <c r="M242" s="21" t="n">
        <v>0</v>
      </c>
      <c r="N242" s="21" t="n">
        <v>0</v>
      </c>
      <c r="O242" s="21" t="n">
        <v>0</v>
      </c>
      <c r="P242" s="21" t="n">
        <v>0</v>
      </c>
      <c r="Q242" s="21" t="n">
        <v>0</v>
      </c>
      <c r="R242" s="18" t="n">
        <f aca="false">ABS(D242)+MAX(ABS(G242),ABS(H242))+MAX(ABS(I242),ABS(J242))</f>
        <v>0</v>
      </c>
      <c r="S242" s="18" t="n">
        <f aca="false">ABS(K242)+MAX(ABS(N242),ABS(O242))+MAX(ABS(P242),ABS(Q242))</f>
        <v>0</v>
      </c>
      <c r="T242" s="18" t="n">
        <f aca="false">MAX(ABS(E242),ABS(F242))</f>
        <v>0</v>
      </c>
      <c r="U242" s="18" t="n">
        <f aca="false">MAX(ABS(L242),ABS(M242))</f>
        <v>0</v>
      </c>
    </row>
    <row r="243" customFormat="false" ht="15" hidden="false" customHeight="false" outlineLevel="0" collapsed="false">
      <c r="A243" s="4" t="n">
        <v>272</v>
      </c>
      <c r="B243" s="4" t="n">
        <v>49</v>
      </c>
      <c r="C243" s="18" t="n">
        <v>0.75</v>
      </c>
      <c r="D243" s="21" t="n">
        <v>0</v>
      </c>
      <c r="E243" s="21" t="n">
        <v>0</v>
      </c>
      <c r="F243" s="21" t="n">
        <v>0</v>
      </c>
      <c r="G243" s="21" t="n">
        <v>0</v>
      </c>
      <c r="H243" s="21" t="n">
        <v>0</v>
      </c>
      <c r="I243" s="21" t="n">
        <v>0</v>
      </c>
      <c r="J243" s="21" t="n">
        <v>0</v>
      </c>
      <c r="K243" s="21" t="n">
        <v>0</v>
      </c>
      <c r="L243" s="21" t="n">
        <v>0</v>
      </c>
      <c r="M243" s="21" t="n">
        <v>0</v>
      </c>
      <c r="N243" s="21" t="n">
        <v>0</v>
      </c>
      <c r="O243" s="21" t="n">
        <v>0</v>
      </c>
      <c r="P243" s="21" t="n">
        <v>0</v>
      </c>
      <c r="Q243" s="21" t="n">
        <v>0</v>
      </c>
      <c r="R243" s="18" t="n">
        <f aca="false">ABS(D243)+MAX(ABS(G243),ABS(H243))+MAX(ABS(I243),ABS(J243))</f>
        <v>0</v>
      </c>
      <c r="S243" s="18" t="n">
        <f aca="false">ABS(K243)+MAX(ABS(N243),ABS(O243))+MAX(ABS(P243),ABS(Q243))</f>
        <v>0</v>
      </c>
      <c r="T243" s="18" t="n">
        <f aca="false">MAX(ABS(E243),ABS(F243))</f>
        <v>0</v>
      </c>
      <c r="U243" s="18" t="n">
        <f aca="false">MAX(ABS(L243),ABS(M243))</f>
        <v>0</v>
      </c>
    </row>
    <row r="244" customFormat="false" ht="15" hidden="false" customHeight="false" outlineLevel="0" collapsed="false">
      <c r="A244" s="4" t="n">
        <v>272</v>
      </c>
      <c r="B244" s="4" t="n">
        <v>49</v>
      </c>
      <c r="C244" s="18" t="n">
        <v>1</v>
      </c>
      <c r="D244" s="21" t="n">
        <v>0</v>
      </c>
      <c r="E244" s="21" t="n">
        <v>0</v>
      </c>
      <c r="F244" s="21" t="n">
        <v>0</v>
      </c>
      <c r="G244" s="21" t="n">
        <v>0</v>
      </c>
      <c r="H244" s="21" t="n">
        <v>0</v>
      </c>
      <c r="I244" s="21" t="n">
        <v>0</v>
      </c>
      <c r="J244" s="21" t="n">
        <v>0</v>
      </c>
      <c r="K244" s="21" t="n">
        <v>0</v>
      </c>
      <c r="L244" s="21" t="n">
        <v>0</v>
      </c>
      <c r="M244" s="21" t="n">
        <v>0</v>
      </c>
      <c r="N244" s="21" t="n">
        <v>0</v>
      </c>
      <c r="O244" s="21" t="n">
        <v>0</v>
      </c>
      <c r="P244" s="21" t="n">
        <v>0</v>
      </c>
      <c r="Q244" s="21" t="n">
        <v>0</v>
      </c>
      <c r="R244" s="18" t="n">
        <f aca="false">ABS(D244)+MAX(ABS(G244),ABS(H244))+MAX(ABS(I244),ABS(J244))</f>
        <v>0</v>
      </c>
      <c r="S244" s="18" t="n">
        <f aca="false">ABS(K244)+MAX(ABS(N244),ABS(O244))+MAX(ABS(P244),ABS(Q244))</f>
        <v>0</v>
      </c>
      <c r="T244" s="18" t="n">
        <f aca="false">MAX(ABS(E244),ABS(F244))</f>
        <v>0</v>
      </c>
      <c r="U244" s="18" t="n">
        <f aca="false">MAX(ABS(L244),ABS(M244))</f>
        <v>0</v>
      </c>
    </row>
    <row r="245" customFormat="false" ht="15" hidden="false" customHeight="false" outlineLevel="0" collapsed="false">
      <c r="A245" s="4" t="n">
        <v>273</v>
      </c>
      <c r="B245" s="4" t="n">
        <v>50</v>
      </c>
      <c r="C245" s="18" t="n">
        <v>0</v>
      </c>
      <c r="D245" s="21" t="n">
        <v>0</v>
      </c>
      <c r="E245" s="21" t="n">
        <v>0</v>
      </c>
      <c r="F245" s="21" t="n">
        <v>0</v>
      </c>
      <c r="G245" s="21" t="n">
        <v>0</v>
      </c>
      <c r="H245" s="21" t="n">
        <v>0</v>
      </c>
      <c r="I245" s="21" t="n">
        <v>0</v>
      </c>
      <c r="J245" s="21" t="n">
        <v>0</v>
      </c>
      <c r="K245" s="21" t="n">
        <v>0</v>
      </c>
      <c r="L245" s="21" t="n">
        <v>0</v>
      </c>
      <c r="M245" s="21" t="n">
        <v>0</v>
      </c>
      <c r="N245" s="21" t="n">
        <v>0</v>
      </c>
      <c r="O245" s="21" t="n">
        <v>0</v>
      </c>
      <c r="P245" s="21" t="n">
        <v>0</v>
      </c>
      <c r="Q245" s="21" t="n">
        <v>0</v>
      </c>
      <c r="R245" s="18" t="n">
        <f aca="false">ABS(D245)+MAX(ABS(G245),ABS(H245))+MAX(ABS(I245),ABS(J245))</f>
        <v>0</v>
      </c>
      <c r="S245" s="18" t="n">
        <f aca="false">ABS(K245)+MAX(ABS(N245),ABS(O245))+MAX(ABS(P245),ABS(Q245))</f>
        <v>0</v>
      </c>
      <c r="T245" s="18" t="n">
        <f aca="false">MAX(ABS(E245),ABS(F245))</f>
        <v>0</v>
      </c>
      <c r="U245" s="18" t="n">
        <f aca="false">MAX(ABS(L245),ABS(M245))</f>
        <v>0</v>
      </c>
    </row>
    <row r="246" customFormat="false" ht="15" hidden="false" customHeight="false" outlineLevel="0" collapsed="false">
      <c r="A246" s="4" t="n">
        <v>273</v>
      </c>
      <c r="B246" s="4" t="n">
        <v>50</v>
      </c>
      <c r="C246" s="18" t="n">
        <v>0.25</v>
      </c>
      <c r="D246" s="21" t="n">
        <v>0</v>
      </c>
      <c r="E246" s="21" t="n">
        <v>0</v>
      </c>
      <c r="F246" s="21" t="n">
        <v>0</v>
      </c>
      <c r="G246" s="21" t="n">
        <v>0</v>
      </c>
      <c r="H246" s="21" t="n">
        <v>0</v>
      </c>
      <c r="I246" s="21" t="n">
        <v>0</v>
      </c>
      <c r="J246" s="21" t="n">
        <v>0</v>
      </c>
      <c r="K246" s="21" t="n">
        <v>0</v>
      </c>
      <c r="L246" s="21" t="n">
        <v>0</v>
      </c>
      <c r="M246" s="21" t="n">
        <v>0</v>
      </c>
      <c r="N246" s="21" t="n">
        <v>0</v>
      </c>
      <c r="O246" s="21" t="n">
        <v>0</v>
      </c>
      <c r="P246" s="21" t="n">
        <v>0</v>
      </c>
      <c r="Q246" s="21" t="n">
        <v>0</v>
      </c>
      <c r="R246" s="18" t="n">
        <f aca="false">ABS(D246)+MAX(ABS(G246),ABS(H246))+MAX(ABS(I246),ABS(J246))</f>
        <v>0</v>
      </c>
      <c r="S246" s="18" t="n">
        <f aca="false">ABS(K246)+MAX(ABS(N246),ABS(O246))+MAX(ABS(P246),ABS(Q246))</f>
        <v>0</v>
      </c>
      <c r="T246" s="18" t="n">
        <f aca="false">MAX(ABS(E246),ABS(F246))</f>
        <v>0</v>
      </c>
      <c r="U246" s="18" t="n">
        <f aca="false">MAX(ABS(L246),ABS(M246))</f>
        <v>0</v>
      </c>
    </row>
    <row r="247" customFormat="false" ht="15" hidden="false" customHeight="false" outlineLevel="0" collapsed="false">
      <c r="A247" s="4" t="n">
        <v>273</v>
      </c>
      <c r="B247" s="4" t="n">
        <v>50</v>
      </c>
      <c r="C247" s="18" t="n">
        <v>0.5</v>
      </c>
      <c r="D247" s="21" t="n">
        <v>0</v>
      </c>
      <c r="E247" s="21" t="n">
        <v>0</v>
      </c>
      <c r="F247" s="21" t="n">
        <v>0</v>
      </c>
      <c r="G247" s="21" t="n">
        <v>0</v>
      </c>
      <c r="H247" s="21" t="n">
        <v>0</v>
      </c>
      <c r="I247" s="21" t="n">
        <v>0</v>
      </c>
      <c r="J247" s="21" t="n">
        <v>0</v>
      </c>
      <c r="K247" s="21" t="n">
        <v>0</v>
      </c>
      <c r="L247" s="21" t="n">
        <v>0</v>
      </c>
      <c r="M247" s="21" t="n">
        <v>0</v>
      </c>
      <c r="N247" s="21" t="n">
        <v>0</v>
      </c>
      <c r="O247" s="21" t="n">
        <v>0</v>
      </c>
      <c r="P247" s="21" t="n">
        <v>0</v>
      </c>
      <c r="Q247" s="21" t="n">
        <v>0</v>
      </c>
      <c r="R247" s="18" t="n">
        <f aca="false">ABS(D247)+MAX(ABS(G247),ABS(H247))+MAX(ABS(I247),ABS(J247))</f>
        <v>0</v>
      </c>
      <c r="S247" s="18" t="n">
        <f aca="false">ABS(K247)+MAX(ABS(N247),ABS(O247))+MAX(ABS(P247),ABS(Q247))</f>
        <v>0</v>
      </c>
      <c r="T247" s="18" t="n">
        <f aca="false">MAX(ABS(E247),ABS(F247))</f>
        <v>0</v>
      </c>
      <c r="U247" s="18" t="n">
        <f aca="false">MAX(ABS(L247),ABS(M247))</f>
        <v>0</v>
      </c>
    </row>
    <row r="248" customFormat="false" ht="15" hidden="false" customHeight="false" outlineLevel="0" collapsed="false">
      <c r="A248" s="4" t="n">
        <v>273</v>
      </c>
      <c r="B248" s="4" t="n">
        <v>50</v>
      </c>
      <c r="C248" s="18" t="n">
        <v>0.75</v>
      </c>
      <c r="D248" s="21" t="n">
        <v>0</v>
      </c>
      <c r="E248" s="21" t="n">
        <v>0</v>
      </c>
      <c r="F248" s="21" t="n">
        <v>0</v>
      </c>
      <c r="G248" s="21" t="n">
        <v>0</v>
      </c>
      <c r="H248" s="21" t="n">
        <v>0</v>
      </c>
      <c r="I248" s="21" t="n">
        <v>0</v>
      </c>
      <c r="J248" s="21" t="n">
        <v>0</v>
      </c>
      <c r="K248" s="21" t="n">
        <v>0</v>
      </c>
      <c r="L248" s="21" t="n">
        <v>0</v>
      </c>
      <c r="M248" s="21" t="n">
        <v>0</v>
      </c>
      <c r="N248" s="21" t="n">
        <v>0</v>
      </c>
      <c r="O248" s="21" t="n">
        <v>0</v>
      </c>
      <c r="P248" s="21" t="n">
        <v>0</v>
      </c>
      <c r="Q248" s="21" t="n">
        <v>0</v>
      </c>
      <c r="R248" s="18" t="n">
        <f aca="false">ABS(D248)+MAX(ABS(G248),ABS(H248))+MAX(ABS(I248),ABS(J248))</f>
        <v>0</v>
      </c>
      <c r="S248" s="18" t="n">
        <f aca="false">ABS(K248)+MAX(ABS(N248),ABS(O248))+MAX(ABS(P248),ABS(Q248))</f>
        <v>0</v>
      </c>
      <c r="T248" s="18" t="n">
        <f aca="false">MAX(ABS(E248),ABS(F248))</f>
        <v>0</v>
      </c>
      <c r="U248" s="18" t="n">
        <f aca="false">MAX(ABS(L248),ABS(M248))</f>
        <v>0</v>
      </c>
    </row>
    <row r="249" customFormat="false" ht="15" hidden="false" customHeight="false" outlineLevel="0" collapsed="false">
      <c r="A249" s="4" t="n">
        <v>273</v>
      </c>
      <c r="B249" s="4" t="n">
        <v>50</v>
      </c>
      <c r="C249" s="18" t="n">
        <v>1</v>
      </c>
      <c r="D249" s="21" t="n">
        <v>0</v>
      </c>
      <c r="E249" s="21" t="n">
        <v>0</v>
      </c>
      <c r="F249" s="21" t="n">
        <v>0</v>
      </c>
      <c r="G249" s="21" t="n">
        <v>0</v>
      </c>
      <c r="H249" s="21" t="n">
        <v>0</v>
      </c>
      <c r="I249" s="21" t="n">
        <v>0</v>
      </c>
      <c r="J249" s="21" t="n">
        <v>0</v>
      </c>
      <c r="K249" s="21" t="n">
        <v>0</v>
      </c>
      <c r="L249" s="21" t="n">
        <v>0</v>
      </c>
      <c r="M249" s="21" t="n">
        <v>0</v>
      </c>
      <c r="N249" s="21" t="n">
        <v>0</v>
      </c>
      <c r="O249" s="21" t="n">
        <v>0</v>
      </c>
      <c r="P249" s="21" t="n">
        <v>0</v>
      </c>
      <c r="Q249" s="21" t="n">
        <v>0</v>
      </c>
      <c r="R249" s="18" t="n">
        <f aca="false">ABS(D249)+MAX(ABS(G249),ABS(H249))+MAX(ABS(I249),ABS(J249))</f>
        <v>0</v>
      </c>
      <c r="S249" s="18" t="n">
        <f aca="false">ABS(K249)+MAX(ABS(N249),ABS(O249))+MAX(ABS(P249),ABS(Q249))</f>
        <v>0</v>
      </c>
      <c r="T249" s="18" t="n">
        <f aca="false">MAX(ABS(E249),ABS(F249))</f>
        <v>0</v>
      </c>
      <c r="U249" s="18" t="n">
        <f aca="false">MAX(ABS(L249),ABS(M249))</f>
        <v>0</v>
      </c>
    </row>
    <row r="250" customFormat="false" ht="15" hidden="false" customHeight="false" outlineLevel="0" collapsed="false">
      <c r="A250" s="4" t="n">
        <v>274</v>
      </c>
      <c r="B250" s="4" t="n">
        <v>51</v>
      </c>
      <c r="C250" s="18" t="n">
        <v>0</v>
      </c>
      <c r="D250" s="21" t="n">
        <v>0</v>
      </c>
      <c r="E250" s="21" t="n">
        <v>0</v>
      </c>
      <c r="F250" s="21" t="n">
        <v>0</v>
      </c>
      <c r="G250" s="21" t="n">
        <v>0</v>
      </c>
      <c r="H250" s="21" t="n">
        <v>0</v>
      </c>
      <c r="I250" s="21" t="n">
        <v>0</v>
      </c>
      <c r="J250" s="21" t="n">
        <v>0</v>
      </c>
      <c r="K250" s="21" t="n">
        <v>0</v>
      </c>
      <c r="L250" s="21" t="n">
        <v>0</v>
      </c>
      <c r="M250" s="21" t="n">
        <v>0</v>
      </c>
      <c r="N250" s="21" t="n">
        <v>0</v>
      </c>
      <c r="O250" s="21" t="n">
        <v>0</v>
      </c>
      <c r="P250" s="21" t="n">
        <v>0</v>
      </c>
      <c r="Q250" s="21" t="n">
        <v>0</v>
      </c>
      <c r="R250" s="18" t="n">
        <f aca="false">ABS(D250)+MAX(ABS(G250),ABS(H250))+MAX(ABS(I250),ABS(J250))</f>
        <v>0</v>
      </c>
      <c r="S250" s="18" t="n">
        <f aca="false">ABS(K250)+MAX(ABS(N250),ABS(O250))+MAX(ABS(P250),ABS(Q250))</f>
        <v>0</v>
      </c>
      <c r="T250" s="18" t="n">
        <f aca="false">MAX(ABS(E250),ABS(F250))</f>
        <v>0</v>
      </c>
      <c r="U250" s="18" t="n">
        <f aca="false">MAX(ABS(L250),ABS(M250))</f>
        <v>0</v>
      </c>
    </row>
    <row r="251" customFormat="false" ht="15" hidden="false" customHeight="false" outlineLevel="0" collapsed="false">
      <c r="A251" s="4" t="n">
        <v>274</v>
      </c>
      <c r="B251" s="4" t="n">
        <v>51</v>
      </c>
      <c r="C251" s="18" t="n">
        <v>0.25</v>
      </c>
      <c r="D251" s="21" t="n">
        <v>0</v>
      </c>
      <c r="E251" s="21" t="n">
        <v>0</v>
      </c>
      <c r="F251" s="21" t="n">
        <v>0</v>
      </c>
      <c r="G251" s="21" t="n">
        <v>0</v>
      </c>
      <c r="H251" s="21" t="n">
        <v>0</v>
      </c>
      <c r="I251" s="21" t="n">
        <v>0</v>
      </c>
      <c r="J251" s="21" t="n">
        <v>0</v>
      </c>
      <c r="K251" s="21" t="n">
        <v>0</v>
      </c>
      <c r="L251" s="21" t="n">
        <v>0</v>
      </c>
      <c r="M251" s="21" t="n">
        <v>0</v>
      </c>
      <c r="N251" s="21" t="n">
        <v>0</v>
      </c>
      <c r="O251" s="21" t="n">
        <v>0</v>
      </c>
      <c r="P251" s="21" t="n">
        <v>0</v>
      </c>
      <c r="Q251" s="21" t="n">
        <v>0</v>
      </c>
      <c r="R251" s="18" t="n">
        <f aca="false">ABS(D251)+MAX(ABS(G251),ABS(H251))+MAX(ABS(I251),ABS(J251))</f>
        <v>0</v>
      </c>
      <c r="S251" s="18" t="n">
        <f aca="false">ABS(K251)+MAX(ABS(N251),ABS(O251))+MAX(ABS(P251),ABS(Q251))</f>
        <v>0</v>
      </c>
      <c r="T251" s="18" t="n">
        <f aca="false">MAX(ABS(E251),ABS(F251))</f>
        <v>0</v>
      </c>
      <c r="U251" s="18" t="n">
        <f aca="false">MAX(ABS(L251),ABS(M251))</f>
        <v>0</v>
      </c>
    </row>
    <row r="252" customFormat="false" ht="15" hidden="false" customHeight="false" outlineLevel="0" collapsed="false">
      <c r="A252" s="4" t="n">
        <v>274</v>
      </c>
      <c r="B252" s="4" t="n">
        <v>51</v>
      </c>
      <c r="C252" s="18" t="n">
        <v>0.5</v>
      </c>
      <c r="D252" s="21" t="n">
        <v>0</v>
      </c>
      <c r="E252" s="21" t="n">
        <v>0</v>
      </c>
      <c r="F252" s="21" t="n">
        <v>0</v>
      </c>
      <c r="G252" s="21" t="n">
        <v>0</v>
      </c>
      <c r="H252" s="21" t="n">
        <v>0</v>
      </c>
      <c r="I252" s="21" t="n">
        <v>0</v>
      </c>
      <c r="J252" s="21" t="n">
        <v>0</v>
      </c>
      <c r="K252" s="21" t="n">
        <v>0</v>
      </c>
      <c r="L252" s="21" t="n">
        <v>0</v>
      </c>
      <c r="M252" s="21" t="n">
        <v>0</v>
      </c>
      <c r="N252" s="21" t="n">
        <v>0</v>
      </c>
      <c r="O252" s="21" t="n">
        <v>0</v>
      </c>
      <c r="P252" s="21" t="n">
        <v>0</v>
      </c>
      <c r="Q252" s="21" t="n">
        <v>0</v>
      </c>
      <c r="R252" s="18" t="n">
        <f aca="false">ABS(D252)+MAX(ABS(G252),ABS(H252))+MAX(ABS(I252),ABS(J252))</f>
        <v>0</v>
      </c>
      <c r="S252" s="18" t="n">
        <f aca="false">ABS(K252)+MAX(ABS(N252),ABS(O252))+MAX(ABS(P252),ABS(Q252))</f>
        <v>0</v>
      </c>
      <c r="T252" s="18" t="n">
        <f aca="false">MAX(ABS(E252),ABS(F252))</f>
        <v>0</v>
      </c>
      <c r="U252" s="18" t="n">
        <f aca="false">MAX(ABS(L252),ABS(M252))</f>
        <v>0</v>
      </c>
    </row>
    <row r="253" customFormat="false" ht="15" hidden="false" customHeight="false" outlineLevel="0" collapsed="false">
      <c r="A253" s="4" t="n">
        <v>274</v>
      </c>
      <c r="B253" s="4" t="n">
        <v>51</v>
      </c>
      <c r="C253" s="18" t="n">
        <v>0.75</v>
      </c>
      <c r="D253" s="21" t="n">
        <v>0</v>
      </c>
      <c r="E253" s="21" t="n">
        <v>0</v>
      </c>
      <c r="F253" s="21" t="n">
        <v>0</v>
      </c>
      <c r="G253" s="21" t="n">
        <v>0</v>
      </c>
      <c r="H253" s="21" t="n">
        <v>0</v>
      </c>
      <c r="I253" s="21" t="n">
        <v>0</v>
      </c>
      <c r="J253" s="21" t="n">
        <v>0</v>
      </c>
      <c r="K253" s="21" t="n">
        <v>0</v>
      </c>
      <c r="L253" s="21" t="n">
        <v>0</v>
      </c>
      <c r="M253" s="21" t="n">
        <v>0</v>
      </c>
      <c r="N253" s="21" t="n">
        <v>0</v>
      </c>
      <c r="O253" s="21" t="n">
        <v>0</v>
      </c>
      <c r="P253" s="21" t="n">
        <v>0</v>
      </c>
      <c r="Q253" s="21" t="n">
        <v>0</v>
      </c>
      <c r="R253" s="18" t="n">
        <f aca="false">ABS(D253)+MAX(ABS(G253),ABS(H253))+MAX(ABS(I253),ABS(J253))</f>
        <v>0</v>
      </c>
      <c r="S253" s="18" t="n">
        <f aca="false">ABS(K253)+MAX(ABS(N253),ABS(O253))+MAX(ABS(P253),ABS(Q253))</f>
        <v>0</v>
      </c>
      <c r="T253" s="18" t="n">
        <f aca="false">MAX(ABS(E253),ABS(F253))</f>
        <v>0</v>
      </c>
      <c r="U253" s="18" t="n">
        <f aca="false">MAX(ABS(L253),ABS(M253))</f>
        <v>0</v>
      </c>
    </row>
    <row r="254" customFormat="false" ht="15" hidden="false" customHeight="false" outlineLevel="0" collapsed="false">
      <c r="A254" s="4" t="n">
        <v>274</v>
      </c>
      <c r="B254" s="4" t="n">
        <v>51</v>
      </c>
      <c r="C254" s="18" t="n">
        <v>1</v>
      </c>
      <c r="D254" s="21" t="n">
        <v>0</v>
      </c>
      <c r="E254" s="21" t="n">
        <v>0</v>
      </c>
      <c r="F254" s="21" t="n">
        <v>0</v>
      </c>
      <c r="G254" s="21" t="n">
        <v>0</v>
      </c>
      <c r="H254" s="21" t="n">
        <v>0</v>
      </c>
      <c r="I254" s="21" t="n">
        <v>0</v>
      </c>
      <c r="J254" s="21" t="n">
        <v>0</v>
      </c>
      <c r="K254" s="21" t="n">
        <v>0</v>
      </c>
      <c r="L254" s="21" t="n">
        <v>0</v>
      </c>
      <c r="M254" s="21" t="n">
        <v>0</v>
      </c>
      <c r="N254" s="21" t="n">
        <v>0</v>
      </c>
      <c r="O254" s="21" t="n">
        <v>0</v>
      </c>
      <c r="P254" s="21" t="n">
        <v>0</v>
      </c>
      <c r="Q254" s="21" t="n">
        <v>0</v>
      </c>
      <c r="R254" s="18" t="n">
        <f aca="false">ABS(D254)+MAX(ABS(G254),ABS(H254))+MAX(ABS(I254),ABS(J254))</f>
        <v>0</v>
      </c>
      <c r="S254" s="18" t="n">
        <f aca="false">ABS(K254)+MAX(ABS(N254),ABS(O254))+MAX(ABS(P254),ABS(Q254))</f>
        <v>0</v>
      </c>
      <c r="T254" s="18" t="n">
        <f aca="false">MAX(ABS(E254),ABS(F254))</f>
        <v>0</v>
      </c>
      <c r="U254" s="18" t="n">
        <f aca="false">MAX(ABS(L254),ABS(M254))</f>
        <v>0</v>
      </c>
    </row>
    <row r="255" customFormat="false" ht="15" hidden="false" customHeight="false" outlineLevel="0" collapsed="false">
      <c r="A255" s="4" t="n">
        <v>275</v>
      </c>
      <c r="B255" s="4" t="n">
        <v>52</v>
      </c>
      <c r="C255" s="18" t="n">
        <v>0</v>
      </c>
      <c r="D255" s="21" t="n">
        <v>0</v>
      </c>
      <c r="E255" s="21" t="n">
        <v>0</v>
      </c>
      <c r="F255" s="21" t="n">
        <v>0</v>
      </c>
      <c r="G255" s="21" t="n">
        <v>0</v>
      </c>
      <c r="H255" s="21" t="n">
        <v>0</v>
      </c>
      <c r="I255" s="21" t="n">
        <v>0</v>
      </c>
      <c r="J255" s="21" t="n">
        <v>0</v>
      </c>
      <c r="K255" s="21" t="n">
        <v>0</v>
      </c>
      <c r="L255" s="21" t="n">
        <v>0</v>
      </c>
      <c r="M255" s="21" t="n">
        <v>0</v>
      </c>
      <c r="N255" s="21" t="n">
        <v>0</v>
      </c>
      <c r="O255" s="21" t="n">
        <v>0</v>
      </c>
      <c r="P255" s="21" t="n">
        <v>0</v>
      </c>
      <c r="Q255" s="21" t="n">
        <v>0</v>
      </c>
      <c r="R255" s="18" t="n">
        <f aca="false">ABS(D255)+MAX(ABS(G255),ABS(H255))+MAX(ABS(I255),ABS(J255))</f>
        <v>0</v>
      </c>
      <c r="S255" s="18" t="n">
        <f aca="false">ABS(K255)+MAX(ABS(N255),ABS(O255))+MAX(ABS(P255),ABS(Q255))</f>
        <v>0</v>
      </c>
      <c r="T255" s="18" t="n">
        <f aca="false">MAX(ABS(E255),ABS(F255))</f>
        <v>0</v>
      </c>
      <c r="U255" s="18" t="n">
        <f aca="false">MAX(ABS(L255),ABS(M255))</f>
        <v>0</v>
      </c>
    </row>
    <row r="256" customFormat="false" ht="15" hidden="false" customHeight="false" outlineLevel="0" collapsed="false">
      <c r="A256" s="4" t="n">
        <v>275</v>
      </c>
      <c r="B256" s="4" t="n">
        <v>52</v>
      </c>
      <c r="C256" s="18" t="n">
        <v>0.25</v>
      </c>
      <c r="D256" s="21" t="n">
        <v>0</v>
      </c>
      <c r="E256" s="21" t="n">
        <v>0</v>
      </c>
      <c r="F256" s="21" t="n">
        <v>0</v>
      </c>
      <c r="G256" s="21" t="n">
        <v>0</v>
      </c>
      <c r="H256" s="21" t="n">
        <v>0</v>
      </c>
      <c r="I256" s="21" t="n">
        <v>0</v>
      </c>
      <c r="J256" s="21" t="n">
        <v>0</v>
      </c>
      <c r="K256" s="21" t="n">
        <v>0</v>
      </c>
      <c r="L256" s="21" t="n">
        <v>0</v>
      </c>
      <c r="M256" s="21" t="n">
        <v>0</v>
      </c>
      <c r="N256" s="21" t="n">
        <v>0</v>
      </c>
      <c r="O256" s="21" t="n">
        <v>0</v>
      </c>
      <c r="P256" s="21" t="n">
        <v>0</v>
      </c>
      <c r="Q256" s="21" t="n">
        <v>0</v>
      </c>
      <c r="R256" s="18" t="n">
        <f aca="false">ABS(D256)+MAX(ABS(G256),ABS(H256))+MAX(ABS(I256),ABS(J256))</f>
        <v>0</v>
      </c>
      <c r="S256" s="18" t="n">
        <f aca="false">ABS(K256)+MAX(ABS(N256),ABS(O256))+MAX(ABS(P256),ABS(Q256))</f>
        <v>0</v>
      </c>
      <c r="T256" s="18" t="n">
        <f aca="false">MAX(ABS(E256),ABS(F256))</f>
        <v>0</v>
      </c>
      <c r="U256" s="18" t="n">
        <f aca="false">MAX(ABS(L256),ABS(M256))</f>
        <v>0</v>
      </c>
    </row>
    <row r="257" customFormat="false" ht="15" hidden="false" customHeight="false" outlineLevel="0" collapsed="false">
      <c r="A257" s="4" t="n">
        <v>275</v>
      </c>
      <c r="B257" s="4" t="n">
        <v>52</v>
      </c>
      <c r="C257" s="18" t="n">
        <v>0.5</v>
      </c>
      <c r="D257" s="21" t="n">
        <v>0</v>
      </c>
      <c r="E257" s="21" t="n">
        <v>0</v>
      </c>
      <c r="F257" s="21" t="n">
        <v>0</v>
      </c>
      <c r="G257" s="21" t="n">
        <v>0</v>
      </c>
      <c r="H257" s="21" t="n">
        <v>0</v>
      </c>
      <c r="I257" s="21" t="n">
        <v>0</v>
      </c>
      <c r="J257" s="21" t="n">
        <v>0</v>
      </c>
      <c r="K257" s="21" t="n">
        <v>0</v>
      </c>
      <c r="L257" s="21" t="n">
        <v>0</v>
      </c>
      <c r="M257" s="21" t="n">
        <v>0</v>
      </c>
      <c r="N257" s="21" t="n">
        <v>0</v>
      </c>
      <c r="O257" s="21" t="n">
        <v>0</v>
      </c>
      <c r="P257" s="21" t="n">
        <v>0</v>
      </c>
      <c r="Q257" s="21" t="n">
        <v>0</v>
      </c>
      <c r="R257" s="18" t="n">
        <f aca="false">ABS(D257)+MAX(ABS(G257),ABS(H257))+MAX(ABS(I257),ABS(J257))</f>
        <v>0</v>
      </c>
      <c r="S257" s="18" t="n">
        <f aca="false">ABS(K257)+MAX(ABS(N257),ABS(O257))+MAX(ABS(P257),ABS(Q257))</f>
        <v>0</v>
      </c>
      <c r="T257" s="18" t="n">
        <f aca="false">MAX(ABS(E257),ABS(F257))</f>
        <v>0</v>
      </c>
      <c r="U257" s="18" t="n">
        <f aca="false">MAX(ABS(L257),ABS(M257))</f>
        <v>0</v>
      </c>
    </row>
    <row r="258" customFormat="false" ht="15" hidden="false" customHeight="false" outlineLevel="0" collapsed="false">
      <c r="A258" s="4" t="n">
        <v>275</v>
      </c>
      <c r="B258" s="4" t="n">
        <v>52</v>
      </c>
      <c r="C258" s="18" t="n">
        <v>0.75</v>
      </c>
      <c r="D258" s="21" t="n">
        <v>0</v>
      </c>
      <c r="E258" s="21" t="n">
        <v>0</v>
      </c>
      <c r="F258" s="21" t="n">
        <v>0</v>
      </c>
      <c r="G258" s="21" t="n">
        <v>0</v>
      </c>
      <c r="H258" s="21" t="n">
        <v>0</v>
      </c>
      <c r="I258" s="21" t="n">
        <v>0</v>
      </c>
      <c r="J258" s="21" t="n">
        <v>0</v>
      </c>
      <c r="K258" s="21" t="n">
        <v>0</v>
      </c>
      <c r="L258" s="21" t="n">
        <v>0</v>
      </c>
      <c r="M258" s="21" t="n">
        <v>0</v>
      </c>
      <c r="N258" s="21" t="n">
        <v>0</v>
      </c>
      <c r="O258" s="21" t="n">
        <v>0</v>
      </c>
      <c r="P258" s="21" t="n">
        <v>0</v>
      </c>
      <c r="Q258" s="21" t="n">
        <v>0</v>
      </c>
      <c r="R258" s="18" t="n">
        <f aca="false">ABS(D258)+MAX(ABS(G258),ABS(H258))+MAX(ABS(I258),ABS(J258))</f>
        <v>0</v>
      </c>
      <c r="S258" s="18" t="n">
        <f aca="false">ABS(K258)+MAX(ABS(N258),ABS(O258))+MAX(ABS(P258),ABS(Q258))</f>
        <v>0</v>
      </c>
      <c r="T258" s="18" t="n">
        <f aca="false">MAX(ABS(E258),ABS(F258))</f>
        <v>0</v>
      </c>
      <c r="U258" s="18" t="n">
        <f aca="false">MAX(ABS(L258),ABS(M258))</f>
        <v>0</v>
      </c>
    </row>
    <row r="259" customFormat="false" ht="15" hidden="false" customHeight="false" outlineLevel="0" collapsed="false">
      <c r="A259" s="4" t="n">
        <v>275</v>
      </c>
      <c r="B259" s="4" t="n">
        <v>52</v>
      </c>
      <c r="C259" s="18" t="n">
        <v>1</v>
      </c>
      <c r="D259" s="21" t="n">
        <v>0</v>
      </c>
      <c r="E259" s="21" t="n">
        <v>0</v>
      </c>
      <c r="F259" s="21" t="n">
        <v>0</v>
      </c>
      <c r="G259" s="21" t="n">
        <v>0</v>
      </c>
      <c r="H259" s="21" t="n">
        <v>0</v>
      </c>
      <c r="I259" s="21" t="n">
        <v>0</v>
      </c>
      <c r="J259" s="21" t="n">
        <v>0</v>
      </c>
      <c r="K259" s="21" t="n">
        <v>0</v>
      </c>
      <c r="L259" s="21" t="n">
        <v>0</v>
      </c>
      <c r="M259" s="21" t="n">
        <v>0</v>
      </c>
      <c r="N259" s="21" t="n">
        <v>0</v>
      </c>
      <c r="O259" s="21" t="n">
        <v>0</v>
      </c>
      <c r="P259" s="21" t="n">
        <v>0</v>
      </c>
      <c r="Q259" s="21" t="n">
        <v>0</v>
      </c>
      <c r="R259" s="18" t="n">
        <f aca="false">ABS(D259)+MAX(ABS(G259),ABS(H259))+MAX(ABS(I259),ABS(J259))</f>
        <v>0</v>
      </c>
      <c r="S259" s="18" t="n">
        <f aca="false">ABS(K259)+MAX(ABS(N259),ABS(O259))+MAX(ABS(P259),ABS(Q259))</f>
        <v>0</v>
      </c>
      <c r="T259" s="18" t="n">
        <f aca="false">MAX(ABS(E259),ABS(F259))</f>
        <v>0</v>
      </c>
      <c r="U259" s="18" t="n">
        <f aca="false">MAX(ABS(L259),ABS(M259))</f>
        <v>0</v>
      </c>
    </row>
    <row r="260" customFormat="false" ht="15" hidden="false" customHeight="false" outlineLevel="0" collapsed="false">
      <c r="A260" s="4" t="n">
        <v>276</v>
      </c>
      <c r="B260" s="4" t="n">
        <v>53</v>
      </c>
      <c r="C260" s="18" t="n">
        <v>0</v>
      </c>
      <c r="D260" s="21" t="n">
        <v>0</v>
      </c>
      <c r="E260" s="21" t="n">
        <v>0</v>
      </c>
      <c r="F260" s="21" t="n">
        <v>0</v>
      </c>
      <c r="G260" s="21" t="n">
        <v>0</v>
      </c>
      <c r="H260" s="21" t="n">
        <v>0</v>
      </c>
      <c r="I260" s="21" t="n">
        <v>0</v>
      </c>
      <c r="J260" s="21" t="n">
        <v>0</v>
      </c>
      <c r="K260" s="21" t="n">
        <v>0</v>
      </c>
      <c r="L260" s="21" t="n">
        <v>0</v>
      </c>
      <c r="M260" s="21" t="n">
        <v>0</v>
      </c>
      <c r="N260" s="21" t="n">
        <v>0</v>
      </c>
      <c r="O260" s="21" t="n">
        <v>0</v>
      </c>
      <c r="P260" s="21" t="n">
        <v>0</v>
      </c>
      <c r="Q260" s="21" t="n">
        <v>0</v>
      </c>
      <c r="R260" s="18" t="n">
        <f aca="false">ABS(D260)+MAX(ABS(G260),ABS(H260))+MAX(ABS(I260),ABS(J260))</f>
        <v>0</v>
      </c>
      <c r="S260" s="18" t="n">
        <f aca="false">ABS(K260)+MAX(ABS(N260),ABS(O260))+MAX(ABS(P260),ABS(Q260))</f>
        <v>0</v>
      </c>
      <c r="T260" s="18" t="n">
        <f aca="false">MAX(ABS(E260),ABS(F260))</f>
        <v>0</v>
      </c>
      <c r="U260" s="18" t="n">
        <f aca="false">MAX(ABS(L260),ABS(M260))</f>
        <v>0</v>
      </c>
    </row>
    <row r="261" customFormat="false" ht="15" hidden="false" customHeight="false" outlineLevel="0" collapsed="false">
      <c r="A261" s="4" t="n">
        <v>276</v>
      </c>
      <c r="B261" s="4" t="n">
        <v>53</v>
      </c>
      <c r="C261" s="18" t="n">
        <v>0.25</v>
      </c>
      <c r="D261" s="21" t="n">
        <v>0</v>
      </c>
      <c r="E261" s="21" t="n">
        <v>0</v>
      </c>
      <c r="F261" s="21" t="n">
        <v>0</v>
      </c>
      <c r="G261" s="21" t="n">
        <v>0</v>
      </c>
      <c r="H261" s="21" t="n">
        <v>0</v>
      </c>
      <c r="I261" s="21" t="n">
        <v>0</v>
      </c>
      <c r="J261" s="21" t="n">
        <v>0</v>
      </c>
      <c r="K261" s="21" t="n">
        <v>0</v>
      </c>
      <c r="L261" s="21" t="n">
        <v>0</v>
      </c>
      <c r="M261" s="21" t="n">
        <v>0</v>
      </c>
      <c r="N261" s="21" t="n">
        <v>0</v>
      </c>
      <c r="O261" s="21" t="n">
        <v>0</v>
      </c>
      <c r="P261" s="21" t="n">
        <v>0</v>
      </c>
      <c r="Q261" s="21" t="n">
        <v>0</v>
      </c>
      <c r="R261" s="18" t="n">
        <f aca="false">ABS(D261)+MAX(ABS(G261),ABS(H261))+MAX(ABS(I261),ABS(J261))</f>
        <v>0</v>
      </c>
      <c r="S261" s="18" t="n">
        <f aca="false">ABS(K261)+MAX(ABS(N261),ABS(O261))+MAX(ABS(P261),ABS(Q261))</f>
        <v>0</v>
      </c>
      <c r="T261" s="18" t="n">
        <f aca="false">MAX(ABS(E261),ABS(F261))</f>
        <v>0</v>
      </c>
      <c r="U261" s="18" t="n">
        <f aca="false">MAX(ABS(L261),ABS(M261))</f>
        <v>0</v>
      </c>
    </row>
    <row r="262" customFormat="false" ht="15" hidden="false" customHeight="false" outlineLevel="0" collapsed="false">
      <c r="A262" s="4" t="n">
        <v>276</v>
      </c>
      <c r="B262" s="4" t="n">
        <v>53</v>
      </c>
      <c r="C262" s="18" t="n">
        <v>0.5</v>
      </c>
      <c r="D262" s="21" t="n">
        <v>0</v>
      </c>
      <c r="E262" s="21" t="n">
        <v>0</v>
      </c>
      <c r="F262" s="21" t="n">
        <v>0</v>
      </c>
      <c r="G262" s="21" t="n">
        <v>0</v>
      </c>
      <c r="H262" s="21" t="n">
        <v>0</v>
      </c>
      <c r="I262" s="21" t="n">
        <v>0</v>
      </c>
      <c r="J262" s="21" t="n">
        <v>0</v>
      </c>
      <c r="K262" s="21" t="n">
        <v>0</v>
      </c>
      <c r="L262" s="21" t="n">
        <v>0</v>
      </c>
      <c r="M262" s="21" t="n">
        <v>0</v>
      </c>
      <c r="N262" s="21" t="n">
        <v>0</v>
      </c>
      <c r="O262" s="21" t="n">
        <v>0</v>
      </c>
      <c r="P262" s="21" t="n">
        <v>0</v>
      </c>
      <c r="Q262" s="21" t="n">
        <v>0</v>
      </c>
      <c r="R262" s="18" t="n">
        <f aca="false">ABS(D262)+MAX(ABS(G262),ABS(H262))+MAX(ABS(I262),ABS(J262))</f>
        <v>0</v>
      </c>
      <c r="S262" s="18" t="n">
        <f aca="false">ABS(K262)+MAX(ABS(N262),ABS(O262))+MAX(ABS(P262),ABS(Q262))</f>
        <v>0</v>
      </c>
      <c r="T262" s="18" t="n">
        <f aca="false">MAX(ABS(E262),ABS(F262))</f>
        <v>0</v>
      </c>
      <c r="U262" s="18" t="n">
        <f aca="false">MAX(ABS(L262),ABS(M262))</f>
        <v>0</v>
      </c>
    </row>
    <row r="263" customFormat="false" ht="15" hidden="false" customHeight="false" outlineLevel="0" collapsed="false">
      <c r="A263" s="4" t="n">
        <v>276</v>
      </c>
      <c r="B263" s="4" t="n">
        <v>53</v>
      </c>
      <c r="C263" s="18" t="n">
        <v>0.75</v>
      </c>
      <c r="D263" s="21" t="n">
        <v>0</v>
      </c>
      <c r="E263" s="21" t="n">
        <v>0</v>
      </c>
      <c r="F263" s="21" t="n">
        <v>0</v>
      </c>
      <c r="G263" s="21" t="n">
        <v>0</v>
      </c>
      <c r="H263" s="21" t="n">
        <v>0</v>
      </c>
      <c r="I263" s="21" t="n">
        <v>0</v>
      </c>
      <c r="J263" s="21" t="n">
        <v>0</v>
      </c>
      <c r="K263" s="21" t="n">
        <v>0</v>
      </c>
      <c r="L263" s="21" t="n">
        <v>0</v>
      </c>
      <c r="M263" s="21" t="n">
        <v>0</v>
      </c>
      <c r="N263" s="21" t="n">
        <v>0</v>
      </c>
      <c r="O263" s="21" t="n">
        <v>0</v>
      </c>
      <c r="P263" s="21" t="n">
        <v>0</v>
      </c>
      <c r="Q263" s="21" t="n">
        <v>0</v>
      </c>
      <c r="R263" s="18" t="n">
        <f aca="false">ABS(D263)+MAX(ABS(G263),ABS(H263))+MAX(ABS(I263),ABS(J263))</f>
        <v>0</v>
      </c>
      <c r="S263" s="18" t="n">
        <f aca="false">ABS(K263)+MAX(ABS(N263),ABS(O263))+MAX(ABS(P263),ABS(Q263))</f>
        <v>0</v>
      </c>
      <c r="T263" s="18" t="n">
        <f aca="false">MAX(ABS(E263),ABS(F263))</f>
        <v>0</v>
      </c>
      <c r="U263" s="18" t="n">
        <f aca="false">MAX(ABS(L263),ABS(M263))</f>
        <v>0</v>
      </c>
    </row>
    <row r="264" customFormat="false" ht="15" hidden="false" customHeight="false" outlineLevel="0" collapsed="false">
      <c r="A264" s="4" t="n">
        <v>276</v>
      </c>
      <c r="B264" s="4" t="n">
        <v>53</v>
      </c>
      <c r="C264" s="18" t="n">
        <v>1</v>
      </c>
      <c r="D264" s="21" t="n">
        <v>0</v>
      </c>
      <c r="E264" s="21" t="n">
        <v>0</v>
      </c>
      <c r="F264" s="21" t="n">
        <v>0</v>
      </c>
      <c r="G264" s="21" t="n">
        <v>0</v>
      </c>
      <c r="H264" s="21" t="n">
        <v>0</v>
      </c>
      <c r="I264" s="21" t="n">
        <v>0</v>
      </c>
      <c r="J264" s="21" t="n">
        <v>0</v>
      </c>
      <c r="K264" s="21" t="n">
        <v>0</v>
      </c>
      <c r="L264" s="21" t="n">
        <v>0</v>
      </c>
      <c r="M264" s="21" t="n">
        <v>0</v>
      </c>
      <c r="N264" s="21" t="n">
        <v>0</v>
      </c>
      <c r="O264" s="21" t="n">
        <v>0</v>
      </c>
      <c r="P264" s="21" t="n">
        <v>0</v>
      </c>
      <c r="Q264" s="21" t="n">
        <v>0</v>
      </c>
      <c r="R264" s="18" t="n">
        <f aca="false">ABS(D264)+MAX(ABS(G264),ABS(H264))+MAX(ABS(I264),ABS(J264))</f>
        <v>0</v>
      </c>
      <c r="S264" s="18" t="n">
        <f aca="false">ABS(K264)+MAX(ABS(N264),ABS(O264))+MAX(ABS(P264),ABS(Q264))</f>
        <v>0</v>
      </c>
      <c r="T264" s="18" t="n">
        <f aca="false">MAX(ABS(E264),ABS(F264))</f>
        <v>0</v>
      </c>
      <c r="U264" s="18" t="n">
        <f aca="false">MAX(ABS(L264),ABS(M264))</f>
        <v>0</v>
      </c>
    </row>
    <row r="265" customFormat="false" ht="15" hidden="false" customHeight="false" outlineLevel="0" collapsed="false">
      <c r="A265" s="4" t="n">
        <v>277</v>
      </c>
      <c r="B265" s="4" t="n">
        <v>54</v>
      </c>
      <c r="C265" s="18" t="n">
        <v>0</v>
      </c>
      <c r="D265" s="21" t="n">
        <v>0</v>
      </c>
      <c r="E265" s="21" t="n">
        <v>0</v>
      </c>
      <c r="F265" s="21" t="n">
        <v>0</v>
      </c>
      <c r="G265" s="21" t="n">
        <v>0</v>
      </c>
      <c r="H265" s="21" t="n">
        <v>0</v>
      </c>
      <c r="I265" s="21" t="n">
        <v>0</v>
      </c>
      <c r="J265" s="21" t="n">
        <v>0</v>
      </c>
      <c r="K265" s="21" t="n">
        <v>0</v>
      </c>
      <c r="L265" s="21" t="n">
        <v>0</v>
      </c>
      <c r="M265" s="21" t="n">
        <v>0</v>
      </c>
      <c r="N265" s="21" t="n">
        <v>0</v>
      </c>
      <c r="O265" s="21" t="n">
        <v>0</v>
      </c>
      <c r="P265" s="21" t="n">
        <v>0</v>
      </c>
      <c r="Q265" s="21" t="n">
        <v>0</v>
      </c>
      <c r="R265" s="18" t="n">
        <f aca="false">ABS(D265)+MAX(ABS(G265),ABS(H265))+MAX(ABS(I265),ABS(J265))</f>
        <v>0</v>
      </c>
      <c r="S265" s="18" t="n">
        <f aca="false">ABS(K265)+MAX(ABS(N265),ABS(O265))+MAX(ABS(P265),ABS(Q265))</f>
        <v>0</v>
      </c>
      <c r="T265" s="18" t="n">
        <f aca="false">MAX(ABS(E265),ABS(F265))</f>
        <v>0</v>
      </c>
      <c r="U265" s="18" t="n">
        <f aca="false">MAX(ABS(L265),ABS(M265))</f>
        <v>0</v>
      </c>
    </row>
    <row r="266" customFormat="false" ht="15" hidden="false" customHeight="false" outlineLevel="0" collapsed="false">
      <c r="A266" s="4" t="n">
        <v>277</v>
      </c>
      <c r="B266" s="4" t="n">
        <v>54</v>
      </c>
      <c r="C266" s="18" t="n">
        <v>0.25</v>
      </c>
      <c r="D266" s="21" t="n">
        <v>0</v>
      </c>
      <c r="E266" s="21" t="n">
        <v>0</v>
      </c>
      <c r="F266" s="21" t="n">
        <v>0</v>
      </c>
      <c r="G266" s="21" t="n">
        <v>0</v>
      </c>
      <c r="H266" s="21" t="n">
        <v>0</v>
      </c>
      <c r="I266" s="21" t="n">
        <v>0</v>
      </c>
      <c r="J266" s="21" t="n">
        <v>0</v>
      </c>
      <c r="K266" s="21" t="n">
        <v>0</v>
      </c>
      <c r="L266" s="21" t="n">
        <v>0</v>
      </c>
      <c r="M266" s="21" t="n">
        <v>0</v>
      </c>
      <c r="N266" s="21" t="n">
        <v>0</v>
      </c>
      <c r="O266" s="21" t="n">
        <v>0</v>
      </c>
      <c r="P266" s="21" t="n">
        <v>0</v>
      </c>
      <c r="Q266" s="21" t="n">
        <v>0</v>
      </c>
      <c r="R266" s="18" t="n">
        <f aca="false">ABS(D266)+MAX(ABS(G266),ABS(H266))+MAX(ABS(I266),ABS(J266))</f>
        <v>0</v>
      </c>
      <c r="S266" s="18" t="n">
        <f aca="false">ABS(K266)+MAX(ABS(N266),ABS(O266))+MAX(ABS(P266),ABS(Q266))</f>
        <v>0</v>
      </c>
      <c r="T266" s="18" t="n">
        <f aca="false">MAX(ABS(E266),ABS(F266))</f>
        <v>0</v>
      </c>
      <c r="U266" s="18" t="n">
        <f aca="false">MAX(ABS(L266),ABS(M266))</f>
        <v>0</v>
      </c>
    </row>
    <row r="267" customFormat="false" ht="15" hidden="false" customHeight="false" outlineLevel="0" collapsed="false">
      <c r="A267" s="4" t="n">
        <v>277</v>
      </c>
      <c r="B267" s="4" t="n">
        <v>54</v>
      </c>
      <c r="C267" s="18" t="n">
        <v>0.5</v>
      </c>
      <c r="D267" s="21" t="n">
        <v>0</v>
      </c>
      <c r="E267" s="21" t="n">
        <v>0</v>
      </c>
      <c r="F267" s="21" t="n">
        <v>0</v>
      </c>
      <c r="G267" s="21" t="n">
        <v>0</v>
      </c>
      <c r="H267" s="21" t="n">
        <v>0</v>
      </c>
      <c r="I267" s="21" t="n">
        <v>0</v>
      </c>
      <c r="J267" s="21" t="n">
        <v>0</v>
      </c>
      <c r="K267" s="21" t="n">
        <v>0</v>
      </c>
      <c r="L267" s="21" t="n">
        <v>0</v>
      </c>
      <c r="M267" s="21" t="n">
        <v>0</v>
      </c>
      <c r="N267" s="21" t="n">
        <v>0</v>
      </c>
      <c r="O267" s="21" t="n">
        <v>0</v>
      </c>
      <c r="P267" s="21" t="n">
        <v>0</v>
      </c>
      <c r="Q267" s="21" t="n">
        <v>0</v>
      </c>
      <c r="R267" s="18" t="n">
        <f aca="false">ABS(D267)+MAX(ABS(G267),ABS(H267))+MAX(ABS(I267),ABS(J267))</f>
        <v>0</v>
      </c>
      <c r="S267" s="18" t="n">
        <f aca="false">ABS(K267)+MAX(ABS(N267),ABS(O267))+MAX(ABS(P267),ABS(Q267))</f>
        <v>0</v>
      </c>
      <c r="T267" s="18" t="n">
        <f aca="false">MAX(ABS(E267),ABS(F267))</f>
        <v>0</v>
      </c>
      <c r="U267" s="18" t="n">
        <f aca="false">MAX(ABS(L267),ABS(M267))</f>
        <v>0</v>
      </c>
    </row>
    <row r="268" customFormat="false" ht="15" hidden="false" customHeight="false" outlineLevel="0" collapsed="false">
      <c r="A268" s="4" t="n">
        <v>277</v>
      </c>
      <c r="B268" s="4" t="n">
        <v>54</v>
      </c>
      <c r="C268" s="18" t="n">
        <v>0.75</v>
      </c>
      <c r="D268" s="21" t="n">
        <v>0</v>
      </c>
      <c r="E268" s="21" t="n">
        <v>0</v>
      </c>
      <c r="F268" s="21" t="n">
        <v>0</v>
      </c>
      <c r="G268" s="21" t="n">
        <v>0</v>
      </c>
      <c r="H268" s="21" t="n">
        <v>0</v>
      </c>
      <c r="I268" s="21" t="n">
        <v>0</v>
      </c>
      <c r="J268" s="21" t="n">
        <v>0</v>
      </c>
      <c r="K268" s="21" t="n">
        <v>0</v>
      </c>
      <c r="L268" s="21" t="n">
        <v>0</v>
      </c>
      <c r="M268" s="21" t="n">
        <v>0</v>
      </c>
      <c r="N268" s="21" t="n">
        <v>0</v>
      </c>
      <c r="O268" s="21" t="n">
        <v>0</v>
      </c>
      <c r="P268" s="21" t="n">
        <v>0</v>
      </c>
      <c r="Q268" s="21" t="n">
        <v>0</v>
      </c>
      <c r="R268" s="18" t="n">
        <f aca="false">ABS(D268)+MAX(ABS(G268),ABS(H268))+MAX(ABS(I268),ABS(J268))</f>
        <v>0</v>
      </c>
      <c r="S268" s="18" t="n">
        <f aca="false">ABS(K268)+MAX(ABS(N268),ABS(O268))+MAX(ABS(P268),ABS(Q268))</f>
        <v>0</v>
      </c>
      <c r="T268" s="18" t="n">
        <f aca="false">MAX(ABS(E268),ABS(F268))</f>
        <v>0</v>
      </c>
      <c r="U268" s="18" t="n">
        <f aca="false">MAX(ABS(L268),ABS(M268))</f>
        <v>0</v>
      </c>
    </row>
    <row r="269" customFormat="false" ht="15" hidden="false" customHeight="false" outlineLevel="0" collapsed="false">
      <c r="A269" s="4" t="n">
        <v>277</v>
      </c>
      <c r="B269" s="4" t="n">
        <v>54</v>
      </c>
      <c r="C269" s="18" t="n">
        <v>1</v>
      </c>
      <c r="D269" s="21" t="n">
        <v>0</v>
      </c>
      <c r="E269" s="21" t="n">
        <v>0</v>
      </c>
      <c r="F269" s="21" t="n">
        <v>0</v>
      </c>
      <c r="G269" s="21" t="n">
        <v>0</v>
      </c>
      <c r="H269" s="21" t="n">
        <v>0</v>
      </c>
      <c r="I269" s="21" t="n">
        <v>0</v>
      </c>
      <c r="J269" s="21" t="n">
        <v>0</v>
      </c>
      <c r="K269" s="21" t="n">
        <v>0</v>
      </c>
      <c r="L269" s="21" t="n">
        <v>0</v>
      </c>
      <c r="M269" s="21" t="n">
        <v>0</v>
      </c>
      <c r="N269" s="21" t="n">
        <v>0</v>
      </c>
      <c r="O269" s="21" t="n">
        <v>0</v>
      </c>
      <c r="P269" s="21" t="n">
        <v>0</v>
      </c>
      <c r="Q269" s="21" t="n">
        <v>0</v>
      </c>
      <c r="R269" s="18" t="n">
        <f aca="false">ABS(D269)+MAX(ABS(G269),ABS(H269))+MAX(ABS(I269),ABS(J269))</f>
        <v>0</v>
      </c>
      <c r="S269" s="18" t="n">
        <f aca="false">ABS(K269)+MAX(ABS(N269),ABS(O269))+MAX(ABS(P269),ABS(Q269))</f>
        <v>0</v>
      </c>
      <c r="T269" s="18" t="n">
        <f aca="false">MAX(ABS(E269),ABS(F269))</f>
        <v>0</v>
      </c>
      <c r="U269" s="18" t="n">
        <f aca="false">MAX(ABS(L269),ABS(M269))</f>
        <v>0</v>
      </c>
    </row>
    <row r="270" customFormat="false" ht="15" hidden="false" customHeight="false" outlineLevel="0" collapsed="false">
      <c r="A270" s="4" t="n">
        <v>278</v>
      </c>
      <c r="B270" s="4" t="n">
        <v>55</v>
      </c>
      <c r="C270" s="18" t="n">
        <v>0</v>
      </c>
      <c r="D270" s="21" t="n">
        <v>0</v>
      </c>
      <c r="E270" s="21" t="n">
        <v>0</v>
      </c>
      <c r="F270" s="21" t="n">
        <v>0.03</v>
      </c>
      <c r="G270" s="21" t="n">
        <v>0.01</v>
      </c>
      <c r="H270" s="21" t="n">
        <v>-0.01</v>
      </c>
      <c r="I270" s="21" t="n">
        <v>-0.01</v>
      </c>
      <c r="J270" s="21" t="n">
        <v>0.01</v>
      </c>
      <c r="K270" s="21" t="n">
        <v>0</v>
      </c>
      <c r="L270" s="21" t="n">
        <v>0</v>
      </c>
      <c r="M270" s="21" t="n">
        <v>0.03</v>
      </c>
      <c r="N270" s="21" t="n">
        <v>0.02</v>
      </c>
      <c r="O270" s="21" t="n">
        <v>-0.02</v>
      </c>
      <c r="P270" s="21" t="n">
        <v>0.02</v>
      </c>
      <c r="Q270" s="21" t="n">
        <v>-0.02</v>
      </c>
      <c r="R270" s="18" t="n">
        <f aca="false">ABS(D270)+MAX(ABS(G270),ABS(H270))+MAX(ABS(I270),ABS(J270))</f>
        <v>0.02</v>
      </c>
      <c r="S270" s="18" t="n">
        <f aca="false">ABS(K270)+MAX(ABS(N270),ABS(O270))+MAX(ABS(P270),ABS(Q270))</f>
        <v>0.04</v>
      </c>
      <c r="T270" s="18" t="n">
        <f aca="false">MAX(ABS(E270),ABS(F270))</f>
        <v>0.03</v>
      </c>
      <c r="U270" s="18" t="n">
        <f aca="false">MAX(ABS(L270),ABS(M270))</f>
        <v>0.03</v>
      </c>
    </row>
    <row r="271" customFormat="false" ht="15" hidden="false" customHeight="false" outlineLevel="0" collapsed="false">
      <c r="A271" s="4" t="n">
        <v>278</v>
      </c>
      <c r="B271" s="4" t="n">
        <v>55</v>
      </c>
      <c r="C271" s="18" t="n">
        <v>0.25</v>
      </c>
      <c r="D271" s="21" t="n">
        <v>0</v>
      </c>
      <c r="E271" s="21" t="n">
        <v>0</v>
      </c>
      <c r="F271" s="21" t="n">
        <v>0.03</v>
      </c>
      <c r="G271" s="21" t="n">
        <v>0.01</v>
      </c>
      <c r="H271" s="21" t="n">
        <v>-0.01</v>
      </c>
      <c r="I271" s="21" t="n">
        <v>0.01</v>
      </c>
      <c r="J271" s="21" t="n">
        <v>-0.01</v>
      </c>
      <c r="K271" s="21" t="n">
        <v>0</v>
      </c>
      <c r="L271" s="21" t="n">
        <v>0</v>
      </c>
      <c r="M271" s="21" t="n">
        <v>0.02</v>
      </c>
      <c r="N271" s="21" t="n">
        <v>0.02</v>
      </c>
      <c r="O271" s="21" t="n">
        <v>-0.02</v>
      </c>
      <c r="P271" s="21" t="n">
        <v>0.03</v>
      </c>
      <c r="Q271" s="21" t="n">
        <v>-0.03</v>
      </c>
      <c r="R271" s="18" t="n">
        <f aca="false">ABS(D271)+MAX(ABS(G271),ABS(H271))+MAX(ABS(I271),ABS(J271))</f>
        <v>0.02</v>
      </c>
      <c r="S271" s="18" t="n">
        <f aca="false">ABS(K271)+MAX(ABS(N271),ABS(O271))+MAX(ABS(P271),ABS(Q271))</f>
        <v>0.05</v>
      </c>
      <c r="T271" s="18" t="n">
        <f aca="false">MAX(ABS(E271),ABS(F271))</f>
        <v>0.03</v>
      </c>
      <c r="U271" s="18" t="n">
        <f aca="false">MAX(ABS(L271),ABS(M271))</f>
        <v>0.02</v>
      </c>
    </row>
    <row r="272" customFormat="false" ht="15" hidden="false" customHeight="false" outlineLevel="0" collapsed="false">
      <c r="A272" s="4" t="n">
        <v>278</v>
      </c>
      <c r="B272" s="4" t="n">
        <v>55</v>
      </c>
      <c r="C272" s="18" t="n">
        <v>0.5</v>
      </c>
      <c r="D272" s="21" t="n">
        <v>0</v>
      </c>
      <c r="E272" s="21" t="n">
        <v>0</v>
      </c>
      <c r="F272" s="21" t="n">
        <v>0.03</v>
      </c>
      <c r="G272" s="21" t="n">
        <v>0.01</v>
      </c>
      <c r="H272" s="21" t="n">
        <v>-0.01</v>
      </c>
      <c r="I272" s="21" t="n">
        <v>0.02</v>
      </c>
      <c r="J272" s="21" t="n">
        <v>-0.02</v>
      </c>
      <c r="K272" s="21" t="n">
        <v>0</v>
      </c>
      <c r="L272" s="21" t="n">
        <v>0</v>
      </c>
      <c r="M272" s="21" t="n">
        <v>0.02</v>
      </c>
      <c r="N272" s="21" t="n">
        <v>0.02</v>
      </c>
      <c r="O272" s="21" t="n">
        <v>-0.02</v>
      </c>
      <c r="P272" s="21" t="n">
        <v>0.04</v>
      </c>
      <c r="Q272" s="21" t="n">
        <v>-0.04</v>
      </c>
      <c r="R272" s="18" t="n">
        <f aca="false">ABS(D272)+MAX(ABS(G272),ABS(H272))+MAX(ABS(I272),ABS(J272))</f>
        <v>0.03</v>
      </c>
      <c r="S272" s="18" t="n">
        <f aca="false">ABS(K272)+MAX(ABS(N272),ABS(O272))+MAX(ABS(P272),ABS(Q272))</f>
        <v>0.06</v>
      </c>
      <c r="T272" s="18" t="n">
        <f aca="false">MAX(ABS(E272),ABS(F272))</f>
        <v>0.03</v>
      </c>
      <c r="U272" s="18" t="n">
        <f aca="false">MAX(ABS(L272),ABS(M272))</f>
        <v>0.02</v>
      </c>
    </row>
    <row r="273" customFormat="false" ht="15" hidden="false" customHeight="false" outlineLevel="0" collapsed="false">
      <c r="A273" s="4" t="n">
        <v>278</v>
      </c>
      <c r="B273" s="4" t="n">
        <v>55</v>
      </c>
      <c r="C273" s="18" t="n">
        <v>0.75</v>
      </c>
      <c r="D273" s="21" t="n">
        <v>0</v>
      </c>
      <c r="E273" s="21" t="n">
        <v>0</v>
      </c>
      <c r="F273" s="21" t="n">
        <v>0.02</v>
      </c>
      <c r="G273" s="21" t="n">
        <v>0.01</v>
      </c>
      <c r="H273" s="21" t="n">
        <v>-0.01</v>
      </c>
      <c r="I273" s="21" t="n">
        <v>0.03</v>
      </c>
      <c r="J273" s="21" t="n">
        <v>-0.03</v>
      </c>
      <c r="K273" s="21" t="n">
        <v>0</v>
      </c>
      <c r="L273" s="21" t="n">
        <v>0</v>
      </c>
      <c r="M273" s="21" t="n">
        <v>0.02</v>
      </c>
      <c r="N273" s="21" t="n">
        <v>0.01</v>
      </c>
      <c r="O273" s="21" t="n">
        <v>-0.01</v>
      </c>
      <c r="P273" s="21" t="n">
        <v>0.06</v>
      </c>
      <c r="Q273" s="21" t="n">
        <v>-0.06</v>
      </c>
      <c r="R273" s="18" t="n">
        <f aca="false">ABS(D273)+MAX(ABS(G273),ABS(H273))+MAX(ABS(I273),ABS(J273))</f>
        <v>0.04</v>
      </c>
      <c r="S273" s="18" t="n">
        <f aca="false">ABS(K273)+MAX(ABS(N273),ABS(O273))+MAX(ABS(P273),ABS(Q273))</f>
        <v>0.07</v>
      </c>
      <c r="T273" s="18" t="n">
        <f aca="false">MAX(ABS(E273),ABS(F273))</f>
        <v>0.02</v>
      </c>
      <c r="U273" s="18" t="n">
        <f aca="false">MAX(ABS(L273),ABS(M273))</f>
        <v>0.02</v>
      </c>
    </row>
    <row r="274" customFormat="false" ht="15" hidden="false" customHeight="false" outlineLevel="0" collapsed="false">
      <c r="A274" s="4" t="n">
        <v>278</v>
      </c>
      <c r="B274" s="4" t="n">
        <v>55</v>
      </c>
      <c r="C274" s="18" t="n">
        <v>1</v>
      </c>
      <c r="D274" s="21" t="n">
        <v>0</v>
      </c>
      <c r="E274" s="21" t="n">
        <v>0</v>
      </c>
      <c r="F274" s="21" t="n">
        <v>0.02</v>
      </c>
      <c r="G274" s="21" t="n">
        <v>0.01</v>
      </c>
      <c r="H274" s="21" t="n">
        <v>-0.01</v>
      </c>
      <c r="I274" s="21" t="n">
        <v>0.04</v>
      </c>
      <c r="J274" s="21" t="n">
        <v>-0.04</v>
      </c>
      <c r="K274" s="21" t="n">
        <v>0</v>
      </c>
      <c r="L274" s="21" t="n">
        <v>0</v>
      </c>
      <c r="M274" s="21" t="n">
        <v>0.02</v>
      </c>
      <c r="N274" s="21" t="n">
        <v>0.01</v>
      </c>
      <c r="O274" s="21" t="n">
        <v>-0.01</v>
      </c>
      <c r="P274" s="21" t="n">
        <v>0.07</v>
      </c>
      <c r="Q274" s="21" t="n">
        <v>-0.07</v>
      </c>
      <c r="R274" s="18" t="n">
        <f aca="false">ABS(D274)+MAX(ABS(G274),ABS(H274))+MAX(ABS(I274),ABS(J274))</f>
        <v>0.05</v>
      </c>
      <c r="S274" s="18" t="n">
        <f aca="false">ABS(K274)+MAX(ABS(N274),ABS(O274))+MAX(ABS(P274),ABS(Q274))</f>
        <v>0.08</v>
      </c>
      <c r="T274" s="18" t="n">
        <f aca="false">MAX(ABS(E274),ABS(F274))</f>
        <v>0.02</v>
      </c>
      <c r="U274" s="18" t="n">
        <f aca="false">MAX(ABS(L274),ABS(M274))</f>
        <v>0.02</v>
      </c>
    </row>
    <row r="275" customFormat="false" ht="15" hidden="false" customHeight="false" outlineLevel="0" collapsed="false">
      <c r="A275" s="4" t="n">
        <v>279</v>
      </c>
      <c r="B275" s="4" t="n">
        <v>56</v>
      </c>
      <c r="C275" s="18" t="n">
        <v>0</v>
      </c>
      <c r="D275" s="21" t="n">
        <v>0</v>
      </c>
      <c r="E275" s="21" t="n">
        <v>0</v>
      </c>
      <c r="F275" s="21" t="n">
        <v>0</v>
      </c>
      <c r="G275" s="21" t="n">
        <v>0.01</v>
      </c>
      <c r="H275" s="21" t="n">
        <v>-0.01</v>
      </c>
      <c r="I275" s="21" t="n">
        <v>0</v>
      </c>
      <c r="J275" s="21" t="n">
        <v>0</v>
      </c>
      <c r="K275" s="21" t="n">
        <v>0</v>
      </c>
      <c r="L275" s="21" t="n">
        <v>0</v>
      </c>
      <c r="M275" s="21" t="n">
        <v>0</v>
      </c>
      <c r="N275" s="21" t="n">
        <v>0.01</v>
      </c>
      <c r="O275" s="21" t="n">
        <v>-0.01</v>
      </c>
      <c r="P275" s="21" t="n">
        <v>0</v>
      </c>
      <c r="Q275" s="21" t="n">
        <v>0</v>
      </c>
      <c r="R275" s="18" t="n">
        <f aca="false">ABS(D275)+MAX(ABS(G275),ABS(H275))+MAX(ABS(I275),ABS(J275))</f>
        <v>0.01</v>
      </c>
      <c r="S275" s="18" t="n">
        <f aca="false">ABS(K275)+MAX(ABS(N275),ABS(O275))+MAX(ABS(P275),ABS(Q275))</f>
        <v>0.01</v>
      </c>
      <c r="T275" s="18" t="n">
        <f aca="false">MAX(ABS(E275),ABS(F275))</f>
        <v>0</v>
      </c>
      <c r="U275" s="18" t="n">
        <f aca="false">MAX(ABS(L275),ABS(M275))</f>
        <v>0</v>
      </c>
    </row>
    <row r="276" customFormat="false" ht="15" hidden="false" customHeight="false" outlineLevel="0" collapsed="false">
      <c r="A276" s="4" t="n">
        <v>279</v>
      </c>
      <c r="B276" s="4" t="n">
        <v>56</v>
      </c>
      <c r="C276" s="18" t="n">
        <v>0.25</v>
      </c>
      <c r="D276" s="21" t="n">
        <v>0</v>
      </c>
      <c r="E276" s="21" t="n">
        <v>0</v>
      </c>
      <c r="F276" s="21" t="n">
        <v>0</v>
      </c>
      <c r="G276" s="21" t="n">
        <v>0.01</v>
      </c>
      <c r="H276" s="21" t="n">
        <v>-0.01</v>
      </c>
      <c r="I276" s="21" t="n">
        <v>0</v>
      </c>
      <c r="J276" s="21" t="n">
        <v>0</v>
      </c>
      <c r="K276" s="21" t="n">
        <v>0</v>
      </c>
      <c r="L276" s="21" t="n">
        <v>0</v>
      </c>
      <c r="M276" s="21" t="n">
        <v>0</v>
      </c>
      <c r="N276" s="21" t="n">
        <v>0.01</v>
      </c>
      <c r="O276" s="21" t="n">
        <v>-0.01</v>
      </c>
      <c r="P276" s="21" t="n">
        <v>0</v>
      </c>
      <c r="Q276" s="21" t="n">
        <v>0</v>
      </c>
      <c r="R276" s="18" t="n">
        <f aca="false">ABS(D276)+MAX(ABS(G276),ABS(H276))+MAX(ABS(I276),ABS(J276))</f>
        <v>0.01</v>
      </c>
      <c r="S276" s="18" t="n">
        <f aca="false">ABS(K276)+MAX(ABS(N276),ABS(O276))+MAX(ABS(P276),ABS(Q276))</f>
        <v>0.01</v>
      </c>
      <c r="T276" s="18" t="n">
        <f aca="false">MAX(ABS(E276),ABS(F276))</f>
        <v>0</v>
      </c>
      <c r="U276" s="18" t="n">
        <f aca="false">MAX(ABS(L276),ABS(M276))</f>
        <v>0</v>
      </c>
    </row>
    <row r="277" customFormat="false" ht="15" hidden="false" customHeight="false" outlineLevel="0" collapsed="false">
      <c r="A277" s="4" t="n">
        <v>279</v>
      </c>
      <c r="B277" s="4" t="n">
        <v>56</v>
      </c>
      <c r="C277" s="18" t="n">
        <v>0.5</v>
      </c>
      <c r="D277" s="21" t="n">
        <v>0</v>
      </c>
      <c r="E277" s="21" t="n">
        <v>0</v>
      </c>
      <c r="F277" s="21" t="n">
        <v>0</v>
      </c>
      <c r="G277" s="21" t="n">
        <v>0.01</v>
      </c>
      <c r="H277" s="21" t="n">
        <v>-0.01</v>
      </c>
      <c r="I277" s="21" t="n">
        <v>0</v>
      </c>
      <c r="J277" s="21" t="n">
        <v>0</v>
      </c>
      <c r="K277" s="21" t="n">
        <v>0</v>
      </c>
      <c r="L277" s="21" t="n">
        <v>0</v>
      </c>
      <c r="M277" s="21" t="n">
        <v>0</v>
      </c>
      <c r="N277" s="21" t="n">
        <v>0.01</v>
      </c>
      <c r="O277" s="21" t="n">
        <v>-0.01</v>
      </c>
      <c r="P277" s="21" t="n">
        <v>0.01</v>
      </c>
      <c r="Q277" s="21" t="n">
        <v>-0.01</v>
      </c>
      <c r="R277" s="18" t="n">
        <f aca="false">ABS(D277)+MAX(ABS(G277),ABS(H277))+MAX(ABS(I277),ABS(J277))</f>
        <v>0.01</v>
      </c>
      <c r="S277" s="18" t="n">
        <f aca="false">ABS(K277)+MAX(ABS(N277),ABS(O277))+MAX(ABS(P277),ABS(Q277))</f>
        <v>0.02</v>
      </c>
      <c r="T277" s="18" t="n">
        <f aca="false">MAX(ABS(E277),ABS(F277))</f>
        <v>0</v>
      </c>
      <c r="U277" s="18" t="n">
        <f aca="false">MAX(ABS(L277),ABS(M277))</f>
        <v>0</v>
      </c>
    </row>
    <row r="278" customFormat="false" ht="15" hidden="false" customHeight="false" outlineLevel="0" collapsed="false">
      <c r="A278" s="4" t="n">
        <v>279</v>
      </c>
      <c r="B278" s="4" t="n">
        <v>56</v>
      </c>
      <c r="C278" s="18" t="n">
        <v>0.75</v>
      </c>
      <c r="D278" s="21" t="n">
        <v>0</v>
      </c>
      <c r="E278" s="21" t="n">
        <v>0</v>
      </c>
      <c r="F278" s="21" t="n">
        <v>0</v>
      </c>
      <c r="G278" s="21" t="n">
        <v>0.01</v>
      </c>
      <c r="H278" s="21" t="n">
        <v>-0.01</v>
      </c>
      <c r="I278" s="21" t="n">
        <v>0.01</v>
      </c>
      <c r="J278" s="21" t="n">
        <v>-0.01</v>
      </c>
      <c r="K278" s="21" t="n">
        <v>0</v>
      </c>
      <c r="L278" s="21" t="n">
        <v>0</v>
      </c>
      <c r="M278" s="21" t="n">
        <v>0</v>
      </c>
      <c r="N278" s="21" t="n">
        <v>0.01</v>
      </c>
      <c r="O278" s="21" t="n">
        <v>-0.01</v>
      </c>
      <c r="P278" s="21" t="n">
        <v>0.01</v>
      </c>
      <c r="Q278" s="21" t="n">
        <v>-0.01</v>
      </c>
      <c r="R278" s="18" t="n">
        <f aca="false">ABS(D278)+MAX(ABS(G278),ABS(H278))+MAX(ABS(I278),ABS(J278))</f>
        <v>0.02</v>
      </c>
      <c r="S278" s="18" t="n">
        <f aca="false">ABS(K278)+MAX(ABS(N278),ABS(O278))+MAX(ABS(P278),ABS(Q278))</f>
        <v>0.02</v>
      </c>
      <c r="T278" s="18" t="n">
        <f aca="false">MAX(ABS(E278),ABS(F278))</f>
        <v>0</v>
      </c>
      <c r="U278" s="18" t="n">
        <f aca="false">MAX(ABS(L278),ABS(M278))</f>
        <v>0</v>
      </c>
    </row>
    <row r="279" customFormat="false" ht="15" hidden="false" customHeight="false" outlineLevel="0" collapsed="false">
      <c r="A279" s="4" t="n">
        <v>279</v>
      </c>
      <c r="B279" s="4" t="n">
        <v>56</v>
      </c>
      <c r="C279" s="18" t="n">
        <v>1</v>
      </c>
      <c r="D279" s="21" t="n">
        <v>0</v>
      </c>
      <c r="E279" s="21" t="n">
        <v>0</v>
      </c>
      <c r="F279" s="21" t="n">
        <v>0</v>
      </c>
      <c r="G279" s="21" t="n">
        <v>0.01</v>
      </c>
      <c r="H279" s="21" t="n">
        <v>-0.01</v>
      </c>
      <c r="I279" s="21" t="n">
        <v>0.01</v>
      </c>
      <c r="J279" s="21" t="n">
        <v>-0.01</v>
      </c>
      <c r="K279" s="21" t="n">
        <v>0</v>
      </c>
      <c r="L279" s="21" t="n">
        <v>0</v>
      </c>
      <c r="M279" s="21" t="n">
        <v>0</v>
      </c>
      <c r="N279" s="21" t="n">
        <v>0.01</v>
      </c>
      <c r="O279" s="21" t="n">
        <v>-0.01</v>
      </c>
      <c r="P279" s="21" t="n">
        <v>0.01</v>
      </c>
      <c r="Q279" s="21" t="n">
        <v>-0.01</v>
      </c>
      <c r="R279" s="18" t="n">
        <f aca="false">ABS(D279)+MAX(ABS(G279),ABS(H279))+MAX(ABS(I279),ABS(J279))</f>
        <v>0.02</v>
      </c>
      <c r="S279" s="18" t="n">
        <f aca="false">ABS(K279)+MAX(ABS(N279),ABS(O279))+MAX(ABS(P279),ABS(Q279))</f>
        <v>0.02</v>
      </c>
      <c r="T279" s="18" t="n">
        <f aca="false">MAX(ABS(E279),ABS(F279))</f>
        <v>0</v>
      </c>
      <c r="U279" s="18" t="n">
        <f aca="false">MAX(ABS(L279),ABS(M279))</f>
        <v>0</v>
      </c>
    </row>
    <row r="280" customFormat="false" ht="15" hidden="false" customHeight="false" outlineLevel="0" collapsed="false">
      <c r="A280" s="4" t="n">
        <v>280</v>
      </c>
      <c r="B280" s="4" t="n">
        <v>57</v>
      </c>
      <c r="C280" s="18" t="n">
        <v>0</v>
      </c>
      <c r="D280" s="21" t="n">
        <v>0</v>
      </c>
      <c r="E280" s="21" t="n">
        <v>0.09</v>
      </c>
      <c r="F280" s="21" t="n">
        <v>0.05</v>
      </c>
      <c r="G280" s="21" t="n">
        <v>0.18</v>
      </c>
      <c r="H280" s="21" t="n">
        <v>-0.18</v>
      </c>
      <c r="I280" s="21" t="n">
        <v>-0.22</v>
      </c>
      <c r="J280" s="21" t="n">
        <v>0.22</v>
      </c>
      <c r="K280" s="21" t="n">
        <v>0</v>
      </c>
      <c r="L280" s="21" t="n">
        <v>0.09</v>
      </c>
      <c r="M280" s="21" t="n">
        <v>0.04</v>
      </c>
      <c r="N280" s="21" t="n">
        <v>0.18</v>
      </c>
      <c r="O280" s="21" t="n">
        <v>-0.18</v>
      </c>
      <c r="P280" s="21" t="n">
        <v>-0.23</v>
      </c>
      <c r="Q280" s="21" t="n">
        <v>0.23</v>
      </c>
      <c r="R280" s="18" t="n">
        <f aca="false">ABS(D280)+MAX(ABS(G280),ABS(H280))+MAX(ABS(I280),ABS(J280))</f>
        <v>0.4</v>
      </c>
      <c r="S280" s="18" t="n">
        <f aca="false">ABS(K280)+MAX(ABS(N280),ABS(O280))+MAX(ABS(P280),ABS(Q280))</f>
        <v>0.41</v>
      </c>
      <c r="T280" s="18" t="n">
        <f aca="false">MAX(ABS(E280),ABS(F280))</f>
        <v>0.09</v>
      </c>
      <c r="U280" s="18" t="n">
        <f aca="false">MAX(ABS(L280),ABS(M280))</f>
        <v>0.09</v>
      </c>
    </row>
    <row r="281" customFormat="false" ht="15" hidden="false" customHeight="false" outlineLevel="0" collapsed="false">
      <c r="A281" s="4" t="n">
        <v>280</v>
      </c>
      <c r="B281" s="4" t="n">
        <v>57</v>
      </c>
      <c r="C281" s="18" t="n">
        <v>0.25</v>
      </c>
      <c r="D281" s="21" t="n">
        <v>0</v>
      </c>
      <c r="E281" s="21" t="n">
        <v>0.09</v>
      </c>
      <c r="F281" s="21" t="n">
        <v>0.05</v>
      </c>
      <c r="G281" s="21" t="n">
        <v>0.14</v>
      </c>
      <c r="H281" s="21" t="n">
        <v>-0.14</v>
      </c>
      <c r="I281" s="21" t="n">
        <v>-0.18</v>
      </c>
      <c r="J281" s="21" t="n">
        <v>0.18</v>
      </c>
      <c r="K281" s="21" t="n">
        <v>0</v>
      </c>
      <c r="L281" s="21" t="n">
        <v>0.09</v>
      </c>
      <c r="M281" s="21" t="n">
        <v>0.04</v>
      </c>
      <c r="N281" s="21" t="n">
        <v>0.15</v>
      </c>
      <c r="O281" s="21" t="n">
        <v>-0.15</v>
      </c>
      <c r="P281" s="21" t="n">
        <v>-0.19</v>
      </c>
      <c r="Q281" s="21" t="n">
        <v>0.19</v>
      </c>
      <c r="R281" s="18" t="n">
        <f aca="false">ABS(D281)+MAX(ABS(G281),ABS(H281))+MAX(ABS(I281),ABS(J281))</f>
        <v>0.32</v>
      </c>
      <c r="S281" s="18" t="n">
        <f aca="false">ABS(K281)+MAX(ABS(N281),ABS(O281))+MAX(ABS(P281),ABS(Q281))</f>
        <v>0.34</v>
      </c>
      <c r="T281" s="18" t="n">
        <f aca="false">MAX(ABS(E281),ABS(F281))</f>
        <v>0.09</v>
      </c>
      <c r="U281" s="18" t="n">
        <f aca="false">MAX(ABS(L281),ABS(M281))</f>
        <v>0.09</v>
      </c>
    </row>
    <row r="282" customFormat="false" ht="15" hidden="false" customHeight="false" outlineLevel="0" collapsed="false">
      <c r="A282" s="4" t="n">
        <v>280</v>
      </c>
      <c r="B282" s="4" t="n">
        <v>57</v>
      </c>
      <c r="C282" s="18" t="n">
        <v>0.5</v>
      </c>
      <c r="D282" s="21" t="n">
        <v>0</v>
      </c>
      <c r="E282" s="21" t="n">
        <v>0.09</v>
      </c>
      <c r="F282" s="21" t="n">
        <v>0.05</v>
      </c>
      <c r="G282" s="21" t="n">
        <v>0.1</v>
      </c>
      <c r="H282" s="21" t="n">
        <v>-0.1</v>
      </c>
      <c r="I282" s="21" t="n">
        <v>-0.13</v>
      </c>
      <c r="J282" s="21" t="n">
        <v>0.13</v>
      </c>
      <c r="K282" s="21" t="n">
        <v>0</v>
      </c>
      <c r="L282" s="21" t="n">
        <v>0.09</v>
      </c>
      <c r="M282" s="21" t="n">
        <v>0.04</v>
      </c>
      <c r="N282" s="21" t="n">
        <v>0.11</v>
      </c>
      <c r="O282" s="21" t="n">
        <v>-0.11</v>
      </c>
      <c r="P282" s="21" t="n">
        <v>-0.15</v>
      </c>
      <c r="Q282" s="21" t="n">
        <v>0.15</v>
      </c>
      <c r="R282" s="18" t="n">
        <f aca="false">ABS(D282)+MAX(ABS(G282),ABS(H282))+MAX(ABS(I282),ABS(J282))</f>
        <v>0.23</v>
      </c>
      <c r="S282" s="18" t="n">
        <f aca="false">ABS(K282)+MAX(ABS(N282),ABS(O282))+MAX(ABS(P282),ABS(Q282))</f>
        <v>0.26</v>
      </c>
      <c r="T282" s="18" t="n">
        <f aca="false">MAX(ABS(E282),ABS(F282))</f>
        <v>0.09</v>
      </c>
      <c r="U282" s="18" t="n">
        <f aca="false">MAX(ABS(L282),ABS(M282))</f>
        <v>0.09</v>
      </c>
    </row>
    <row r="283" customFormat="false" ht="15" hidden="false" customHeight="false" outlineLevel="0" collapsed="false">
      <c r="A283" s="4" t="n">
        <v>280</v>
      </c>
      <c r="B283" s="4" t="n">
        <v>57</v>
      </c>
      <c r="C283" s="18" t="n">
        <v>0.75</v>
      </c>
      <c r="D283" s="21" t="n">
        <v>0</v>
      </c>
      <c r="E283" s="21" t="n">
        <v>0.09</v>
      </c>
      <c r="F283" s="21" t="n">
        <v>0.05</v>
      </c>
      <c r="G283" s="21" t="n">
        <v>0.07</v>
      </c>
      <c r="H283" s="21" t="n">
        <v>-0.07</v>
      </c>
      <c r="I283" s="21" t="n">
        <v>-0.08</v>
      </c>
      <c r="J283" s="21" t="n">
        <v>0.08</v>
      </c>
      <c r="K283" s="21" t="n">
        <v>0</v>
      </c>
      <c r="L283" s="21" t="n">
        <v>0.09</v>
      </c>
      <c r="M283" s="21" t="n">
        <v>0.04</v>
      </c>
      <c r="N283" s="21" t="n">
        <v>0.08</v>
      </c>
      <c r="O283" s="21" t="n">
        <v>-0.08</v>
      </c>
      <c r="P283" s="21" t="n">
        <v>-0.1</v>
      </c>
      <c r="Q283" s="21" t="n">
        <v>0.1</v>
      </c>
      <c r="R283" s="18" t="n">
        <f aca="false">ABS(D283)+MAX(ABS(G283),ABS(H283))+MAX(ABS(I283),ABS(J283))</f>
        <v>0.15</v>
      </c>
      <c r="S283" s="18" t="n">
        <f aca="false">ABS(K283)+MAX(ABS(N283),ABS(O283))+MAX(ABS(P283),ABS(Q283))</f>
        <v>0.18</v>
      </c>
      <c r="T283" s="18" t="n">
        <f aca="false">MAX(ABS(E283),ABS(F283))</f>
        <v>0.09</v>
      </c>
      <c r="U283" s="18" t="n">
        <f aca="false">MAX(ABS(L283),ABS(M283))</f>
        <v>0.09</v>
      </c>
    </row>
    <row r="284" customFormat="false" ht="15" hidden="false" customHeight="false" outlineLevel="0" collapsed="false">
      <c r="A284" s="4" t="n">
        <v>280</v>
      </c>
      <c r="B284" s="4" t="n">
        <v>57</v>
      </c>
      <c r="C284" s="18" t="n">
        <v>1</v>
      </c>
      <c r="D284" s="21" t="n">
        <v>0</v>
      </c>
      <c r="E284" s="21" t="n">
        <v>0.09</v>
      </c>
      <c r="F284" s="21" t="n">
        <v>0.05</v>
      </c>
      <c r="G284" s="21" t="n">
        <v>0.03</v>
      </c>
      <c r="H284" s="21" t="n">
        <v>-0.03</v>
      </c>
      <c r="I284" s="21" t="n">
        <v>-0.04</v>
      </c>
      <c r="J284" s="21" t="n">
        <v>0.04</v>
      </c>
      <c r="K284" s="21" t="n">
        <v>0</v>
      </c>
      <c r="L284" s="21" t="n">
        <v>0.09</v>
      </c>
      <c r="M284" s="21" t="n">
        <v>0.04</v>
      </c>
      <c r="N284" s="21" t="n">
        <v>0.04</v>
      </c>
      <c r="O284" s="21" t="n">
        <v>-0.04</v>
      </c>
      <c r="P284" s="21" t="n">
        <v>-0.06</v>
      </c>
      <c r="Q284" s="21" t="n">
        <v>0.06</v>
      </c>
      <c r="R284" s="18" t="n">
        <f aca="false">ABS(D284)+MAX(ABS(G284),ABS(H284))+MAX(ABS(I284),ABS(J284))</f>
        <v>0.07</v>
      </c>
      <c r="S284" s="18" t="n">
        <f aca="false">ABS(K284)+MAX(ABS(N284),ABS(O284))+MAX(ABS(P284),ABS(Q284))</f>
        <v>0.1</v>
      </c>
      <c r="T284" s="18" t="n">
        <f aca="false">MAX(ABS(E284),ABS(F284))</f>
        <v>0.09</v>
      </c>
      <c r="U284" s="18" t="n">
        <f aca="false">MAX(ABS(L284),ABS(M284))</f>
        <v>0.09</v>
      </c>
    </row>
    <row r="285" customFormat="false" ht="15" hidden="false" customHeight="false" outlineLevel="0" collapsed="false">
      <c r="A285" s="4" t="n">
        <v>281</v>
      </c>
      <c r="B285" s="4" t="n">
        <v>58</v>
      </c>
      <c r="C285" s="18" t="n">
        <v>0</v>
      </c>
      <c r="D285" s="21" t="n">
        <v>-0.02</v>
      </c>
      <c r="E285" s="21" t="n">
        <v>0</v>
      </c>
      <c r="F285" s="21" t="n">
        <v>0.01</v>
      </c>
      <c r="G285" s="21" t="n">
        <v>0</v>
      </c>
      <c r="H285" s="21" t="n">
        <v>0</v>
      </c>
      <c r="I285" s="21" t="n">
        <v>-0.07</v>
      </c>
      <c r="J285" s="21" t="n">
        <v>0.03</v>
      </c>
      <c r="K285" s="21" t="n">
        <v>-0.02</v>
      </c>
      <c r="L285" s="21" t="n">
        <v>0</v>
      </c>
      <c r="M285" s="21" t="n">
        <v>0.01</v>
      </c>
      <c r="N285" s="21" t="n">
        <v>0</v>
      </c>
      <c r="O285" s="21" t="n">
        <v>0</v>
      </c>
      <c r="P285" s="21" t="n">
        <v>-0.07</v>
      </c>
      <c r="Q285" s="21" t="n">
        <v>0.03</v>
      </c>
      <c r="R285" s="18" t="n">
        <f aca="false">ABS(D285)+MAX(ABS(G285),ABS(H285))+MAX(ABS(I285),ABS(J285))</f>
        <v>0.09</v>
      </c>
      <c r="S285" s="18" t="n">
        <f aca="false">ABS(K285)+MAX(ABS(N285),ABS(O285))+MAX(ABS(P285),ABS(Q285))</f>
        <v>0.09</v>
      </c>
      <c r="T285" s="18" t="n">
        <f aca="false">MAX(ABS(E285),ABS(F285))</f>
        <v>0.01</v>
      </c>
      <c r="U285" s="18" t="n">
        <f aca="false">MAX(ABS(L285),ABS(M285))</f>
        <v>0.01</v>
      </c>
    </row>
    <row r="286" customFormat="false" ht="15" hidden="false" customHeight="false" outlineLevel="0" collapsed="false">
      <c r="A286" s="4" t="n">
        <v>281</v>
      </c>
      <c r="B286" s="4" t="n">
        <v>58</v>
      </c>
      <c r="C286" s="18" t="n">
        <v>0.25</v>
      </c>
      <c r="D286" s="21" t="n">
        <v>-0.02</v>
      </c>
      <c r="E286" s="21" t="n">
        <v>0</v>
      </c>
      <c r="F286" s="21" t="n">
        <v>0.01</v>
      </c>
      <c r="G286" s="21" t="n">
        <v>0</v>
      </c>
      <c r="H286" s="21" t="n">
        <v>0</v>
      </c>
      <c r="I286" s="21" t="n">
        <v>-0.04</v>
      </c>
      <c r="J286" s="21" t="n">
        <v>0.01</v>
      </c>
      <c r="K286" s="21" t="n">
        <v>-0.02</v>
      </c>
      <c r="L286" s="21" t="n">
        <v>0</v>
      </c>
      <c r="M286" s="21" t="n">
        <v>0.01</v>
      </c>
      <c r="N286" s="21" t="n">
        <v>0</v>
      </c>
      <c r="O286" s="21" t="n">
        <v>0</v>
      </c>
      <c r="P286" s="21" t="n">
        <v>-0.03</v>
      </c>
      <c r="Q286" s="21" t="n">
        <v>0.01</v>
      </c>
      <c r="R286" s="18" t="n">
        <f aca="false">ABS(D286)+MAX(ABS(G286),ABS(H286))+MAX(ABS(I286),ABS(J286))</f>
        <v>0.06</v>
      </c>
      <c r="S286" s="18" t="n">
        <f aca="false">ABS(K286)+MAX(ABS(N286),ABS(O286))+MAX(ABS(P286),ABS(Q286))</f>
        <v>0.05</v>
      </c>
      <c r="T286" s="18" t="n">
        <f aca="false">MAX(ABS(E286),ABS(F286))</f>
        <v>0.01</v>
      </c>
      <c r="U286" s="18" t="n">
        <f aca="false">MAX(ABS(L286),ABS(M286))</f>
        <v>0.01</v>
      </c>
    </row>
    <row r="287" customFormat="false" ht="15" hidden="false" customHeight="false" outlineLevel="0" collapsed="false">
      <c r="A287" s="4" t="n">
        <v>281</v>
      </c>
      <c r="B287" s="4" t="n">
        <v>58</v>
      </c>
      <c r="C287" s="18" t="n">
        <v>0.5</v>
      </c>
      <c r="D287" s="21" t="n">
        <v>-0.02</v>
      </c>
      <c r="E287" s="21" t="n">
        <v>0</v>
      </c>
      <c r="F287" s="21" t="n">
        <v>0.01</v>
      </c>
      <c r="G287" s="21" t="n">
        <v>0</v>
      </c>
      <c r="H287" s="21" t="n">
        <v>0</v>
      </c>
      <c r="I287" s="21" t="n">
        <v>0</v>
      </c>
      <c r="J287" s="21" t="n">
        <v>0</v>
      </c>
      <c r="K287" s="21" t="n">
        <v>-0.02</v>
      </c>
      <c r="L287" s="21" t="n">
        <v>0</v>
      </c>
      <c r="M287" s="21" t="n">
        <v>0.01</v>
      </c>
      <c r="N287" s="21" t="n">
        <v>0</v>
      </c>
      <c r="O287" s="21" t="n">
        <v>0</v>
      </c>
      <c r="P287" s="21" t="n">
        <v>0</v>
      </c>
      <c r="Q287" s="21" t="n">
        <v>0</v>
      </c>
      <c r="R287" s="18" t="n">
        <f aca="false">ABS(D287)+MAX(ABS(G287),ABS(H287))+MAX(ABS(I287),ABS(J287))</f>
        <v>0.02</v>
      </c>
      <c r="S287" s="18" t="n">
        <f aca="false">ABS(K287)+MAX(ABS(N287),ABS(O287))+MAX(ABS(P287),ABS(Q287))</f>
        <v>0.02</v>
      </c>
      <c r="T287" s="18" t="n">
        <f aca="false">MAX(ABS(E287),ABS(F287))</f>
        <v>0.01</v>
      </c>
      <c r="U287" s="18" t="n">
        <f aca="false">MAX(ABS(L287),ABS(M287))</f>
        <v>0.01</v>
      </c>
    </row>
    <row r="288" customFormat="false" ht="15" hidden="false" customHeight="false" outlineLevel="0" collapsed="false">
      <c r="A288" s="4" t="n">
        <v>281</v>
      </c>
      <c r="B288" s="4" t="n">
        <v>58</v>
      </c>
      <c r="C288" s="18" t="n">
        <v>0.75</v>
      </c>
      <c r="D288" s="21" t="n">
        <v>-0.02</v>
      </c>
      <c r="E288" s="21" t="n">
        <v>0</v>
      </c>
      <c r="F288" s="21" t="n">
        <v>0.01</v>
      </c>
      <c r="G288" s="21" t="n">
        <v>-0.01</v>
      </c>
      <c r="H288" s="21" t="n">
        <v>0.01</v>
      </c>
      <c r="I288" s="21" t="n">
        <v>0.04</v>
      </c>
      <c r="J288" s="21" t="n">
        <v>-0.02</v>
      </c>
      <c r="K288" s="21" t="n">
        <v>-0.02</v>
      </c>
      <c r="L288" s="21" t="n">
        <v>0</v>
      </c>
      <c r="M288" s="21" t="n">
        <v>0.01</v>
      </c>
      <c r="N288" s="21" t="n">
        <v>-0.01</v>
      </c>
      <c r="O288" s="21" t="n">
        <v>0.01</v>
      </c>
      <c r="P288" s="21" t="n">
        <v>0.04</v>
      </c>
      <c r="Q288" s="21" t="n">
        <v>-0.02</v>
      </c>
      <c r="R288" s="18" t="n">
        <f aca="false">ABS(D288)+MAX(ABS(G288),ABS(H288))+MAX(ABS(I288),ABS(J288))</f>
        <v>0.07</v>
      </c>
      <c r="S288" s="18" t="n">
        <f aca="false">ABS(K288)+MAX(ABS(N288),ABS(O288))+MAX(ABS(P288),ABS(Q288))</f>
        <v>0.07</v>
      </c>
      <c r="T288" s="18" t="n">
        <f aca="false">MAX(ABS(E288),ABS(F288))</f>
        <v>0.01</v>
      </c>
      <c r="U288" s="18" t="n">
        <f aca="false">MAX(ABS(L288),ABS(M288))</f>
        <v>0.01</v>
      </c>
    </row>
    <row r="289" customFormat="false" ht="15" hidden="false" customHeight="false" outlineLevel="0" collapsed="false">
      <c r="A289" s="4" t="n">
        <v>281</v>
      </c>
      <c r="B289" s="4" t="n">
        <v>58</v>
      </c>
      <c r="C289" s="18" t="n">
        <v>1</v>
      </c>
      <c r="D289" s="21" t="n">
        <v>-0.02</v>
      </c>
      <c r="E289" s="21" t="n">
        <v>0</v>
      </c>
      <c r="F289" s="21" t="n">
        <v>0.01</v>
      </c>
      <c r="G289" s="21" t="n">
        <v>-0.01</v>
      </c>
      <c r="H289" s="21" t="n">
        <v>0.01</v>
      </c>
      <c r="I289" s="21" t="n">
        <v>0.07</v>
      </c>
      <c r="J289" s="21" t="n">
        <v>-0.03</v>
      </c>
      <c r="K289" s="21" t="n">
        <v>-0.02</v>
      </c>
      <c r="L289" s="21" t="n">
        <v>0</v>
      </c>
      <c r="M289" s="21" t="n">
        <v>0.01</v>
      </c>
      <c r="N289" s="21" t="n">
        <v>-0.01</v>
      </c>
      <c r="O289" s="21" t="n">
        <v>0.01</v>
      </c>
      <c r="P289" s="21" t="n">
        <v>0.08</v>
      </c>
      <c r="Q289" s="21" t="n">
        <v>-0.03</v>
      </c>
      <c r="R289" s="18" t="n">
        <f aca="false">ABS(D289)+MAX(ABS(G289),ABS(H289))+MAX(ABS(I289),ABS(J289))</f>
        <v>0.1</v>
      </c>
      <c r="S289" s="18" t="n">
        <f aca="false">ABS(K289)+MAX(ABS(N289),ABS(O289))+MAX(ABS(P289),ABS(Q289))</f>
        <v>0.11</v>
      </c>
      <c r="T289" s="18" t="n">
        <f aca="false">MAX(ABS(E289),ABS(F289))</f>
        <v>0.01</v>
      </c>
      <c r="U289" s="18" t="n">
        <f aca="false">MAX(ABS(L289),ABS(M289))</f>
        <v>0.01</v>
      </c>
    </row>
    <row r="290" customFormat="false" ht="15" hidden="false" customHeight="false" outlineLevel="0" collapsed="false">
      <c r="A290" s="4" t="n">
        <v>282</v>
      </c>
      <c r="B290" s="4" t="n">
        <v>59</v>
      </c>
      <c r="C290" s="18" t="n">
        <v>0</v>
      </c>
      <c r="D290" s="21" t="n">
        <v>-0.02</v>
      </c>
      <c r="E290" s="21" t="n">
        <v>0</v>
      </c>
      <c r="F290" s="21" t="n">
        <v>0</v>
      </c>
      <c r="G290" s="21" t="n">
        <v>-0.01</v>
      </c>
      <c r="H290" s="21" t="n">
        <v>0.01</v>
      </c>
      <c r="I290" s="21" t="n">
        <v>-0.04</v>
      </c>
      <c r="J290" s="21" t="n">
        <v>0.02</v>
      </c>
      <c r="K290" s="21" t="n">
        <v>-0.02</v>
      </c>
      <c r="L290" s="21" t="n">
        <v>0</v>
      </c>
      <c r="M290" s="21" t="n">
        <v>0</v>
      </c>
      <c r="N290" s="21" t="n">
        <v>-0.01</v>
      </c>
      <c r="O290" s="21" t="n">
        <v>0.01</v>
      </c>
      <c r="P290" s="21" t="n">
        <v>-0.05</v>
      </c>
      <c r="Q290" s="21" t="n">
        <v>0.02</v>
      </c>
      <c r="R290" s="18" t="n">
        <f aca="false">ABS(D290)+MAX(ABS(G290),ABS(H290))+MAX(ABS(I290),ABS(J290))</f>
        <v>0.07</v>
      </c>
      <c r="S290" s="18" t="n">
        <f aca="false">ABS(K290)+MAX(ABS(N290),ABS(O290))+MAX(ABS(P290),ABS(Q290))</f>
        <v>0.08</v>
      </c>
      <c r="T290" s="18" t="n">
        <f aca="false">MAX(ABS(E290),ABS(F290))</f>
        <v>0</v>
      </c>
      <c r="U290" s="18" t="n">
        <f aca="false">MAX(ABS(L290),ABS(M290))</f>
        <v>0</v>
      </c>
    </row>
    <row r="291" customFormat="false" ht="15" hidden="false" customHeight="false" outlineLevel="0" collapsed="false">
      <c r="A291" s="4" t="n">
        <v>282</v>
      </c>
      <c r="B291" s="4" t="n">
        <v>59</v>
      </c>
      <c r="C291" s="18" t="n">
        <v>0.25</v>
      </c>
      <c r="D291" s="21" t="n">
        <v>-0.02</v>
      </c>
      <c r="E291" s="21" t="n">
        <v>0</v>
      </c>
      <c r="F291" s="21" t="n">
        <v>0</v>
      </c>
      <c r="G291" s="21" t="n">
        <v>0</v>
      </c>
      <c r="H291" s="21" t="n">
        <v>0</v>
      </c>
      <c r="I291" s="21" t="n">
        <v>-0.03</v>
      </c>
      <c r="J291" s="21" t="n">
        <v>0.01</v>
      </c>
      <c r="K291" s="21" t="n">
        <v>-0.02</v>
      </c>
      <c r="L291" s="21" t="n">
        <v>0</v>
      </c>
      <c r="M291" s="21" t="n">
        <v>0</v>
      </c>
      <c r="N291" s="21" t="n">
        <v>0</v>
      </c>
      <c r="O291" s="21" t="n">
        <v>0</v>
      </c>
      <c r="P291" s="21" t="n">
        <v>-0.03</v>
      </c>
      <c r="Q291" s="21" t="n">
        <v>0.01</v>
      </c>
      <c r="R291" s="18" t="n">
        <f aca="false">ABS(D291)+MAX(ABS(G291),ABS(H291))+MAX(ABS(I291),ABS(J291))</f>
        <v>0.05</v>
      </c>
      <c r="S291" s="18" t="n">
        <f aca="false">ABS(K291)+MAX(ABS(N291),ABS(O291))+MAX(ABS(P291),ABS(Q291))</f>
        <v>0.05</v>
      </c>
      <c r="T291" s="18" t="n">
        <f aca="false">MAX(ABS(E291),ABS(F291))</f>
        <v>0</v>
      </c>
      <c r="U291" s="18" t="n">
        <f aca="false">MAX(ABS(L291),ABS(M291))</f>
        <v>0</v>
      </c>
    </row>
    <row r="292" customFormat="false" ht="15" hidden="false" customHeight="false" outlineLevel="0" collapsed="false">
      <c r="A292" s="4" t="n">
        <v>282</v>
      </c>
      <c r="B292" s="4" t="n">
        <v>59</v>
      </c>
      <c r="C292" s="18" t="n">
        <v>0.5</v>
      </c>
      <c r="D292" s="21" t="n">
        <v>-0.02</v>
      </c>
      <c r="E292" s="21" t="n">
        <v>0</v>
      </c>
      <c r="F292" s="21" t="n">
        <v>0</v>
      </c>
      <c r="G292" s="21" t="n">
        <v>0</v>
      </c>
      <c r="H292" s="21" t="n">
        <v>0</v>
      </c>
      <c r="I292" s="21" t="n">
        <v>-0.01</v>
      </c>
      <c r="J292" s="21" t="n">
        <v>0</v>
      </c>
      <c r="K292" s="21" t="n">
        <v>-0.02</v>
      </c>
      <c r="L292" s="21" t="n">
        <v>0</v>
      </c>
      <c r="M292" s="21" t="n">
        <v>0</v>
      </c>
      <c r="N292" s="21" t="n">
        <v>0.01</v>
      </c>
      <c r="O292" s="21" t="n">
        <v>-0.01</v>
      </c>
      <c r="P292" s="21" t="n">
        <v>-0.01</v>
      </c>
      <c r="Q292" s="21" t="n">
        <v>0</v>
      </c>
      <c r="R292" s="18" t="n">
        <f aca="false">ABS(D292)+MAX(ABS(G292),ABS(H292))+MAX(ABS(I292),ABS(J292))</f>
        <v>0.03</v>
      </c>
      <c r="S292" s="18" t="n">
        <f aca="false">ABS(K292)+MAX(ABS(N292),ABS(O292))+MAX(ABS(P292),ABS(Q292))</f>
        <v>0.04</v>
      </c>
      <c r="T292" s="18" t="n">
        <f aca="false">MAX(ABS(E292),ABS(F292))</f>
        <v>0</v>
      </c>
      <c r="U292" s="18" t="n">
        <f aca="false">MAX(ABS(L292),ABS(M292))</f>
        <v>0</v>
      </c>
    </row>
    <row r="293" customFormat="false" ht="15" hidden="false" customHeight="false" outlineLevel="0" collapsed="false">
      <c r="A293" s="4" t="n">
        <v>282</v>
      </c>
      <c r="B293" s="4" t="n">
        <v>59</v>
      </c>
      <c r="C293" s="18" t="n">
        <v>0.75</v>
      </c>
      <c r="D293" s="21" t="n">
        <v>-0.02</v>
      </c>
      <c r="E293" s="21" t="n">
        <v>0</v>
      </c>
      <c r="F293" s="21" t="n">
        <v>0</v>
      </c>
      <c r="G293" s="21" t="n">
        <v>0.01</v>
      </c>
      <c r="H293" s="21" t="n">
        <v>-0.01</v>
      </c>
      <c r="I293" s="21" t="n">
        <v>0.01</v>
      </c>
      <c r="J293" s="21" t="n">
        <v>0</v>
      </c>
      <c r="K293" s="21" t="n">
        <v>-0.02</v>
      </c>
      <c r="L293" s="21" t="n">
        <v>0</v>
      </c>
      <c r="M293" s="21" t="n">
        <v>0</v>
      </c>
      <c r="N293" s="21" t="n">
        <v>0.01</v>
      </c>
      <c r="O293" s="21" t="n">
        <v>-0.01</v>
      </c>
      <c r="P293" s="21" t="n">
        <v>0.01</v>
      </c>
      <c r="Q293" s="21" t="n">
        <v>0</v>
      </c>
      <c r="R293" s="18" t="n">
        <f aca="false">ABS(D293)+MAX(ABS(G293),ABS(H293))+MAX(ABS(I293),ABS(J293))</f>
        <v>0.04</v>
      </c>
      <c r="S293" s="18" t="n">
        <f aca="false">ABS(K293)+MAX(ABS(N293),ABS(O293))+MAX(ABS(P293),ABS(Q293))</f>
        <v>0.04</v>
      </c>
      <c r="T293" s="18" t="n">
        <f aca="false">MAX(ABS(E293),ABS(F293))</f>
        <v>0</v>
      </c>
      <c r="U293" s="18" t="n">
        <f aca="false">MAX(ABS(L293),ABS(M293))</f>
        <v>0</v>
      </c>
    </row>
    <row r="294" customFormat="false" ht="15" hidden="false" customHeight="false" outlineLevel="0" collapsed="false">
      <c r="A294" s="4" t="n">
        <v>282</v>
      </c>
      <c r="B294" s="4" t="n">
        <v>59</v>
      </c>
      <c r="C294" s="18" t="n">
        <v>1</v>
      </c>
      <c r="D294" s="21" t="n">
        <v>-0.02</v>
      </c>
      <c r="E294" s="21" t="n">
        <v>0</v>
      </c>
      <c r="F294" s="21" t="n">
        <v>0</v>
      </c>
      <c r="G294" s="21" t="n">
        <v>0.02</v>
      </c>
      <c r="H294" s="21" t="n">
        <v>-0.02</v>
      </c>
      <c r="I294" s="21" t="n">
        <v>0.02</v>
      </c>
      <c r="J294" s="21" t="n">
        <v>-0.01</v>
      </c>
      <c r="K294" s="21" t="n">
        <v>-0.02</v>
      </c>
      <c r="L294" s="21" t="n">
        <v>0</v>
      </c>
      <c r="M294" s="21" t="n">
        <v>0</v>
      </c>
      <c r="N294" s="21" t="n">
        <v>0.02</v>
      </c>
      <c r="O294" s="21" t="n">
        <v>-0.02</v>
      </c>
      <c r="P294" s="21" t="n">
        <v>0.02</v>
      </c>
      <c r="Q294" s="21" t="n">
        <v>-0.01</v>
      </c>
      <c r="R294" s="18" t="n">
        <f aca="false">ABS(D294)+MAX(ABS(G294),ABS(H294))+MAX(ABS(I294),ABS(J294))</f>
        <v>0.06</v>
      </c>
      <c r="S294" s="18" t="n">
        <f aca="false">ABS(K294)+MAX(ABS(N294),ABS(O294))+MAX(ABS(P294),ABS(Q294))</f>
        <v>0.06</v>
      </c>
      <c r="T294" s="18" t="n">
        <f aca="false">MAX(ABS(E294),ABS(F294))</f>
        <v>0</v>
      </c>
      <c r="U294" s="18" t="n">
        <f aca="false">MAX(ABS(L294),ABS(M294))</f>
        <v>0</v>
      </c>
    </row>
    <row r="295" customFormat="false" ht="15" hidden="false" customHeight="false" outlineLevel="0" collapsed="false">
      <c r="A295" s="4" t="n">
        <v>283</v>
      </c>
      <c r="B295" s="4" t="n">
        <v>60</v>
      </c>
      <c r="C295" s="18" t="n">
        <v>0</v>
      </c>
      <c r="D295" s="21" t="n">
        <v>-0.01</v>
      </c>
      <c r="E295" s="21" t="n">
        <v>0</v>
      </c>
      <c r="F295" s="21" t="n">
        <v>0.01</v>
      </c>
      <c r="G295" s="21" t="n">
        <v>-0.01</v>
      </c>
      <c r="H295" s="21" t="n">
        <v>0.01</v>
      </c>
      <c r="I295" s="21" t="n">
        <v>0.08</v>
      </c>
      <c r="J295" s="21" t="n">
        <v>-0.03</v>
      </c>
      <c r="K295" s="21" t="n">
        <v>-0.01</v>
      </c>
      <c r="L295" s="21" t="n">
        <v>0</v>
      </c>
      <c r="M295" s="21" t="n">
        <v>0.01</v>
      </c>
      <c r="N295" s="21" t="n">
        <v>-0.01</v>
      </c>
      <c r="O295" s="21" t="n">
        <v>0.01</v>
      </c>
      <c r="P295" s="21" t="n">
        <v>0.08</v>
      </c>
      <c r="Q295" s="21" t="n">
        <v>-0.03</v>
      </c>
      <c r="R295" s="18" t="n">
        <f aca="false">ABS(D295)+MAX(ABS(G295),ABS(H295))+MAX(ABS(I295),ABS(J295))</f>
        <v>0.1</v>
      </c>
      <c r="S295" s="18" t="n">
        <f aca="false">ABS(K295)+MAX(ABS(N295),ABS(O295))+MAX(ABS(P295),ABS(Q295))</f>
        <v>0.1</v>
      </c>
      <c r="T295" s="18" t="n">
        <f aca="false">MAX(ABS(E295),ABS(F295))</f>
        <v>0.01</v>
      </c>
      <c r="U295" s="18" t="n">
        <f aca="false">MAX(ABS(L295),ABS(M295))</f>
        <v>0.01</v>
      </c>
    </row>
    <row r="296" customFormat="false" ht="15" hidden="false" customHeight="false" outlineLevel="0" collapsed="false">
      <c r="A296" s="4" t="n">
        <v>283</v>
      </c>
      <c r="B296" s="4" t="n">
        <v>60</v>
      </c>
      <c r="C296" s="18" t="n">
        <v>0.25</v>
      </c>
      <c r="D296" s="21" t="n">
        <v>-0.01</v>
      </c>
      <c r="E296" s="21" t="n">
        <v>0</v>
      </c>
      <c r="F296" s="21" t="n">
        <v>0.01</v>
      </c>
      <c r="G296" s="21" t="n">
        <v>0</v>
      </c>
      <c r="H296" s="21" t="n">
        <v>0</v>
      </c>
      <c r="I296" s="21" t="n">
        <v>0.04</v>
      </c>
      <c r="J296" s="21" t="n">
        <v>-0.02</v>
      </c>
      <c r="K296" s="21" t="n">
        <v>-0.01</v>
      </c>
      <c r="L296" s="21" t="n">
        <v>0</v>
      </c>
      <c r="M296" s="21" t="n">
        <v>0.01</v>
      </c>
      <c r="N296" s="21" t="n">
        <v>0</v>
      </c>
      <c r="O296" s="21" t="n">
        <v>0</v>
      </c>
      <c r="P296" s="21" t="n">
        <v>0.04</v>
      </c>
      <c r="Q296" s="21" t="n">
        <v>-0.02</v>
      </c>
      <c r="R296" s="18" t="n">
        <f aca="false">ABS(D296)+MAX(ABS(G296),ABS(H296))+MAX(ABS(I296),ABS(J296))</f>
        <v>0.05</v>
      </c>
      <c r="S296" s="18" t="n">
        <f aca="false">ABS(K296)+MAX(ABS(N296),ABS(O296))+MAX(ABS(P296),ABS(Q296))</f>
        <v>0.05</v>
      </c>
      <c r="T296" s="18" t="n">
        <f aca="false">MAX(ABS(E296),ABS(F296))</f>
        <v>0.01</v>
      </c>
      <c r="U296" s="18" t="n">
        <f aca="false">MAX(ABS(L296),ABS(M296))</f>
        <v>0.01</v>
      </c>
    </row>
    <row r="297" customFormat="false" ht="15" hidden="false" customHeight="false" outlineLevel="0" collapsed="false">
      <c r="A297" s="4" t="n">
        <v>283</v>
      </c>
      <c r="B297" s="4" t="n">
        <v>60</v>
      </c>
      <c r="C297" s="18" t="n">
        <v>0.5</v>
      </c>
      <c r="D297" s="21" t="n">
        <v>-0.01</v>
      </c>
      <c r="E297" s="21" t="n">
        <v>0</v>
      </c>
      <c r="F297" s="21" t="n">
        <v>0.01</v>
      </c>
      <c r="G297" s="21" t="n">
        <v>0</v>
      </c>
      <c r="H297" s="21" t="n">
        <v>0</v>
      </c>
      <c r="I297" s="21" t="n">
        <v>0</v>
      </c>
      <c r="J297" s="21" t="n">
        <v>0</v>
      </c>
      <c r="K297" s="21" t="n">
        <v>-0.01</v>
      </c>
      <c r="L297" s="21" t="n">
        <v>0</v>
      </c>
      <c r="M297" s="21" t="n">
        <v>0.01</v>
      </c>
      <c r="N297" s="21" t="n">
        <v>0</v>
      </c>
      <c r="O297" s="21" t="n">
        <v>0</v>
      </c>
      <c r="P297" s="21" t="n">
        <v>0</v>
      </c>
      <c r="Q297" s="21" t="n">
        <v>0</v>
      </c>
      <c r="R297" s="18" t="n">
        <f aca="false">ABS(D297)+MAX(ABS(G297),ABS(H297))+MAX(ABS(I297),ABS(J297))</f>
        <v>0.01</v>
      </c>
      <c r="S297" s="18" t="n">
        <f aca="false">ABS(K297)+MAX(ABS(N297),ABS(O297))+MAX(ABS(P297),ABS(Q297))</f>
        <v>0.01</v>
      </c>
      <c r="T297" s="18" t="n">
        <f aca="false">MAX(ABS(E297),ABS(F297))</f>
        <v>0.01</v>
      </c>
      <c r="U297" s="18" t="n">
        <f aca="false">MAX(ABS(L297),ABS(M297))</f>
        <v>0.01</v>
      </c>
    </row>
    <row r="298" customFormat="false" ht="15" hidden="false" customHeight="false" outlineLevel="0" collapsed="false">
      <c r="A298" s="4" t="n">
        <v>283</v>
      </c>
      <c r="B298" s="4" t="n">
        <v>60</v>
      </c>
      <c r="C298" s="18" t="n">
        <v>0.75</v>
      </c>
      <c r="D298" s="21" t="n">
        <v>-0.01</v>
      </c>
      <c r="E298" s="21" t="n">
        <v>0</v>
      </c>
      <c r="F298" s="21" t="n">
        <v>0.01</v>
      </c>
      <c r="G298" s="21" t="n">
        <v>0</v>
      </c>
      <c r="H298" s="21" t="n">
        <v>0</v>
      </c>
      <c r="I298" s="21" t="n">
        <v>-0.04</v>
      </c>
      <c r="J298" s="21" t="n">
        <v>0.02</v>
      </c>
      <c r="K298" s="21" t="n">
        <v>-0.01</v>
      </c>
      <c r="L298" s="21" t="n">
        <v>0</v>
      </c>
      <c r="M298" s="21" t="n">
        <v>0.01</v>
      </c>
      <c r="N298" s="21" t="n">
        <v>0</v>
      </c>
      <c r="O298" s="21" t="n">
        <v>0</v>
      </c>
      <c r="P298" s="21" t="n">
        <v>-0.04</v>
      </c>
      <c r="Q298" s="21" t="n">
        <v>0.02</v>
      </c>
      <c r="R298" s="18" t="n">
        <f aca="false">ABS(D298)+MAX(ABS(G298),ABS(H298))+MAX(ABS(I298),ABS(J298))</f>
        <v>0.05</v>
      </c>
      <c r="S298" s="18" t="n">
        <f aca="false">ABS(K298)+MAX(ABS(N298),ABS(O298))+MAX(ABS(P298),ABS(Q298))</f>
        <v>0.05</v>
      </c>
      <c r="T298" s="18" t="n">
        <f aca="false">MAX(ABS(E298),ABS(F298))</f>
        <v>0.01</v>
      </c>
      <c r="U298" s="18" t="n">
        <f aca="false">MAX(ABS(L298),ABS(M298))</f>
        <v>0.01</v>
      </c>
    </row>
    <row r="299" customFormat="false" ht="15" hidden="false" customHeight="false" outlineLevel="0" collapsed="false">
      <c r="A299" s="4" t="n">
        <v>283</v>
      </c>
      <c r="B299" s="4" t="n">
        <v>60</v>
      </c>
      <c r="C299" s="18" t="n">
        <v>1</v>
      </c>
      <c r="D299" s="21" t="n">
        <v>-0.01</v>
      </c>
      <c r="E299" s="21" t="n">
        <v>0</v>
      </c>
      <c r="F299" s="21" t="n">
        <v>0.01</v>
      </c>
      <c r="G299" s="21" t="n">
        <v>0.01</v>
      </c>
      <c r="H299" s="21" t="n">
        <v>-0.01</v>
      </c>
      <c r="I299" s="21" t="n">
        <v>-0.08</v>
      </c>
      <c r="J299" s="21" t="n">
        <v>0.03</v>
      </c>
      <c r="K299" s="21" t="n">
        <v>-0.01</v>
      </c>
      <c r="L299" s="21" t="n">
        <v>0</v>
      </c>
      <c r="M299" s="21" t="n">
        <v>0.01</v>
      </c>
      <c r="N299" s="21" t="n">
        <v>0.01</v>
      </c>
      <c r="O299" s="21" t="n">
        <v>-0.01</v>
      </c>
      <c r="P299" s="21" t="n">
        <v>-0.08</v>
      </c>
      <c r="Q299" s="21" t="n">
        <v>0.03</v>
      </c>
      <c r="R299" s="18" t="n">
        <f aca="false">ABS(D299)+MAX(ABS(G299),ABS(H299))+MAX(ABS(I299),ABS(J299))</f>
        <v>0.1</v>
      </c>
      <c r="S299" s="18" t="n">
        <f aca="false">ABS(K299)+MAX(ABS(N299),ABS(O299))+MAX(ABS(P299),ABS(Q299))</f>
        <v>0.1</v>
      </c>
      <c r="T299" s="18" t="n">
        <f aca="false">MAX(ABS(E299),ABS(F299))</f>
        <v>0.01</v>
      </c>
      <c r="U299" s="18" t="n">
        <f aca="false">MAX(ABS(L299),ABS(M299))</f>
        <v>0.01</v>
      </c>
    </row>
    <row r="300" customFormat="false" ht="15" hidden="false" customHeight="false" outlineLevel="0" collapsed="false">
      <c r="A300" s="4" t="n">
        <v>284</v>
      </c>
      <c r="B300" s="4" t="n">
        <v>61</v>
      </c>
      <c r="C300" s="18" t="n">
        <v>0</v>
      </c>
      <c r="D300" s="21" t="n">
        <v>-0.02</v>
      </c>
      <c r="E300" s="21" t="n">
        <v>0</v>
      </c>
      <c r="F300" s="21" t="n">
        <v>0</v>
      </c>
      <c r="G300" s="21" t="n">
        <v>0.01</v>
      </c>
      <c r="H300" s="21" t="n">
        <v>-0.01</v>
      </c>
      <c r="I300" s="21" t="n">
        <v>0.07</v>
      </c>
      <c r="J300" s="21" t="n">
        <v>-0.03</v>
      </c>
      <c r="K300" s="21" t="n">
        <v>-0.02</v>
      </c>
      <c r="L300" s="21" t="n">
        <v>0</v>
      </c>
      <c r="M300" s="21" t="n">
        <v>0</v>
      </c>
      <c r="N300" s="21" t="n">
        <v>0.01</v>
      </c>
      <c r="O300" s="21" t="n">
        <v>-0.01</v>
      </c>
      <c r="P300" s="21" t="n">
        <v>0.07</v>
      </c>
      <c r="Q300" s="21" t="n">
        <v>-0.03</v>
      </c>
      <c r="R300" s="18" t="n">
        <f aca="false">ABS(D300)+MAX(ABS(G300),ABS(H300))+MAX(ABS(I300),ABS(J300))</f>
        <v>0.1</v>
      </c>
      <c r="S300" s="18" t="n">
        <f aca="false">ABS(K300)+MAX(ABS(N300),ABS(O300))+MAX(ABS(P300),ABS(Q300))</f>
        <v>0.1</v>
      </c>
      <c r="T300" s="18" t="n">
        <f aca="false">MAX(ABS(E300),ABS(F300))</f>
        <v>0</v>
      </c>
      <c r="U300" s="18" t="n">
        <f aca="false">MAX(ABS(L300),ABS(M300))</f>
        <v>0</v>
      </c>
    </row>
    <row r="301" customFormat="false" ht="15" hidden="false" customHeight="false" outlineLevel="0" collapsed="false">
      <c r="A301" s="4" t="n">
        <v>284</v>
      </c>
      <c r="B301" s="4" t="n">
        <v>61</v>
      </c>
      <c r="C301" s="18" t="n">
        <v>0.25</v>
      </c>
      <c r="D301" s="21" t="n">
        <v>-0.02</v>
      </c>
      <c r="E301" s="21" t="n">
        <v>0</v>
      </c>
      <c r="F301" s="21" t="n">
        <v>0</v>
      </c>
      <c r="G301" s="21" t="n">
        <v>0</v>
      </c>
      <c r="H301" s="21" t="n">
        <v>0</v>
      </c>
      <c r="I301" s="21" t="n">
        <v>0.03</v>
      </c>
      <c r="J301" s="21" t="n">
        <v>-0.01</v>
      </c>
      <c r="K301" s="21" t="n">
        <v>-0.02</v>
      </c>
      <c r="L301" s="21" t="n">
        <v>0</v>
      </c>
      <c r="M301" s="21" t="n">
        <v>0</v>
      </c>
      <c r="N301" s="21" t="n">
        <v>0</v>
      </c>
      <c r="O301" s="21" t="n">
        <v>0</v>
      </c>
      <c r="P301" s="21" t="n">
        <v>0.04</v>
      </c>
      <c r="Q301" s="21" t="n">
        <v>-0.01</v>
      </c>
      <c r="R301" s="18" t="n">
        <f aca="false">ABS(D301)+MAX(ABS(G301),ABS(H301))+MAX(ABS(I301),ABS(J301))</f>
        <v>0.05</v>
      </c>
      <c r="S301" s="18" t="n">
        <f aca="false">ABS(K301)+MAX(ABS(N301),ABS(O301))+MAX(ABS(P301),ABS(Q301))</f>
        <v>0.06</v>
      </c>
      <c r="T301" s="18" t="n">
        <f aca="false">MAX(ABS(E301),ABS(F301))</f>
        <v>0</v>
      </c>
      <c r="U301" s="18" t="n">
        <f aca="false">MAX(ABS(L301),ABS(M301))</f>
        <v>0</v>
      </c>
    </row>
    <row r="302" customFormat="false" ht="15" hidden="false" customHeight="false" outlineLevel="0" collapsed="false">
      <c r="A302" s="4" t="n">
        <v>284</v>
      </c>
      <c r="B302" s="4" t="n">
        <v>61</v>
      </c>
      <c r="C302" s="18" t="n">
        <v>0.5</v>
      </c>
      <c r="D302" s="21" t="n">
        <v>-0.02</v>
      </c>
      <c r="E302" s="21" t="n">
        <v>0</v>
      </c>
      <c r="F302" s="21" t="n">
        <v>0</v>
      </c>
      <c r="G302" s="21" t="n">
        <v>0</v>
      </c>
      <c r="H302" s="21" t="n">
        <v>0</v>
      </c>
      <c r="I302" s="21" t="n">
        <v>0</v>
      </c>
      <c r="J302" s="21" t="n">
        <v>0</v>
      </c>
      <c r="K302" s="21" t="n">
        <v>-0.02</v>
      </c>
      <c r="L302" s="21" t="n">
        <v>0</v>
      </c>
      <c r="M302" s="21" t="n">
        <v>0</v>
      </c>
      <c r="N302" s="21" t="n">
        <v>0</v>
      </c>
      <c r="O302" s="21" t="n">
        <v>0</v>
      </c>
      <c r="P302" s="21" t="n">
        <v>0</v>
      </c>
      <c r="Q302" s="21" t="n">
        <v>0</v>
      </c>
      <c r="R302" s="18" t="n">
        <f aca="false">ABS(D302)+MAX(ABS(G302),ABS(H302))+MAX(ABS(I302),ABS(J302))</f>
        <v>0.02</v>
      </c>
      <c r="S302" s="18" t="n">
        <f aca="false">ABS(K302)+MAX(ABS(N302),ABS(O302))+MAX(ABS(P302),ABS(Q302))</f>
        <v>0.02</v>
      </c>
      <c r="T302" s="18" t="n">
        <f aca="false">MAX(ABS(E302),ABS(F302))</f>
        <v>0</v>
      </c>
      <c r="U302" s="18" t="n">
        <f aca="false">MAX(ABS(L302),ABS(M302))</f>
        <v>0</v>
      </c>
    </row>
    <row r="303" customFormat="false" ht="15" hidden="false" customHeight="false" outlineLevel="0" collapsed="false">
      <c r="A303" s="4" t="n">
        <v>284</v>
      </c>
      <c r="B303" s="4" t="n">
        <v>61</v>
      </c>
      <c r="C303" s="18" t="n">
        <v>0.75</v>
      </c>
      <c r="D303" s="21" t="n">
        <v>-0.02</v>
      </c>
      <c r="E303" s="21" t="n">
        <v>0</v>
      </c>
      <c r="F303" s="21" t="n">
        <v>0</v>
      </c>
      <c r="G303" s="21" t="n">
        <v>0</v>
      </c>
      <c r="H303" s="21" t="n">
        <v>0</v>
      </c>
      <c r="I303" s="21" t="n">
        <v>-0.03</v>
      </c>
      <c r="J303" s="21" t="n">
        <v>0.01</v>
      </c>
      <c r="K303" s="21" t="n">
        <v>-0.02</v>
      </c>
      <c r="L303" s="21" t="n">
        <v>0</v>
      </c>
      <c r="M303" s="21" t="n">
        <v>0</v>
      </c>
      <c r="N303" s="21" t="n">
        <v>0</v>
      </c>
      <c r="O303" s="21" t="n">
        <v>0</v>
      </c>
      <c r="P303" s="21" t="n">
        <v>-0.04</v>
      </c>
      <c r="Q303" s="21" t="n">
        <v>0.02</v>
      </c>
      <c r="R303" s="18" t="n">
        <f aca="false">ABS(D303)+MAX(ABS(G303),ABS(H303))+MAX(ABS(I303),ABS(J303))</f>
        <v>0.05</v>
      </c>
      <c r="S303" s="18" t="n">
        <f aca="false">ABS(K303)+MAX(ABS(N303),ABS(O303))+MAX(ABS(P303),ABS(Q303))</f>
        <v>0.06</v>
      </c>
      <c r="T303" s="18" t="n">
        <f aca="false">MAX(ABS(E303),ABS(F303))</f>
        <v>0</v>
      </c>
      <c r="U303" s="18" t="n">
        <f aca="false">MAX(ABS(L303),ABS(M303))</f>
        <v>0</v>
      </c>
    </row>
    <row r="304" customFormat="false" ht="15" hidden="false" customHeight="false" outlineLevel="0" collapsed="false">
      <c r="A304" s="4" t="n">
        <v>284</v>
      </c>
      <c r="B304" s="4" t="n">
        <v>61</v>
      </c>
      <c r="C304" s="18" t="n">
        <v>1</v>
      </c>
      <c r="D304" s="21" t="n">
        <v>-0.02</v>
      </c>
      <c r="E304" s="21" t="n">
        <v>0</v>
      </c>
      <c r="F304" s="21" t="n">
        <v>0</v>
      </c>
      <c r="G304" s="21" t="n">
        <v>0</v>
      </c>
      <c r="H304" s="21" t="n">
        <v>0</v>
      </c>
      <c r="I304" s="21" t="n">
        <v>-0.07</v>
      </c>
      <c r="J304" s="21" t="n">
        <v>0.03</v>
      </c>
      <c r="K304" s="21" t="n">
        <v>-0.02</v>
      </c>
      <c r="L304" s="21" t="n">
        <v>0</v>
      </c>
      <c r="M304" s="21" t="n">
        <v>0</v>
      </c>
      <c r="N304" s="21" t="n">
        <v>0</v>
      </c>
      <c r="O304" s="21" t="n">
        <v>0</v>
      </c>
      <c r="P304" s="21" t="n">
        <v>-0.07</v>
      </c>
      <c r="Q304" s="21" t="n">
        <v>0.03</v>
      </c>
      <c r="R304" s="18" t="n">
        <f aca="false">ABS(D304)+MAX(ABS(G304),ABS(H304))+MAX(ABS(I304),ABS(J304))</f>
        <v>0.09</v>
      </c>
      <c r="S304" s="18" t="n">
        <f aca="false">ABS(K304)+MAX(ABS(N304),ABS(O304))+MAX(ABS(P304),ABS(Q304))</f>
        <v>0.09</v>
      </c>
      <c r="T304" s="18" t="n">
        <f aca="false">MAX(ABS(E304),ABS(F304))</f>
        <v>0</v>
      </c>
      <c r="U304" s="18" t="n">
        <f aca="false">MAX(ABS(L304),ABS(M304))</f>
        <v>0</v>
      </c>
    </row>
    <row r="305" customFormat="false" ht="15" hidden="false" customHeight="false" outlineLevel="0" collapsed="false">
      <c r="A305" s="4" t="n">
        <v>285</v>
      </c>
      <c r="B305" s="4" t="n">
        <v>62</v>
      </c>
      <c r="C305" s="18" t="n">
        <v>0</v>
      </c>
      <c r="D305" s="21" t="n">
        <v>0</v>
      </c>
      <c r="E305" s="21" t="n">
        <v>0</v>
      </c>
      <c r="F305" s="21" t="n">
        <v>0</v>
      </c>
      <c r="G305" s="21" t="n">
        <v>0</v>
      </c>
      <c r="H305" s="21" t="n">
        <v>0</v>
      </c>
      <c r="I305" s="21" t="n">
        <v>-0.07</v>
      </c>
      <c r="J305" s="21" t="n">
        <v>0.03</v>
      </c>
      <c r="K305" s="21" t="n">
        <v>0</v>
      </c>
      <c r="L305" s="21" t="n">
        <v>0</v>
      </c>
      <c r="M305" s="21" t="n">
        <v>0.01</v>
      </c>
      <c r="N305" s="21" t="n">
        <v>0</v>
      </c>
      <c r="O305" s="21" t="n">
        <v>0</v>
      </c>
      <c r="P305" s="21" t="n">
        <v>-0.07</v>
      </c>
      <c r="Q305" s="21" t="n">
        <v>0.03</v>
      </c>
      <c r="R305" s="18" t="n">
        <f aca="false">ABS(D305)+MAX(ABS(G305),ABS(H305))+MAX(ABS(I305),ABS(J305))</f>
        <v>0.07</v>
      </c>
      <c r="S305" s="18" t="n">
        <f aca="false">ABS(K305)+MAX(ABS(N305),ABS(O305))+MAX(ABS(P305),ABS(Q305))</f>
        <v>0.07</v>
      </c>
      <c r="T305" s="18" t="n">
        <f aca="false">MAX(ABS(E305),ABS(F305))</f>
        <v>0</v>
      </c>
      <c r="U305" s="18" t="n">
        <f aca="false">MAX(ABS(L305),ABS(M305))</f>
        <v>0.01</v>
      </c>
    </row>
    <row r="306" customFormat="false" ht="15" hidden="false" customHeight="false" outlineLevel="0" collapsed="false">
      <c r="A306" s="4" t="n">
        <v>285</v>
      </c>
      <c r="B306" s="4" t="n">
        <v>62</v>
      </c>
      <c r="C306" s="18" t="n">
        <v>0.25</v>
      </c>
      <c r="D306" s="21" t="n">
        <v>0</v>
      </c>
      <c r="E306" s="21" t="n">
        <v>0</v>
      </c>
      <c r="F306" s="21" t="n">
        <v>0</v>
      </c>
      <c r="G306" s="21" t="n">
        <v>0</v>
      </c>
      <c r="H306" s="21" t="n">
        <v>0</v>
      </c>
      <c r="I306" s="21" t="n">
        <v>-0.03</v>
      </c>
      <c r="J306" s="21" t="n">
        <v>0.01</v>
      </c>
      <c r="K306" s="21" t="n">
        <v>0</v>
      </c>
      <c r="L306" s="21" t="n">
        <v>0</v>
      </c>
      <c r="M306" s="21" t="n">
        <v>0.01</v>
      </c>
      <c r="N306" s="21" t="n">
        <v>0</v>
      </c>
      <c r="O306" s="21" t="n">
        <v>0</v>
      </c>
      <c r="P306" s="21" t="n">
        <v>-0.04</v>
      </c>
      <c r="Q306" s="21" t="n">
        <v>0.01</v>
      </c>
      <c r="R306" s="18" t="n">
        <f aca="false">ABS(D306)+MAX(ABS(G306),ABS(H306))+MAX(ABS(I306),ABS(J306))</f>
        <v>0.03</v>
      </c>
      <c r="S306" s="18" t="n">
        <f aca="false">ABS(K306)+MAX(ABS(N306),ABS(O306))+MAX(ABS(P306),ABS(Q306))</f>
        <v>0.04</v>
      </c>
      <c r="T306" s="18" t="n">
        <f aca="false">MAX(ABS(E306),ABS(F306))</f>
        <v>0</v>
      </c>
      <c r="U306" s="18" t="n">
        <f aca="false">MAX(ABS(L306),ABS(M306))</f>
        <v>0.01</v>
      </c>
    </row>
    <row r="307" customFormat="false" ht="15" hidden="false" customHeight="false" outlineLevel="0" collapsed="false">
      <c r="A307" s="4" t="n">
        <v>285</v>
      </c>
      <c r="B307" s="4" t="n">
        <v>62</v>
      </c>
      <c r="C307" s="18" t="n">
        <v>0.5</v>
      </c>
      <c r="D307" s="21" t="n">
        <v>0</v>
      </c>
      <c r="E307" s="21" t="n">
        <v>0</v>
      </c>
      <c r="F307" s="21" t="n">
        <v>0</v>
      </c>
      <c r="G307" s="21" t="n">
        <v>0</v>
      </c>
      <c r="H307" s="21" t="n">
        <v>0</v>
      </c>
      <c r="I307" s="21" t="n">
        <v>0</v>
      </c>
      <c r="J307" s="21" t="n">
        <v>0</v>
      </c>
      <c r="K307" s="21" t="n">
        <v>0</v>
      </c>
      <c r="L307" s="21" t="n">
        <v>0</v>
      </c>
      <c r="M307" s="21" t="n">
        <v>0.01</v>
      </c>
      <c r="N307" s="21" t="n">
        <v>0</v>
      </c>
      <c r="O307" s="21" t="n">
        <v>0</v>
      </c>
      <c r="P307" s="21" t="n">
        <v>0</v>
      </c>
      <c r="Q307" s="21" t="n">
        <v>0</v>
      </c>
      <c r="R307" s="18" t="n">
        <f aca="false">ABS(D307)+MAX(ABS(G307),ABS(H307))+MAX(ABS(I307),ABS(J307))</f>
        <v>0</v>
      </c>
      <c r="S307" s="18" t="n">
        <f aca="false">ABS(K307)+MAX(ABS(N307),ABS(O307))+MAX(ABS(P307),ABS(Q307))</f>
        <v>0</v>
      </c>
      <c r="T307" s="18" t="n">
        <f aca="false">MAX(ABS(E307),ABS(F307))</f>
        <v>0</v>
      </c>
      <c r="U307" s="18" t="n">
        <f aca="false">MAX(ABS(L307),ABS(M307))</f>
        <v>0.01</v>
      </c>
    </row>
    <row r="308" customFormat="false" ht="15" hidden="false" customHeight="false" outlineLevel="0" collapsed="false">
      <c r="A308" s="4" t="n">
        <v>285</v>
      </c>
      <c r="B308" s="4" t="n">
        <v>62</v>
      </c>
      <c r="C308" s="18" t="n">
        <v>0.75</v>
      </c>
      <c r="D308" s="21" t="n">
        <v>0</v>
      </c>
      <c r="E308" s="21" t="n">
        <v>0</v>
      </c>
      <c r="F308" s="21" t="n">
        <v>0</v>
      </c>
      <c r="G308" s="21" t="n">
        <v>0.01</v>
      </c>
      <c r="H308" s="21" t="n">
        <v>-0.01</v>
      </c>
      <c r="I308" s="21" t="n">
        <v>0.04</v>
      </c>
      <c r="J308" s="21" t="n">
        <v>-0.02</v>
      </c>
      <c r="K308" s="21" t="n">
        <v>0</v>
      </c>
      <c r="L308" s="21" t="n">
        <v>0</v>
      </c>
      <c r="M308" s="21" t="n">
        <v>0.01</v>
      </c>
      <c r="N308" s="21" t="n">
        <v>0.01</v>
      </c>
      <c r="O308" s="21" t="n">
        <v>-0.01</v>
      </c>
      <c r="P308" s="21" t="n">
        <v>0.04</v>
      </c>
      <c r="Q308" s="21" t="n">
        <v>-0.02</v>
      </c>
      <c r="R308" s="18" t="n">
        <f aca="false">ABS(D308)+MAX(ABS(G308),ABS(H308))+MAX(ABS(I308),ABS(J308))</f>
        <v>0.05</v>
      </c>
      <c r="S308" s="18" t="n">
        <f aca="false">ABS(K308)+MAX(ABS(N308),ABS(O308))+MAX(ABS(P308),ABS(Q308))</f>
        <v>0.05</v>
      </c>
      <c r="T308" s="18" t="n">
        <f aca="false">MAX(ABS(E308),ABS(F308))</f>
        <v>0</v>
      </c>
      <c r="U308" s="18" t="n">
        <f aca="false">MAX(ABS(L308),ABS(M308))</f>
        <v>0.01</v>
      </c>
    </row>
    <row r="309" customFormat="false" ht="15" hidden="false" customHeight="false" outlineLevel="0" collapsed="false">
      <c r="A309" s="4" t="n">
        <v>285</v>
      </c>
      <c r="B309" s="4" t="n">
        <v>62</v>
      </c>
      <c r="C309" s="18" t="n">
        <v>1</v>
      </c>
      <c r="D309" s="21" t="n">
        <v>0</v>
      </c>
      <c r="E309" s="21" t="n">
        <v>0</v>
      </c>
      <c r="F309" s="21" t="n">
        <v>0</v>
      </c>
      <c r="G309" s="21" t="n">
        <v>0.01</v>
      </c>
      <c r="H309" s="21" t="n">
        <v>-0.01</v>
      </c>
      <c r="I309" s="21" t="n">
        <v>0.07</v>
      </c>
      <c r="J309" s="21" t="n">
        <v>-0.03</v>
      </c>
      <c r="K309" s="21" t="n">
        <v>0</v>
      </c>
      <c r="L309" s="21" t="n">
        <v>0</v>
      </c>
      <c r="M309" s="21" t="n">
        <v>0.01</v>
      </c>
      <c r="N309" s="21" t="n">
        <v>0.01</v>
      </c>
      <c r="O309" s="21" t="n">
        <v>-0.01</v>
      </c>
      <c r="P309" s="21" t="n">
        <v>0.07</v>
      </c>
      <c r="Q309" s="21" t="n">
        <v>-0.03</v>
      </c>
      <c r="R309" s="18" t="n">
        <f aca="false">ABS(D309)+MAX(ABS(G309),ABS(H309))+MAX(ABS(I309),ABS(J309))</f>
        <v>0.08</v>
      </c>
      <c r="S309" s="18" t="n">
        <f aca="false">ABS(K309)+MAX(ABS(N309),ABS(O309))+MAX(ABS(P309),ABS(Q309))</f>
        <v>0.08</v>
      </c>
      <c r="T309" s="18" t="n">
        <f aca="false">MAX(ABS(E309),ABS(F309))</f>
        <v>0</v>
      </c>
      <c r="U309" s="18" t="n">
        <f aca="false">MAX(ABS(L309),ABS(M309))</f>
        <v>0.01</v>
      </c>
    </row>
    <row r="310" customFormat="false" ht="15" hidden="false" customHeight="false" outlineLevel="0" collapsed="false">
      <c r="A310" s="4" t="n">
        <v>286</v>
      </c>
      <c r="B310" s="4" t="n">
        <v>63</v>
      </c>
      <c r="C310" s="18" t="n">
        <v>0</v>
      </c>
      <c r="D310" s="21" t="n">
        <v>0</v>
      </c>
      <c r="E310" s="21" t="n">
        <v>0</v>
      </c>
      <c r="F310" s="21" t="n">
        <v>0</v>
      </c>
      <c r="G310" s="21" t="n">
        <v>0.01</v>
      </c>
      <c r="H310" s="21" t="n">
        <v>-0.01</v>
      </c>
      <c r="I310" s="21" t="n">
        <v>-0.07</v>
      </c>
      <c r="J310" s="21" t="n">
        <v>0.03</v>
      </c>
      <c r="K310" s="21" t="n">
        <v>0</v>
      </c>
      <c r="L310" s="21" t="n">
        <v>0</v>
      </c>
      <c r="M310" s="21" t="n">
        <v>0</v>
      </c>
      <c r="N310" s="21" t="n">
        <v>0.01</v>
      </c>
      <c r="O310" s="21" t="n">
        <v>-0.01</v>
      </c>
      <c r="P310" s="21" t="n">
        <v>-0.07</v>
      </c>
      <c r="Q310" s="21" t="n">
        <v>0.03</v>
      </c>
      <c r="R310" s="18" t="n">
        <f aca="false">ABS(D310)+MAX(ABS(G310),ABS(H310))+MAX(ABS(I310),ABS(J310))</f>
        <v>0.08</v>
      </c>
      <c r="S310" s="18" t="n">
        <f aca="false">ABS(K310)+MAX(ABS(N310),ABS(O310))+MAX(ABS(P310),ABS(Q310))</f>
        <v>0.08</v>
      </c>
      <c r="T310" s="18" t="n">
        <f aca="false">MAX(ABS(E310),ABS(F310))</f>
        <v>0</v>
      </c>
      <c r="U310" s="18" t="n">
        <f aca="false">MAX(ABS(L310),ABS(M310))</f>
        <v>0</v>
      </c>
    </row>
    <row r="311" customFormat="false" ht="15" hidden="false" customHeight="false" outlineLevel="0" collapsed="false">
      <c r="A311" s="4" t="n">
        <v>286</v>
      </c>
      <c r="B311" s="4" t="n">
        <v>63</v>
      </c>
      <c r="C311" s="18" t="n">
        <v>0.25</v>
      </c>
      <c r="D311" s="21" t="n">
        <v>0</v>
      </c>
      <c r="E311" s="21" t="n">
        <v>0</v>
      </c>
      <c r="F311" s="21" t="n">
        <v>0</v>
      </c>
      <c r="G311" s="21" t="n">
        <v>0</v>
      </c>
      <c r="H311" s="21" t="n">
        <v>0</v>
      </c>
      <c r="I311" s="21" t="n">
        <v>-0.03</v>
      </c>
      <c r="J311" s="21" t="n">
        <v>0.01</v>
      </c>
      <c r="K311" s="21" t="n">
        <v>0</v>
      </c>
      <c r="L311" s="21" t="n">
        <v>0</v>
      </c>
      <c r="M311" s="21" t="n">
        <v>0</v>
      </c>
      <c r="N311" s="21" t="n">
        <v>0</v>
      </c>
      <c r="O311" s="21" t="n">
        <v>0</v>
      </c>
      <c r="P311" s="21" t="n">
        <v>-0.03</v>
      </c>
      <c r="Q311" s="21" t="n">
        <v>0.01</v>
      </c>
      <c r="R311" s="18" t="n">
        <f aca="false">ABS(D311)+MAX(ABS(G311),ABS(H311))+MAX(ABS(I311),ABS(J311))</f>
        <v>0.03</v>
      </c>
      <c r="S311" s="18" t="n">
        <f aca="false">ABS(K311)+MAX(ABS(N311),ABS(O311))+MAX(ABS(P311),ABS(Q311))</f>
        <v>0.03</v>
      </c>
      <c r="T311" s="18" t="n">
        <f aca="false">MAX(ABS(E311),ABS(F311))</f>
        <v>0</v>
      </c>
      <c r="U311" s="18" t="n">
        <f aca="false">MAX(ABS(L311),ABS(M311))</f>
        <v>0</v>
      </c>
    </row>
    <row r="312" customFormat="false" ht="15" hidden="false" customHeight="false" outlineLevel="0" collapsed="false">
      <c r="A312" s="4" t="n">
        <v>286</v>
      </c>
      <c r="B312" s="4" t="n">
        <v>63</v>
      </c>
      <c r="C312" s="18" t="n">
        <v>0.5</v>
      </c>
      <c r="D312" s="21" t="n">
        <v>0</v>
      </c>
      <c r="E312" s="21" t="n">
        <v>0</v>
      </c>
      <c r="F312" s="21" t="n">
        <v>0</v>
      </c>
      <c r="G312" s="21" t="n">
        <v>0</v>
      </c>
      <c r="H312" s="21" t="n">
        <v>0</v>
      </c>
      <c r="I312" s="21" t="n">
        <v>0</v>
      </c>
      <c r="J312" s="21" t="n">
        <v>0</v>
      </c>
      <c r="K312" s="21" t="n">
        <v>0</v>
      </c>
      <c r="L312" s="21" t="n">
        <v>0</v>
      </c>
      <c r="M312" s="21" t="n">
        <v>0</v>
      </c>
      <c r="N312" s="21" t="n">
        <v>0</v>
      </c>
      <c r="O312" s="21" t="n">
        <v>0</v>
      </c>
      <c r="P312" s="21" t="n">
        <v>0</v>
      </c>
      <c r="Q312" s="21" t="n">
        <v>0</v>
      </c>
      <c r="R312" s="18" t="n">
        <f aca="false">ABS(D312)+MAX(ABS(G312),ABS(H312))+MAX(ABS(I312),ABS(J312))</f>
        <v>0</v>
      </c>
      <c r="S312" s="18" t="n">
        <f aca="false">ABS(K312)+MAX(ABS(N312),ABS(O312))+MAX(ABS(P312),ABS(Q312))</f>
        <v>0</v>
      </c>
      <c r="T312" s="18" t="n">
        <f aca="false">MAX(ABS(E312),ABS(F312))</f>
        <v>0</v>
      </c>
      <c r="U312" s="18" t="n">
        <f aca="false">MAX(ABS(L312),ABS(M312))</f>
        <v>0</v>
      </c>
    </row>
    <row r="313" customFormat="false" ht="15" hidden="false" customHeight="false" outlineLevel="0" collapsed="false">
      <c r="A313" s="4" t="n">
        <v>286</v>
      </c>
      <c r="B313" s="4" t="n">
        <v>63</v>
      </c>
      <c r="C313" s="18" t="n">
        <v>0.75</v>
      </c>
      <c r="D313" s="21" t="n">
        <v>0</v>
      </c>
      <c r="E313" s="21" t="n">
        <v>0</v>
      </c>
      <c r="F313" s="21" t="n">
        <v>0</v>
      </c>
      <c r="G313" s="21" t="n">
        <v>-0.01</v>
      </c>
      <c r="H313" s="21" t="n">
        <v>0.01</v>
      </c>
      <c r="I313" s="21" t="n">
        <v>0.04</v>
      </c>
      <c r="J313" s="21" t="n">
        <v>-0.02</v>
      </c>
      <c r="K313" s="21" t="n">
        <v>0</v>
      </c>
      <c r="L313" s="21" t="n">
        <v>0</v>
      </c>
      <c r="M313" s="21" t="n">
        <v>0</v>
      </c>
      <c r="N313" s="21" t="n">
        <v>-0.01</v>
      </c>
      <c r="O313" s="21" t="n">
        <v>0.01</v>
      </c>
      <c r="P313" s="21" t="n">
        <v>0.04</v>
      </c>
      <c r="Q313" s="21" t="n">
        <v>-0.02</v>
      </c>
      <c r="R313" s="18" t="n">
        <f aca="false">ABS(D313)+MAX(ABS(G313),ABS(H313))+MAX(ABS(I313),ABS(J313))</f>
        <v>0.05</v>
      </c>
      <c r="S313" s="18" t="n">
        <f aca="false">ABS(K313)+MAX(ABS(N313),ABS(O313))+MAX(ABS(P313),ABS(Q313))</f>
        <v>0.05</v>
      </c>
      <c r="T313" s="18" t="n">
        <f aca="false">MAX(ABS(E313),ABS(F313))</f>
        <v>0</v>
      </c>
      <c r="U313" s="18" t="n">
        <f aca="false">MAX(ABS(L313),ABS(M313))</f>
        <v>0</v>
      </c>
    </row>
    <row r="314" customFormat="false" ht="15" hidden="false" customHeight="false" outlineLevel="0" collapsed="false">
      <c r="A314" s="4" t="n">
        <v>286</v>
      </c>
      <c r="B314" s="4" t="n">
        <v>63</v>
      </c>
      <c r="C314" s="18" t="n">
        <v>1</v>
      </c>
      <c r="D314" s="21" t="n">
        <v>0</v>
      </c>
      <c r="E314" s="21" t="n">
        <v>0</v>
      </c>
      <c r="F314" s="21" t="n">
        <v>0</v>
      </c>
      <c r="G314" s="21" t="n">
        <v>-0.01</v>
      </c>
      <c r="H314" s="21" t="n">
        <v>0.01</v>
      </c>
      <c r="I314" s="21" t="n">
        <v>0.07</v>
      </c>
      <c r="J314" s="21" t="n">
        <v>-0.03</v>
      </c>
      <c r="K314" s="21" t="n">
        <v>0</v>
      </c>
      <c r="L314" s="21" t="n">
        <v>0</v>
      </c>
      <c r="M314" s="21" t="n">
        <v>0</v>
      </c>
      <c r="N314" s="21" t="n">
        <v>-0.01</v>
      </c>
      <c r="O314" s="21" t="n">
        <v>0.01</v>
      </c>
      <c r="P314" s="21" t="n">
        <v>0.07</v>
      </c>
      <c r="Q314" s="21" t="n">
        <v>-0.03</v>
      </c>
      <c r="R314" s="18" t="n">
        <f aca="false">ABS(D314)+MAX(ABS(G314),ABS(H314))+MAX(ABS(I314),ABS(J314))</f>
        <v>0.08</v>
      </c>
      <c r="S314" s="18" t="n">
        <f aca="false">ABS(K314)+MAX(ABS(N314),ABS(O314))+MAX(ABS(P314),ABS(Q314))</f>
        <v>0.08</v>
      </c>
      <c r="T314" s="18" t="n">
        <f aca="false">MAX(ABS(E314),ABS(F314))</f>
        <v>0</v>
      </c>
      <c r="U314" s="18" t="n">
        <f aca="false">MAX(ABS(L314),ABS(M314))</f>
        <v>0</v>
      </c>
    </row>
    <row r="315" customFormat="false" ht="15" hidden="false" customHeight="false" outlineLevel="0" collapsed="false">
      <c r="A315" s="4" t="n">
        <v>287</v>
      </c>
      <c r="B315" s="4" t="n">
        <v>64</v>
      </c>
      <c r="C315" s="18" t="n">
        <v>0</v>
      </c>
      <c r="D315" s="21" t="n">
        <v>0.01</v>
      </c>
      <c r="E315" s="21" t="n">
        <v>0</v>
      </c>
      <c r="F315" s="21" t="n">
        <v>0</v>
      </c>
      <c r="G315" s="21" t="n">
        <v>-0.01</v>
      </c>
      <c r="H315" s="21" t="n">
        <v>0.01</v>
      </c>
      <c r="I315" s="21" t="n">
        <v>0.05</v>
      </c>
      <c r="J315" s="21" t="n">
        <v>-0.02</v>
      </c>
      <c r="K315" s="21" t="n">
        <v>0.01</v>
      </c>
      <c r="L315" s="21" t="n">
        <v>0</v>
      </c>
      <c r="M315" s="21" t="n">
        <v>0</v>
      </c>
      <c r="N315" s="21" t="n">
        <v>-0.01</v>
      </c>
      <c r="O315" s="21" t="n">
        <v>0.01</v>
      </c>
      <c r="P315" s="21" t="n">
        <v>0.05</v>
      </c>
      <c r="Q315" s="21" t="n">
        <v>-0.02</v>
      </c>
      <c r="R315" s="18" t="n">
        <f aca="false">ABS(D315)+MAX(ABS(G315),ABS(H315))+MAX(ABS(I315),ABS(J315))</f>
        <v>0.07</v>
      </c>
      <c r="S315" s="18" t="n">
        <f aca="false">ABS(K315)+MAX(ABS(N315),ABS(O315))+MAX(ABS(P315),ABS(Q315))</f>
        <v>0.07</v>
      </c>
      <c r="T315" s="18" t="n">
        <f aca="false">MAX(ABS(E315),ABS(F315))</f>
        <v>0</v>
      </c>
      <c r="U315" s="18" t="n">
        <f aca="false">MAX(ABS(L315),ABS(M315))</f>
        <v>0</v>
      </c>
    </row>
    <row r="316" customFormat="false" ht="15" hidden="false" customHeight="false" outlineLevel="0" collapsed="false">
      <c r="A316" s="4" t="n">
        <v>287</v>
      </c>
      <c r="B316" s="4" t="n">
        <v>64</v>
      </c>
      <c r="C316" s="18" t="n">
        <v>0.25</v>
      </c>
      <c r="D316" s="21" t="n">
        <v>0.01</v>
      </c>
      <c r="E316" s="21" t="n">
        <v>0</v>
      </c>
      <c r="F316" s="21" t="n">
        <v>0</v>
      </c>
      <c r="G316" s="21" t="n">
        <v>-0.01</v>
      </c>
      <c r="H316" s="21" t="n">
        <v>0.01</v>
      </c>
      <c r="I316" s="21" t="n">
        <v>0.02</v>
      </c>
      <c r="J316" s="21" t="n">
        <v>-0.01</v>
      </c>
      <c r="K316" s="21" t="n">
        <v>0.01</v>
      </c>
      <c r="L316" s="21" t="n">
        <v>0</v>
      </c>
      <c r="M316" s="21" t="n">
        <v>0</v>
      </c>
      <c r="N316" s="21" t="n">
        <v>-0.01</v>
      </c>
      <c r="O316" s="21" t="n">
        <v>0.01</v>
      </c>
      <c r="P316" s="21" t="n">
        <v>0.02</v>
      </c>
      <c r="Q316" s="21" t="n">
        <v>-0.01</v>
      </c>
      <c r="R316" s="18" t="n">
        <f aca="false">ABS(D316)+MAX(ABS(G316),ABS(H316))+MAX(ABS(I316),ABS(J316))</f>
        <v>0.04</v>
      </c>
      <c r="S316" s="18" t="n">
        <f aca="false">ABS(K316)+MAX(ABS(N316),ABS(O316))+MAX(ABS(P316),ABS(Q316))</f>
        <v>0.04</v>
      </c>
      <c r="T316" s="18" t="n">
        <f aca="false">MAX(ABS(E316),ABS(F316))</f>
        <v>0</v>
      </c>
      <c r="U316" s="18" t="n">
        <f aca="false">MAX(ABS(L316),ABS(M316))</f>
        <v>0</v>
      </c>
    </row>
    <row r="317" customFormat="false" ht="15" hidden="false" customHeight="false" outlineLevel="0" collapsed="false">
      <c r="A317" s="4" t="n">
        <v>287</v>
      </c>
      <c r="B317" s="4" t="n">
        <v>64</v>
      </c>
      <c r="C317" s="18" t="n">
        <v>0.5</v>
      </c>
      <c r="D317" s="21" t="n">
        <v>0.01</v>
      </c>
      <c r="E317" s="21" t="n">
        <v>0</v>
      </c>
      <c r="F317" s="21" t="n">
        <v>0</v>
      </c>
      <c r="G317" s="21" t="n">
        <v>-0.01</v>
      </c>
      <c r="H317" s="21" t="n">
        <v>0.01</v>
      </c>
      <c r="I317" s="21" t="n">
        <v>0</v>
      </c>
      <c r="J317" s="21" t="n">
        <v>0</v>
      </c>
      <c r="K317" s="21" t="n">
        <v>0.01</v>
      </c>
      <c r="L317" s="21" t="n">
        <v>0</v>
      </c>
      <c r="M317" s="21" t="n">
        <v>0</v>
      </c>
      <c r="N317" s="21" t="n">
        <v>-0.01</v>
      </c>
      <c r="O317" s="21" t="n">
        <v>0.01</v>
      </c>
      <c r="P317" s="21" t="n">
        <v>0</v>
      </c>
      <c r="Q317" s="21" t="n">
        <v>0</v>
      </c>
      <c r="R317" s="18" t="n">
        <f aca="false">ABS(D317)+MAX(ABS(G317),ABS(H317))+MAX(ABS(I317),ABS(J317))</f>
        <v>0.02</v>
      </c>
      <c r="S317" s="18" t="n">
        <f aca="false">ABS(K317)+MAX(ABS(N317),ABS(O317))+MAX(ABS(P317),ABS(Q317))</f>
        <v>0.02</v>
      </c>
      <c r="T317" s="18" t="n">
        <f aca="false">MAX(ABS(E317),ABS(F317))</f>
        <v>0</v>
      </c>
      <c r="U317" s="18" t="n">
        <f aca="false">MAX(ABS(L317),ABS(M317))</f>
        <v>0</v>
      </c>
    </row>
    <row r="318" customFormat="false" ht="15" hidden="false" customHeight="false" outlineLevel="0" collapsed="false">
      <c r="A318" s="4" t="n">
        <v>287</v>
      </c>
      <c r="B318" s="4" t="n">
        <v>64</v>
      </c>
      <c r="C318" s="18" t="n">
        <v>0.75</v>
      </c>
      <c r="D318" s="21" t="n">
        <v>0.01</v>
      </c>
      <c r="E318" s="21" t="n">
        <v>0</v>
      </c>
      <c r="F318" s="21" t="n">
        <v>0</v>
      </c>
      <c r="G318" s="21" t="n">
        <v>-0.01</v>
      </c>
      <c r="H318" s="21" t="n">
        <v>0.01</v>
      </c>
      <c r="I318" s="21" t="n">
        <v>-0.02</v>
      </c>
      <c r="J318" s="21" t="n">
        <v>0.01</v>
      </c>
      <c r="K318" s="21" t="n">
        <v>0.01</v>
      </c>
      <c r="L318" s="21" t="n">
        <v>0</v>
      </c>
      <c r="M318" s="21" t="n">
        <v>0</v>
      </c>
      <c r="N318" s="21" t="n">
        <v>-0.01</v>
      </c>
      <c r="O318" s="21" t="n">
        <v>0.01</v>
      </c>
      <c r="P318" s="21" t="n">
        <v>-0.03</v>
      </c>
      <c r="Q318" s="21" t="n">
        <v>0.01</v>
      </c>
      <c r="R318" s="18" t="n">
        <f aca="false">ABS(D318)+MAX(ABS(G318),ABS(H318))+MAX(ABS(I318),ABS(J318))</f>
        <v>0.04</v>
      </c>
      <c r="S318" s="18" t="n">
        <f aca="false">ABS(K318)+MAX(ABS(N318),ABS(O318))+MAX(ABS(P318),ABS(Q318))</f>
        <v>0.05</v>
      </c>
      <c r="T318" s="18" t="n">
        <f aca="false">MAX(ABS(E318),ABS(F318))</f>
        <v>0</v>
      </c>
      <c r="U318" s="18" t="n">
        <f aca="false">MAX(ABS(L318),ABS(M318))</f>
        <v>0</v>
      </c>
    </row>
    <row r="319" customFormat="false" ht="15" hidden="false" customHeight="false" outlineLevel="0" collapsed="false">
      <c r="A319" s="4" t="n">
        <v>287</v>
      </c>
      <c r="B319" s="4" t="n">
        <v>64</v>
      </c>
      <c r="C319" s="18" t="n">
        <v>1</v>
      </c>
      <c r="D319" s="21" t="n">
        <v>0.01</v>
      </c>
      <c r="E319" s="21" t="n">
        <v>0</v>
      </c>
      <c r="F319" s="21" t="n">
        <v>0</v>
      </c>
      <c r="G319" s="21" t="n">
        <v>-0.01</v>
      </c>
      <c r="H319" s="21" t="n">
        <v>0.01</v>
      </c>
      <c r="I319" s="21" t="n">
        <v>-0.05</v>
      </c>
      <c r="J319" s="21" t="n">
        <v>0.02</v>
      </c>
      <c r="K319" s="21" t="n">
        <v>0.01</v>
      </c>
      <c r="L319" s="21" t="n">
        <v>0</v>
      </c>
      <c r="M319" s="21" t="n">
        <v>0</v>
      </c>
      <c r="N319" s="21" t="n">
        <v>-0.01</v>
      </c>
      <c r="O319" s="21" t="n">
        <v>0.01</v>
      </c>
      <c r="P319" s="21" t="n">
        <v>-0.05</v>
      </c>
      <c r="Q319" s="21" t="n">
        <v>0.02</v>
      </c>
      <c r="R319" s="18" t="n">
        <f aca="false">ABS(D319)+MAX(ABS(G319),ABS(H319))+MAX(ABS(I319),ABS(J319))</f>
        <v>0.07</v>
      </c>
      <c r="S319" s="18" t="n">
        <f aca="false">ABS(K319)+MAX(ABS(N319),ABS(O319))+MAX(ABS(P319),ABS(Q319))</f>
        <v>0.07</v>
      </c>
      <c r="T319" s="18" t="n">
        <f aca="false">MAX(ABS(E319),ABS(F319))</f>
        <v>0</v>
      </c>
      <c r="U319" s="18" t="n">
        <f aca="false">MAX(ABS(L319),ABS(M319))</f>
        <v>0</v>
      </c>
    </row>
    <row r="320" customFormat="false" ht="15" hidden="false" customHeight="false" outlineLevel="0" collapsed="false">
      <c r="A320" s="4" t="n">
        <v>288</v>
      </c>
      <c r="B320" s="4" t="n">
        <v>65</v>
      </c>
      <c r="C320" s="18" t="n">
        <v>0</v>
      </c>
      <c r="D320" s="21" t="n">
        <v>0.02</v>
      </c>
      <c r="E320" s="21" t="n">
        <v>0</v>
      </c>
      <c r="F320" s="21" t="n">
        <v>0</v>
      </c>
      <c r="G320" s="21" t="n">
        <v>-0.01</v>
      </c>
      <c r="H320" s="21" t="n">
        <v>0.01</v>
      </c>
      <c r="I320" s="21" t="n">
        <v>0.05</v>
      </c>
      <c r="J320" s="21" t="n">
        <v>-0.02</v>
      </c>
      <c r="K320" s="21" t="n">
        <v>0.02</v>
      </c>
      <c r="L320" s="21" t="n">
        <v>0</v>
      </c>
      <c r="M320" s="21" t="n">
        <v>0</v>
      </c>
      <c r="N320" s="21" t="n">
        <v>-0.01</v>
      </c>
      <c r="O320" s="21" t="n">
        <v>0.01</v>
      </c>
      <c r="P320" s="21" t="n">
        <v>0.05</v>
      </c>
      <c r="Q320" s="21" t="n">
        <v>-0.02</v>
      </c>
      <c r="R320" s="18" t="n">
        <f aca="false">ABS(D320)+MAX(ABS(G320),ABS(H320))+MAX(ABS(I320),ABS(J320))</f>
        <v>0.08</v>
      </c>
      <c r="S320" s="18" t="n">
        <f aca="false">ABS(K320)+MAX(ABS(N320),ABS(O320))+MAX(ABS(P320),ABS(Q320))</f>
        <v>0.08</v>
      </c>
      <c r="T320" s="18" t="n">
        <f aca="false">MAX(ABS(E320),ABS(F320))</f>
        <v>0</v>
      </c>
      <c r="U320" s="18" t="n">
        <f aca="false">MAX(ABS(L320),ABS(M320))</f>
        <v>0</v>
      </c>
    </row>
    <row r="321" customFormat="false" ht="15" hidden="false" customHeight="false" outlineLevel="0" collapsed="false">
      <c r="A321" s="4" t="n">
        <v>288</v>
      </c>
      <c r="B321" s="4" t="n">
        <v>65</v>
      </c>
      <c r="C321" s="18" t="n">
        <v>0.25</v>
      </c>
      <c r="D321" s="21" t="n">
        <v>0.02</v>
      </c>
      <c r="E321" s="21" t="n">
        <v>0</v>
      </c>
      <c r="F321" s="21" t="n">
        <v>0</v>
      </c>
      <c r="G321" s="21" t="n">
        <v>-0.01</v>
      </c>
      <c r="H321" s="21" t="n">
        <v>0.01</v>
      </c>
      <c r="I321" s="21" t="n">
        <v>0.02</v>
      </c>
      <c r="J321" s="21" t="n">
        <v>-0.01</v>
      </c>
      <c r="K321" s="21" t="n">
        <v>0.02</v>
      </c>
      <c r="L321" s="21" t="n">
        <v>0</v>
      </c>
      <c r="M321" s="21" t="n">
        <v>0</v>
      </c>
      <c r="N321" s="21" t="n">
        <v>-0.01</v>
      </c>
      <c r="O321" s="21" t="n">
        <v>0.01</v>
      </c>
      <c r="P321" s="21" t="n">
        <v>0.02</v>
      </c>
      <c r="Q321" s="21" t="n">
        <v>-0.01</v>
      </c>
      <c r="R321" s="18" t="n">
        <f aca="false">ABS(D321)+MAX(ABS(G321),ABS(H321))+MAX(ABS(I321),ABS(J321))</f>
        <v>0.05</v>
      </c>
      <c r="S321" s="18" t="n">
        <f aca="false">ABS(K321)+MAX(ABS(N321),ABS(O321))+MAX(ABS(P321),ABS(Q321))</f>
        <v>0.05</v>
      </c>
      <c r="T321" s="18" t="n">
        <f aca="false">MAX(ABS(E321),ABS(F321))</f>
        <v>0</v>
      </c>
      <c r="U321" s="18" t="n">
        <f aca="false">MAX(ABS(L321),ABS(M321))</f>
        <v>0</v>
      </c>
    </row>
    <row r="322" customFormat="false" ht="15" hidden="false" customHeight="false" outlineLevel="0" collapsed="false">
      <c r="A322" s="4" t="n">
        <v>288</v>
      </c>
      <c r="B322" s="4" t="n">
        <v>65</v>
      </c>
      <c r="C322" s="18" t="n">
        <v>0.5</v>
      </c>
      <c r="D322" s="21" t="n">
        <v>0.02</v>
      </c>
      <c r="E322" s="21" t="n">
        <v>0</v>
      </c>
      <c r="F322" s="21" t="n">
        <v>0</v>
      </c>
      <c r="G322" s="21" t="n">
        <v>0</v>
      </c>
      <c r="H322" s="21" t="n">
        <v>0</v>
      </c>
      <c r="I322" s="21" t="n">
        <v>0</v>
      </c>
      <c r="J322" s="21" t="n">
        <v>0</v>
      </c>
      <c r="K322" s="21" t="n">
        <v>0.02</v>
      </c>
      <c r="L322" s="21" t="n">
        <v>0</v>
      </c>
      <c r="M322" s="21" t="n">
        <v>0</v>
      </c>
      <c r="N322" s="21" t="n">
        <v>0</v>
      </c>
      <c r="O322" s="21" t="n">
        <v>0</v>
      </c>
      <c r="P322" s="21" t="n">
        <v>0</v>
      </c>
      <c r="Q322" s="21" t="n">
        <v>0</v>
      </c>
      <c r="R322" s="18" t="n">
        <f aca="false">ABS(D322)+MAX(ABS(G322),ABS(H322))+MAX(ABS(I322),ABS(J322))</f>
        <v>0.02</v>
      </c>
      <c r="S322" s="18" t="n">
        <f aca="false">ABS(K322)+MAX(ABS(N322),ABS(O322))+MAX(ABS(P322),ABS(Q322))</f>
        <v>0.02</v>
      </c>
      <c r="T322" s="18" t="n">
        <f aca="false">MAX(ABS(E322),ABS(F322))</f>
        <v>0</v>
      </c>
      <c r="U322" s="18" t="n">
        <f aca="false">MAX(ABS(L322),ABS(M322))</f>
        <v>0</v>
      </c>
    </row>
    <row r="323" customFormat="false" ht="15" hidden="false" customHeight="false" outlineLevel="0" collapsed="false">
      <c r="A323" s="4" t="n">
        <v>288</v>
      </c>
      <c r="B323" s="4" t="n">
        <v>65</v>
      </c>
      <c r="C323" s="18" t="n">
        <v>0.75</v>
      </c>
      <c r="D323" s="21" t="n">
        <v>0.02</v>
      </c>
      <c r="E323" s="21" t="n">
        <v>0</v>
      </c>
      <c r="F323" s="21" t="n">
        <v>0</v>
      </c>
      <c r="G323" s="21" t="n">
        <v>0.01</v>
      </c>
      <c r="H323" s="21" t="n">
        <v>-0.01</v>
      </c>
      <c r="I323" s="21" t="n">
        <v>-0.03</v>
      </c>
      <c r="J323" s="21" t="n">
        <v>0.01</v>
      </c>
      <c r="K323" s="21" t="n">
        <v>0.02</v>
      </c>
      <c r="L323" s="21" t="n">
        <v>0</v>
      </c>
      <c r="M323" s="21" t="n">
        <v>0</v>
      </c>
      <c r="N323" s="21" t="n">
        <v>0.01</v>
      </c>
      <c r="O323" s="21" t="n">
        <v>-0.01</v>
      </c>
      <c r="P323" s="21" t="n">
        <v>-0.03</v>
      </c>
      <c r="Q323" s="21" t="n">
        <v>0.01</v>
      </c>
      <c r="R323" s="18" t="n">
        <f aca="false">ABS(D323)+MAX(ABS(G323),ABS(H323))+MAX(ABS(I323),ABS(J323))</f>
        <v>0.06</v>
      </c>
      <c r="S323" s="18" t="n">
        <f aca="false">ABS(K323)+MAX(ABS(N323),ABS(O323))+MAX(ABS(P323),ABS(Q323))</f>
        <v>0.06</v>
      </c>
      <c r="T323" s="18" t="n">
        <f aca="false">MAX(ABS(E323),ABS(F323))</f>
        <v>0</v>
      </c>
      <c r="U323" s="18" t="n">
        <f aca="false">MAX(ABS(L323),ABS(M323))</f>
        <v>0</v>
      </c>
    </row>
    <row r="324" customFormat="false" ht="15" hidden="false" customHeight="false" outlineLevel="0" collapsed="false">
      <c r="A324" s="4" t="n">
        <v>288</v>
      </c>
      <c r="B324" s="4" t="n">
        <v>65</v>
      </c>
      <c r="C324" s="18" t="n">
        <v>1</v>
      </c>
      <c r="D324" s="21" t="n">
        <v>0.02</v>
      </c>
      <c r="E324" s="21" t="n">
        <v>0</v>
      </c>
      <c r="F324" s="21" t="n">
        <v>0</v>
      </c>
      <c r="G324" s="21" t="n">
        <v>0.01</v>
      </c>
      <c r="H324" s="21" t="n">
        <v>-0.01</v>
      </c>
      <c r="I324" s="21" t="n">
        <v>-0.05</v>
      </c>
      <c r="J324" s="21" t="n">
        <v>0.02</v>
      </c>
      <c r="K324" s="21" t="n">
        <v>0.02</v>
      </c>
      <c r="L324" s="21" t="n">
        <v>0</v>
      </c>
      <c r="M324" s="21" t="n">
        <v>0</v>
      </c>
      <c r="N324" s="21" t="n">
        <v>0.01</v>
      </c>
      <c r="O324" s="21" t="n">
        <v>-0.01</v>
      </c>
      <c r="P324" s="21" t="n">
        <v>-0.05</v>
      </c>
      <c r="Q324" s="21" t="n">
        <v>0.02</v>
      </c>
      <c r="R324" s="18" t="n">
        <f aca="false">ABS(D324)+MAX(ABS(G324),ABS(H324))+MAX(ABS(I324),ABS(J324))</f>
        <v>0.08</v>
      </c>
      <c r="S324" s="18" t="n">
        <f aca="false">ABS(K324)+MAX(ABS(N324),ABS(O324))+MAX(ABS(P324),ABS(Q324))</f>
        <v>0.08</v>
      </c>
      <c r="T324" s="18" t="n">
        <f aca="false">MAX(ABS(E324),ABS(F324))</f>
        <v>0</v>
      </c>
      <c r="U324" s="18" t="n">
        <f aca="false">MAX(ABS(L324),ABS(M324))</f>
        <v>0</v>
      </c>
    </row>
    <row r="325" customFormat="false" ht="15" hidden="false" customHeight="false" outlineLevel="0" collapsed="false">
      <c r="A325" s="4" t="n">
        <v>289</v>
      </c>
      <c r="B325" s="4" t="n">
        <v>66</v>
      </c>
      <c r="C325" s="18" t="n">
        <v>0</v>
      </c>
      <c r="D325" s="21" t="n">
        <v>0.01</v>
      </c>
      <c r="E325" s="21" t="n">
        <v>0</v>
      </c>
      <c r="F325" s="21" t="n">
        <v>0</v>
      </c>
      <c r="G325" s="21" t="n">
        <v>0</v>
      </c>
      <c r="H325" s="21" t="n">
        <v>0</v>
      </c>
      <c r="I325" s="21" t="n">
        <v>0.04</v>
      </c>
      <c r="J325" s="21" t="n">
        <v>-0.02</v>
      </c>
      <c r="K325" s="21" t="n">
        <v>0.01</v>
      </c>
      <c r="L325" s="21" t="n">
        <v>0</v>
      </c>
      <c r="M325" s="21" t="n">
        <v>0</v>
      </c>
      <c r="N325" s="21" t="n">
        <v>0</v>
      </c>
      <c r="O325" s="21" t="n">
        <v>0</v>
      </c>
      <c r="P325" s="21" t="n">
        <v>0.04</v>
      </c>
      <c r="Q325" s="21" t="n">
        <v>-0.02</v>
      </c>
      <c r="R325" s="18" t="n">
        <f aca="false">ABS(D325)+MAX(ABS(G325),ABS(H325))+MAX(ABS(I325),ABS(J325))</f>
        <v>0.05</v>
      </c>
      <c r="S325" s="18" t="n">
        <f aca="false">ABS(K325)+MAX(ABS(N325),ABS(O325))+MAX(ABS(P325),ABS(Q325))</f>
        <v>0.05</v>
      </c>
      <c r="T325" s="18" t="n">
        <f aca="false">MAX(ABS(E325),ABS(F325))</f>
        <v>0</v>
      </c>
      <c r="U325" s="18" t="n">
        <f aca="false">MAX(ABS(L325),ABS(M325))</f>
        <v>0</v>
      </c>
    </row>
    <row r="326" customFormat="false" ht="15" hidden="false" customHeight="false" outlineLevel="0" collapsed="false">
      <c r="A326" s="4" t="n">
        <v>289</v>
      </c>
      <c r="B326" s="4" t="n">
        <v>66</v>
      </c>
      <c r="C326" s="18" t="n">
        <v>0.25</v>
      </c>
      <c r="D326" s="21" t="n">
        <v>0.01</v>
      </c>
      <c r="E326" s="21" t="n">
        <v>0</v>
      </c>
      <c r="F326" s="21" t="n">
        <v>0</v>
      </c>
      <c r="G326" s="21" t="n">
        <v>0</v>
      </c>
      <c r="H326" s="21" t="n">
        <v>0</v>
      </c>
      <c r="I326" s="21" t="n">
        <v>0.02</v>
      </c>
      <c r="J326" s="21" t="n">
        <v>-0.01</v>
      </c>
      <c r="K326" s="21" t="n">
        <v>0.01</v>
      </c>
      <c r="L326" s="21" t="n">
        <v>0</v>
      </c>
      <c r="M326" s="21" t="n">
        <v>0</v>
      </c>
      <c r="N326" s="21" t="n">
        <v>0</v>
      </c>
      <c r="O326" s="21" t="n">
        <v>0</v>
      </c>
      <c r="P326" s="21" t="n">
        <v>0.02</v>
      </c>
      <c r="Q326" s="21" t="n">
        <v>-0.01</v>
      </c>
      <c r="R326" s="18" t="n">
        <f aca="false">ABS(D326)+MAX(ABS(G326),ABS(H326))+MAX(ABS(I326),ABS(J326))</f>
        <v>0.03</v>
      </c>
      <c r="S326" s="18" t="n">
        <f aca="false">ABS(K326)+MAX(ABS(N326),ABS(O326))+MAX(ABS(P326),ABS(Q326))</f>
        <v>0.03</v>
      </c>
      <c r="T326" s="18" t="n">
        <f aca="false">MAX(ABS(E326),ABS(F326))</f>
        <v>0</v>
      </c>
      <c r="U326" s="18" t="n">
        <f aca="false">MAX(ABS(L326),ABS(M326))</f>
        <v>0</v>
      </c>
    </row>
    <row r="327" customFormat="false" ht="15" hidden="false" customHeight="false" outlineLevel="0" collapsed="false">
      <c r="A327" s="4" t="n">
        <v>289</v>
      </c>
      <c r="B327" s="4" t="n">
        <v>66</v>
      </c>
      <c r="C327" s="18" t="n">
        <v>0.5</v>
      </c>
      <c r="D327" s="21" t="n">
        <v>0.01</v>
      </c>
      <c r="E327" s="21" t="n">
        <v>0</v>
      </c>
      <c r="F327" s="21" t="n">
        <v>0</v>
      </c>
      <c r="G327" s="21" t="n">
        <v>0.01</v>
      </c>
      <c r="H327" s="21" t="n">
        <v>-0.01</v>
      </c>
      <c r="I327" s="21" t="n">
        <v>0</v>
      </c>
      <c r="J327" s="21" t="n">
        <v>0</v>
      </c>
      <c r="K327" s="21" t="n">
        <v>0.01</v>
      </c>
      <c r="L327" s="21" t="n">
        <v>0</v>
      </c>
      <c r="M327" s="21" t="n">
        <v>0</v>
      </c>
      <c r="N327" s="21" t="n">
        <v>0.01</v>
      </c>
      <c r="O327" s="21" t="n">
        <v>-0.01</v>
      </c>
      <c r="P327" s="21" t="n">
        <v>0</v>
      </c>
      <c r="Q327" s="21" t="n">
        <v>0</v>
      </c>
      <c r="R327" s="18" t="n">
        <f aca="false">ABS(D327)+MAX(ABS(G327),ABS(H327))+MAX(ABS(I327),ABS(J327))</f>
        <v>0.02</v>
      </c>
      <c r="S327" s="18" t="n">
        <f aca="false">ABS(K327)+MAX(ABS(N327),ABS(O327))+MAX(ABS(P327),ABS(Q327))</f>
        <v>0.02</v>
      </c>
      <c r="T327" s="18" t="n">
        <f aca="false">MAX(ABS(E327),ABS(F327))</f>
        <v>0</v>
      </c>
      <c r="U327" s="18" t="n">
        <f aca="false">MAX(ABS(L327),ABS(M327))</f>
        <v>0</v>
      </c>
    </row>
    <row r="328" customFormat="false" ht="15" hidden="false" customHeight="false" outlineLevel="0" collapsed="false">
      <c r="A328" s="4" t="n">
        <v>289</v>
      </c>
      <c r="B328" s="4" t="n">
        <v>66</v>
      </c>
      <c r="C328" s="18" t="n">
        <v>0.75</v>
      </c>
      <c r="D328" s="21" t="n">
        <v>0.01</v>
      </c>
      <c r="E328" s="21" t="n">
        <v>0</v>
      </c>
      <c r="F328" s="21" t="n">
        <v>0</v>
      </c>
      <c r="G328" s="21" t="n">
        <v>0.01</v>
      </c>
      <c r="H328" s="21" t="n">
        <v>-0.01</v>
      </c>
      <c r="I328" s="21" t="n">
        <v>-0.02</v>
      </c>
      <c r="J328" s="21" t="n">
        <v>0.01</v>
      </c>
      <c r="K328" s="21" t="n">
        <v>0.01</v>
      </c>
      <c r="L328" s="21" t="n">
        <v>0</v>
      </c>
      <c r="M328" s="21" t="n">
        <v>0</v>
      </c>
      <c r="N328" s="21" t="n">
        <v>0.01</v>
      </c>
      <c r="O328" s="21" t="n">
        <v>-0.01</v>
      </c>
      <c r="P328" s="21" t="n">
        <v>-0.02</v>
      </c>
      <c r="Q328" s="21" t="n">
        <v>0.01</v>
      </c>
      <c r="R328" s="18" t="n">
        <f aca="false">ABS(D328)+MAX(ABS(G328),ABS(H328))+MAX(ABS(I328),ABS(J328))</f>
        <v>0.04</v>
      </c>
      <c r="S328" s="18" t="n">
        <f aca="false">ABS(K328)+MAX(ABS(N328),ABS(O328))+MAX(ABS(P328),ABS(Q328))</f>
        <v>0.04</v>
      </c>
      <c r="T328" s="18" t="n">
        <f aca="false">MAX(ABS(E328),ABS(F328))</f>
        <v>0</v>
      </c>
      <c r="U328" s="18" t="n">
        <f aca="false">MAX(ABS(L328),ABS(M328))</f>
        <v>0</v>
      </c>
    </row>
    <row r="329" customFormat="false" ht="15" hidden="false" customHeight="false" outlineLevel="0" collapsed="false">
      <c r="A329" s="4" t="n">
        <v>289</v>
      </c>
      <c r="B329" s="4" t="n">
        <v>66</v>
      </c>
      <c r="C329" s="18" t="n">
        <v>1</v>
      </c>
      <c r="D329" s="21" t="n">
        <v>0.01</v>
      </c>
      <c r="E329" s="21" t="n">
        <v>0</v>
      </c>
      <c r="F329" s="21" t="n">
        <v>0</v>
      </c>
      <c r="G329" s="21" t="n">
        <v>0.02</v>
      </c>
      <c r="H329" s="21" t="n">
        <v>-0.02</v>
      </c>
      <c r="I329" s="21" t="n">
        <v>-0.04</v>
      </c>
      <c r="J329" s="21" t="n">
        <v>0.02</v>
      </c>
      <c r="K329" s="21" t="n">
        <v>0.01</v>
      </c>
      <c r="L329" s="21" t="n">
        <v>0</v>
      </c>
      <c r="M329" s="21" t="n">
        <v>0</v>
      </c>
      <c r="N329" s="21" t="n">
        <v>0.01</v>
      </c>
      <c r="O329" s="21" t="n">
        <v>-0.01</v>
      </c>
      <c r="P329" s="21" t="n">
        <v>-0.04</v>
      </c>
      <c r="Q329" s="21" t="n">
        <v>0.02</v>
      </c>
      <c r="R329" s="18" t="n">
        <f aca="false">ABS(D329)+MAX(ABS(G329),ABS(H329))+MAX(ABS(I329),ABS(J329))</f>
        <v>0.07</v>
      </c>
      <c r="S329" s="18" t="n">
        <f aca="false">ABS(K329)+MAX(ABS(N329),ABS(O329))+MAX(ABS(P329),ABS(Q329))</f>
        <v>0.06</v>
      </c>
      <c r="T329" s="18" t="n">
        <f aca="false">MAX(ABS(E329),ABS(F329))</f>
        <v>0</v>
      </c>
      <c r="U329" s="18" t="n">
        <f aca="false">MAX(ABS(L329),ABS(M329))</f>
        <v>0</v>
      </c>
    </row>
    <row r="330" customFormat="false" ht="15" hidden="false" customHeight="false" outlineLevel="0" collapsed="false">
      <c r="A330" s="4" t="n">
        <v>290</v>
      </c>
      <c r="B330" s="4" t="n">
        <v>67</v>
      </c>
      <c r="C330" s="18" t="n">
        <v>0</v>
      </c>
      <c r="D330" s="21" t="n">
        <v>0.01</v>
      </c>
      <c r="E330" s="21" t="n">
        <v>0</v>
      </c>
      <c r="F330" s="21" t="n">
        <v>0</v>
      </c>
      <c r="G330" s="21" t="n">
        <v>0.01</v>
      </c>
      <c r="H330" s="21" t="n">
        <v>-0.01</v>
      </c>
      <c r="I330" s="21" t="n">
        <v>0.04</v>
      </c>
      <c r="J330" s="21" t="n">
        <v>-0.02</v>
      </c>
      <c r="K330" s="21" t="n">
        <v>0.01</v>
      </c>
      <c r="L330" s="21" t="n">
        <v>0</v>
      </c>
      <c r="M330" s="21" t="n">
        <v>0</v>
      </c>
      <c r="N330" s="21" t="n">
        <v>0.01</v>
      </c>
      <c r="O330" s="21" t="n">
        <v>-0.01</v>
      </c>
      <c r="P330" s="21" t="n">
        <v>0.04</v>
      </c>
      <c r="Q330" s="21" t="n">
        <v>-0.02</v>
      </c>
      <c r="R330" s="18" t="n">
        <f aca="false">ABS(D330)+MAX(ABS(G330),ABS(H330))+MAX(ABS(I330),ABS(J330))</f>
        <v>0.06</v>
      </c>
      <c r="S330" s="18" t="n">
        <f aca="false">ABS(K330)+MAX(ABS(N330),ABS(O330))+MAX(ABS(P330),ABS(Q330))</f>
        <v>0.06</v>
      </c>
      <c r="T330" s="18" t="n">
        <f aca="false">MAX(ABS(E330),ABS(F330))</f>
        <v>0</v>
      </c>
      <c r="U330" s="18" t="n">
        <f aca="false">MAX(ABS(L330),ABS(M330))</f>
        <v>0</v>
      </c>
    </row>
    <row r="331" customFormat="false" ht="15" hidden="false" customHeight="false" outlineLevel="0" collapsed="false">
      <c r="A331" s="4" t="n">
        <v>290</v>
      </c>
      <c r="B331" s="4" t="n">
        <v>67</v>
      </c>
      <c r="C331" s="18" t="n">
        <v>0.25</v>
      </c>
      <c r="D331" s="21" t="n">
        <v>0.01</v>
      </c>
      <c r="E331" s="21" t="n">
        <v>0</v>
      </c>
      <c r="F331" s="21" t="n">
        <v>0</v>
      </c>
      <c r="G331" s="21" t="n">
        <v>0.01</v>
      </c>
      <c r="H331" s="21" t="n">
        <v>-0.01</v>
      </c>
      <c r="I331" s="21" t="n">
        <v>0.02</v>
      </c>
      <c r="J331" s="21" t="n">
        <v>-0.01</v>
      </c>
      <c r="K331" s="21" t="n">
        <v>0.01</v>
      </c>
      <c r="L331" s="21" t="n">
        <v>0</v>
      </c>
      <c r="M331" s="21" t="n">
        <v>0</v>
      </c>
      <c r="N331" s="21" t="n">
        <v>0.01</v>
      </c>
      <c r="O331" s="21" t="n">
        <v>-0.01</v>
      </c>
      <c r="P331" s="21" t="n">
        <v>0.02</v>
      </c>
      <c r="Q331" s="21" t="n">
        <v>-0.01</v>
      </c>
      <c r="R331" s="18" t="n">
        <f aca="false">ABS(D331)+MAX(ABS(G331),ABS(H331))+MAX(ABS(I331),ABS(J331))</f>
        <v>0.04</v>
      </c>
      <c r="S331" s="18" t="n">
        <f aca="false">ABS(K331)+MAX(ABS(N331),ABS(O331))+MAX(ABS(P331),ABS(Q331))</f>
        <v>0.04</v>
      </c>
      <c r="T331" s="18" t="n">
        <f aca="false">MAX(ABS(E331),ABS(F331))</f>
        <v>0</v>
      </c>
      <c r="U331" s="18" t="n">
        <f aca="false">MAX(ABS(L331),ABS(M331))</f>
        <v>0</v>
      </c>
    </row>
    <row r="332" customFormat="false" ht="15" hidden="false" customHeight="false" outlineLevel="0" collapsed="false">
      <c r="A332" s="4" t="n">
        <v>290</v>
      </c>
      <c r="B332" s="4" t="n">
        <v>67</v>
      </c>
      <c r="C332" s="18" t="n">
        <v>0.5</v>
      </c>
      <c r="D332" s="21" t="n">
        <v>0.01</v>
      </c>
      <c r="E332" s="21" t="n">
        <v>0</v>
      </c>
      <c r="F332" s="21" t="n">
        <v>0</v>
      </c>
      <c r="G332" s="21" t="n">
        <v>0</v>
      </c>
      <c r="H332" s="21" t="n">
        <v>0</v>
      </c>
      <c r="I332" s="21" t="n">
        <v>0</v>
      </c>
      <c r="J332" s="21" t="n">
        <v>0</v>
      </c>
      <c r="K332" s="21" t="n">
        <v>0.01</v>
      </c>
      <c r="L332" s="21" t="n">
        <v>0</v>
      </c>
      <c r="M332" s="21" t="n">
        <v>0</v>
      </c>
      <c r="N332" s="21" t="n">
        <v>0</v>
      </c>
      <c r="O332" s="21" t="n">
        <v>0</v>
      </c>
      <c r="P332" s="21" t="n">
        <v>0</v>
      </c>
      <c r="Q332" s="21" t="n">
        <v>0</v>
      </c>
      <c r="R332" s="18" t="n">
        <f aca="false">ABS(D332)+MAX(ABS(G332),ABS(H332))+MAX(ABS(I332),ABS(J332))</f>
        <v>0.01</v>
      </c>
      <c r="S332" s="18" t="n">
        <f aca="false">ABS(K332)+MAX(ABS(N332),ABS(O332))+MAX(ABS(P332),ABS(Q332))</f>
        <v>0.01</v>
      </c>
      <c r="T332" s="18" t="n">
        <f aca="false">MAX(ABS(E332),ABS(F332))</f>
        <v>0</v>
      </c>
      <c r="U332" s="18" t="n">
        <f aca="false">MAX(ABS(L332),ABS(M332))</f>
        <v>0</v>
      </c>
    </row>
    <row r="333" customFormat="false" ht="15" hidden="false" customHeight="false" outlineLevel="0" collapsed="false">
      <c r="A333" s="4" t="n">
        <v>290</v>
      </c>
      <c r="B333" s="4" t="n">
        <v>67</v>
      </c>
      <c r="C333" s="18" t="n">
        <v>0.75</v>
      </c>
      <c r="D333" s="21" t="n">
        <v>0.01</v>
      </c>
      <c r="E333" s="21" t="n">
        <v>0</v>
      </c>
      <c r="F333" s="21" t="n">
        <v>0</v>
      </c>
      <c r="G333" s="21" t="n">
        <v>-0.01</v>
      </c>
      <c r="H333" s="21" t="n">
        <v>0.01</v>
      </c>
      <c r="I333" s="21" t="n">
        <v>-0.02</v>
      </c>
      <c r="J333" s="21" t="n">
        <v>0.01</v>
      </c>
      <c r="K333" s="21" t="n">
        <v>0.01</v>
      </c>
      <c r="L333" s="21" t="n">
        <v>0</v>
      </c>
      <c r="M333" s="21" t="n">
        <v>0</v>
      </c>
      <c r="N333" s="21" t="n">
        <v>-0.01</v>
      </c>
      <c r="O333" s="21" t="n">
        <v>0.01</v>
      </c>
      <c r="P333" s="21" t="n">
        <v>-0.02</v>
      </c>
      <c r="Q333" s="21" t="n">
        <v>0.01</v>
      </c>
      <c r="R333" s="18" t="n">
        <f aca="false">ABS(D333)+MAX(ABS(G333),ABS(H333))+MAX(ABS(I333),ABS(J333))</f>
        <v>0.04</v>
      </c>
      <c r="S333" s="18" t="n">
        <f aca="false">ABS(K333)+MAX(ABS(N333),ABS(O333))+MAX(ABS(P333),ABS(Q333))</f>
        <v>0.04</v>
      </c>
      <c r="T333" s="18" t="n">
        <f aca="false">MAX(ABS(E333),ABS(F333))</f>
        <v>0</v>
      </c>
      <c r="U333" s="18" t="n">
        <f aca="false">MAX(ABS(L333),ABS(M333))</f>
        <v>0</v>
      </c>
    </row>
    <row r="334" customFormat="false" ht="15" hidden="false" customHeight="false" outlineLevel="0" collapsed="false">
      <c r="A334" s="4" t="n">
        <v>290</v>
      </c>
      <c r="B334" s="4" t="n">
        <v>67</v>
      </c>
      <c r="C334" s="18" t="n">
        <v>1</v>
      </c>
      <c r="D334" s="21" t="n">
        <v>0.01</v>
      </c>
      <c r="E334" s="21" t="n">
        <v>0</v>
      </c>
      <c r="F334" s="21" t="n">
        <v>0</v>
      </c>
      <c r="G334" s="21" t="n">
        <v>-0.01</v>
      </c>
      <c r="H334" s="21" t="n">
        <v>0.01</v>
      </c>
      <c r="I334" s="21" t="n">
        <v>-0.04</v>
      </c>
      <c r="J334" s="21" t="n">
        <v>0.02</v>
      </c>
      <c r="K334" s="21" t="n">
        <v>0.01</v>
      </c>
      <c r="L334" s="21" t="n">
        <v>0</v>
      </c>
      <c r="M334" s="21" t="n">
        <v>0</v>
      </c>
      <c r="N334" s="21" t="n">
        <v>-0.02</v>
      </c>
      <c r="O334" s="21" t="n">
        <v>0.02</v>
      </c>
      <c r="P334" s="21" t="n">
        <v>-0.05</v>
      </c>
      <c r="Q334" s="21" t="n">
        <v>0.02</v>
      </c>
      <c r="R334" s="18" t="n">
        <f aca="false">ABS(D334)+MAX(ABS(G334),ABS(H334))+MAX(ABS(I334),ABS(J334))</f>
        <v>0.06</v>
      </c>
      <c r="S334" s="18" t="n">
        <f aca="false">ABS(K334)+MAX(ABS(N334),ABS(O334))+MAX(ABS(P334),ABS(Q334))</f>
        <v>0.08</v>
      </c>
      <c r="T334" s="18" t="n">
        <f aca="false">MAX(ABS(E334),ABS(F334))</f>
        <v>0</v>
      </c>
      <c r="U334" s="18" t="n">
        <f aca="false">MAX(ABS(L334),ABS(M334))</f>
        <v>0</v>
      </c>
    </row>
    <row r="335" customFormat="false" ht="15" hidden="false" customHeight="false" outlineLevel="0" collapsed="false">
      <c r="A335" s="4" t="n">
        <v>291</v>
      </c>
      <c r="B335" s="4" t="n">
        <v>68</v>
      </c>
      <c r="C335" s="18" t="n">
        <v>0</v>
      </c>
      <c r="D335" s="21" t="n">
        <v>0</v>
      </c>
      <c r="E335" s="21" t="n">
        <v>0</v>
      </c>
      <c r="F335" s="21" t="n">
        <v>0</v>
      </c>
      <c r="G335" s="21" t="n">
        <v>-0.01</v>
      </c>
      <c r="H335" s="21" t="n">
        <v>0.01</v>
      </c>
      <c r="I335" s="21" t="n">
        <v>-0.06</v>
      </c>
      <c r="J335" s="21" t="n">
        <v>0.03</v>
      </c>
      <c r="K335" s="21" t="n">
        <v>0</v>
      </c>
      <c r="L335" s="21" t="n">
        <v>0</v>
      </c>
      <c r="M335" s="21" t="n">
        <v>0</v>
      </c>
      <c r="N335" s="21" t="n">
        <v>-0.01</v>
      </c>
      <c r="O335" s="21" t="n">
        <v>0.01</v>
      </c>
      <c r="P335" s="21" t="n">
        <v>-0.06</v>
      </c>
      <c r="Q335" s="21" t="n">
        <v>0.03</v>
      </c>
      <c r="R335" s="18" t="n">
        <f aca="false">ABS(D335)+MAX(ABS(G335),ABS(H335))+MAX(ABS(I335),ABS(J335))</f>
        <v>0.07</v>
      </c>
      <c r="S335" s="18" t="n">
        <f aca="false">ABS(K335)+MAX(ABS(N335),ABS(O335))+MAX(ABS(P335),ABS(Q335))</f>
        <v>0.07</v>
      </c>
      <c r="T335" s="18" t="n">
        <f aca="false">MAX(ABS(E335),ABS(F335))</f>
        <v>0</v>
      </c>
      <c r="U335" s="18" t="n">
        <f aca="false">MAX(ABS(L335),ABS(M335))</f>
        <v>0</v>
      </c>
    </row>
    <row r="336" customFormat="false" ht="15" hidden="false" customHeight="false" outlineLevel="0" collapsed="false">
      <c r="A336" s="4" t="n">
        <v>291</v>
      </c>
      <c r="B336" s="4" t="n">
        <v>68</v>
      </c>
      <c r="C336" s="18" t="n">
        <v>0.25</v>
      </c>
      <c r="D336" s="21" t="n">
        <v>0</v>
      </c>
      <c r="E336" s="21" t="n">
        <v>0</v>
      </c>
      <c r="F336" s="21" t="n">
        <v>0</v>
      </c>
      <c r="G336" s="21" t="n">
        <v>-0.01</v>
      </c>
      <c r="H336" s="21" t="n">
        <v>0.01</v>
      </c>
      <c r="I336" s="21" t="n">
        <v>-0.03</v>
      </c>
      <c r="J336" s="21" t="n">
        <v>0.01</v>
      </c>
      <c r="K336" s="21" t="n">
        <v>0</v>
      </c>
      <c r="L336" s="21" t="n">
        <v>0</v>
      </c>
      <c r="M336" s="21" t="n">
        <v>0</v>
      </c>
      <c r="N336" s="21" t="n">
        <v>-0.01</v>
      </c>
      <c r="O336" s="21" t="n">
        <v>0.01</v>
      </c>
      <c r="P336" s="21" t="n">
        <v>-0.03</v>
      </c>
      <c r="Q336" s="21" t="n">
        <v>0.01</v>
      </c>
      <c r="R336" s="18" t="n">
        <f aca="false">ABS(D336)+MAX(ABS(G336),ABS(H336))+MAX(ABS(I336),ABS(J336))</f>
        <v>0.04</v>
      </c>
      <c r="S336" s="18" t="n">
        <f aca="false">ABS(K336)+MAX(ABS(N336),ABS(O336))+MAX(ABS(P336),ABS(Q336))</f>
        <v>0.04</v>
      </c>
      <c r="T336" s="18" t="n">
        <f aca="false">MAX(ABS(E336),ABS(F336))</f>
        <v>0</v>
      </c>
      <c r="U336" s="18" t="n">
        <f aca="false">MAX(ABS(L336),ABS(M336))</f>
        <v>0</v>
      </c>
    </row>
    <row r="337" customFormat="false" ht="15" hidden="false" customHeight="false" outlineLevel="0" collapsed="false">
      <c r="A337" s="4" t="n">
        <v>291</v>
      </c>
      <c r="B337" s="4" t="n">
        <v>68</v>
      </c>
      <c r="C337" s="18" t="n">
        <v>0.5</v>
      </c>
      <c r="D337" s="21" t="n">
        <v>0</v>
      </c>
      <c r="E337" s="21" t="n">
        <v>0</v>
      </c>
      <c r="F337" s="21" t="n">
        <v>0</v>
      </c>
      <c r="G337" s="21" t="n">
        <v>-0.01</v>
      </c>
      <c r="H337" s="21" t="n">
        <v>0.01</v>
      </c>
      <c r="I337" s="21" t="n">
        <v>0</v>
      </c>
      <c r="J337" s="21" t="n">
        <v>0</v>
      </c>
      <c r="K337" s="21" t="n">
        <v>0</v>
      </c>
      <c r="L337" s="21" t="n">
        <v>0</v>
      </c>
      <c r="M337" s="21" t="n">
        <v>0</v>
      </c>
      <c r="N337" s="21" t="n">
        <v>-0.01</v>
      </c>
      <c r="O337" s="21" t="n">
        <v>0.01</v>
      </c>
      <c r="P337" s="21" t="n">
        <v>0</v>
      </c>
      <c r="Q337" s="21" t="n">
        <v>0</v>
      </c>
      <c r="R337" s="18" t="n">
        <f aca="false">ABS(D337)+MAX(ABS(G337),ABS(H337))+MAX(ABS(I337),ABS(J337))</f>
        <v>0.01</v>
      </c>
      <c r="S337" s="18" t="n">
        <f aca="false">ABS(K337)+MAX(ABS(N337),ABS(O337))+MAX(ABS(P337),ABS(Q337))</f>
        <v>0.01</v>
      </c>
      <c r="T337" s="18" t="n">
        <f aca="false">MAX(ABS(E337),ABS(F337))</f>
        <v>0</v>
      </c>
      <c r="U337" s="18" t="n">
        <f aca="false">MAX(ABS(L337),ABS(M337))</f>
        <v>0</v>
      </c>
    </row>
    <row r="338" customFormat="false" ht="15" hidden="false" customHeight="false" outlineLevel="0" collapsed="false">
      <c r="A338" s="4" t="n">
        <v>291</v>
      </c>
      <c r="B338" s="4" t="n">
        <v>68</v>
      </c>
      <c r="C338" s="18" t="n">
        <v>0.75</v>
      </c>
      <c r="D338" s="21" t="n">
        <v>0</v>
      </c>
      <c r="E338" s="21" t="n">
        <v>0</v>
      </c>
      <c r="F338" s="21" t="n">
        <v>0</v>
      </c>
      <c r="G338" s="21" t="n">
        <v>-0.01</v>
      </c>
      <c r="H338" s="21" t="n">
        <v>0.01</v>
      </c>
      <c r="I338" s="21" t="n">
        <v>0.03</v>
      </c>
      <c r="J338" s="21" t="n">
        <v>-0.01</v>
      </c>
      <c r="K338" s="21" t="n">
        <v>0</v>
      </c>
      <c r="L338" s="21" t="n">
        <v>0</v>
      </c>
      <c r="M338" s="21" t="n">
        <v>0</v>
      </c>
      <c r="N338" s="21" t="n">
        <v>-0.01</v>
      </c>
      <c r="O338" s="21" t="n">
        <v>0.01</v>
      </c>
      <c r="P338" s="21" t="n">
        <v>0.03</v>
      </c>
      <c r="Q338" s="21" t="n">
        <v>-0.01</v>
      </c>
      <c r="R338" s="18" t="n">
        <f aca="false">ABS(D338)+MAX(ABS(G338),ABS(H338))+MAX(ABS(I338),ABS(J338))</f>
        <v>0.04</v>
      </c>
      <c r="S338" s="18" t="n">
        <f aca="false">ABS(K338)+MAX(ABS(N338),ABS(O338))+MAX(ABS(P338),ABS(Q338))</f>
        <v>0.04</v>
      </c>
      <c r="T338" s="18" t="n">
        <f aca="false">MAX(ABS(E338),ABS(F338))</f>
        <v>0</v>
      </c>
      <c r="U338" s="18" t="n">
        <f aca="false">MAX(ABS(L338),ABS(M338))</f>
        <v>0</v>
      </c>
    </row>
    <row r="339" customFormat="false" ht="15" hidden="false" customHeight="false" outlineLevel="0" collapsed="false">
      <c r="A339" s="4" t="n">
        <v>291</v>
      </c>
      <c r="B339" s="4" t="n">
        <v>68</v>
      </c>
      <c r="C339" s="18" t="n">
        <v>1</v>
      </c>
      <c r="D339" s="21" t="n">
        <v>0</v>
      </c>
      <c r="E339" s="21" t="n">
        <v>0</v>
      </c>
      <c r="F339" s="21" t="n">
        <v>0</v>
      </c>
      <c r="G339" s="21" t="n">
        <v>-0.01</v>
      </c>
      <c r="H339" s="21" t="n">
        <v>0.01</v>
      </c>
      <c r="I339" s="21" t="n">
        <v>0.06</v>
      </c>
      <c r="J339" s="21" t="n">
        <v>-0.03</v>
      </c>
      <c r="K339" s="21" t="n">
        <v>0</v>
      </c>
      <c r="L339" s="21" t="n">
        <v>0</v>
      </c>
      <c r="M339" s="21" t="n">
        <v>0</v>
      </c>
      <c r="N339" s="21" t="n">
        <v>-0.01</v>
      </c>
      <c r="O339" s="21" t="n">
        <v>0.01</v>
      </c>
      <c r="P339" s="21" t="n">
        <v>0.06</v>
      </c>
      <c r="Q339" s="21" t="n">
        <v>-0.03</v>
      </c>
      <c r="R339" s="18" t="n">
        <f aca="false">ABS(D339)+MAX(ABS(G339),ABS(H339))+MAX(ABS(I339),ABS(J339))</f>
        <v>0.07</v>
      </c>
      <c r="S339" s="18" t="n">
        <f aca="false">ABS(K339)+MAX(ABS(N339),ABS(O339))+MAX(ABS(P339),ABS(Q339))</f>
        <v>0.07</v>
      </c>
      <c r="T339" s="18" t="n">
        <f aca="false">MAX(ABS(E339),ABS(F339))</f>
        <v>0</v>
      </c>
      <c r="U339" s="18" t="n">
        <f aca="false">MAX(ABS(L339),ABS(M339))</f>
        <v>0</v>
      </c>
    </row>
    <row r="340" customFormat="false" ht="15" hidden="false" customHeight="false" outlineLevel="0" collapsed="false">
      <c r="A340" s="4" t="n">
        <v>292</v>
      </c>
      <c r="B340" s="4" t="n">
        <v>69</v>
      </c>
      <c r="C340" s="18" t="n">
        <v>0</v>
      </c>
      <c r="D340" s="21" t="n">
        <v>0.01</v>
      </c>
      <c r="E340" s="21" t="n">
        <v>0</v>
      </c>
      <c r="F340" s="21" t="n">
        <v>0</v>
      </c>
      <c r="G340" s="21" t="n">
        <v>-0.01</v>
      </c>
      <c r="H340" s="21" t="n">
        <v>0.01</v>
      </c>
      <c r="I340" s="21" t="n">
        <v>-0.06</v>
      </c>
      <c r="J340" s="21" t="n">
        <v>0.03</v>
      </c>
      <c r="K340" s="21" t="n">
        <v>0.01</v>
      </c>
      <c r="L340" s="21" t="n">
        <v>0</v>
      </c>
      <c r="M340" s="21" t="n">
        <v>0</v>
      </c>
      <c r="N340" s="21" t="n">
        <v>-0.01</v>
      </c>
      <c r="O340" s="21" t="n">
        <v>0.01</v>
      </c>
      <c r="P340" s="21" t="n">
        <v>-0.06</v>
      </c>
      <c r="Q340" s="21" t="n">
        <v>0.03</v>
      </c>
      <c r="R340" s="18" t="n">
        <f aca="false">ABS(D340)+MAX(ABS(G340),ABS(H340))+MAX(ABS(I340),ABS(J340))</f>
        <v>0.08</v>
      </c>
      <c r="S340" s="18" t="n">
        <f aca="false">ABS(K340)+MAX(ABS(N340),ABS(O340))+MAX(ABS(P340),ABS(Q340))</f>
        <v>0.08</v>
      </c>
      <c r="T340" s="18" t="n">
        <f aca="false">MAX(ABS(E340),ABS(F340))</f>
        <v>0</v>
      </c>
      <c r="U340" s="18" t="n">
        <f aca="false">MAX(ABS(L340),ABS(M340))</f>
        <v>0</v>
      </c>
    </row>
    <row r="341" customFormat="false" ht="15" hidden="false" customHeight="false" outlineLevel="0" collapsed="false">
      <c r="A341" s="4" t="n">
        <v>292</v>
      </c>
      <c r="B341" s="4" t="n">
        <v>69</v>
      </c>
      <c r="C341" s="18" t="n">
        <v>0.25</v>
      </c>
      <c r="D341" s="21" t="n">
        <v>0.01</v>
      </c>
      <c r="E341" s="21" t="n">
        <v>0</v>
      </c>
      <c r="F341" s="21" t="n">
        <v>0</v>
      </c>
      <c r="G341" s="21" t="n">
        <v>0</v>
      </c>
      <c r="H341" s="21" t="n">
        <v>0</v>
      </c>
      <c r="I341" s="21" t="n">
        <v>-0.03</v>
      </c>
      <c r="J341" s="21" t="n">
        <v>0.01</v>
      </c>
      <c r="K341" s="21" t="n">
        <v>0.01</v>
      </c>
      <c r="L341" s="21" t="n">
        <v>0</v>
      </c>
      <c r="M341" s="21" t="n">
        <v>0</v>
      </c>
      <c r="N341" s="21" t="n">
        <v>0</v>
      </c>
      <c r="O341" s="21" t="n">
        <v>0</v>
      </c>
      <c r="P341" s="21" t="n">
        <v>-0.03</v>
      </c>
      <c r="Q341" s="21" t="n">
        <v>0.01</v>
      </c>
      <c r="R341" s="18" t="n">
        <f aca="false">ABS(D341)+MAX(ABS(G341),ABS(H341))+MAX(ABS(I341),ABS(J341))</f>
        <v>0.04</v>
      </c>
      <c r="S341" s="18" t="n">
        <f aca="false">ABS(K341)+MAX(ABS(N341),ABS(O341))+MAX(ABS(P341),ABS(Q341))</f>
        <v>0.04</v>
      </c>
      <c r="T341" s="18" t="n">
        <f aca="false">MAX(ABS(E341),ABS(F341))</f>
        <v>0</v>
      </c>
      <c r="U341" s="18" t="n">
        <f aca="false">MAX(ABS(L341),ABS(M341))</f>
        <v>0</v>
      </c>
    </row>
    <row r="342" customFormat="false" ht="15" hidden="false" customHeight="false" outlineLevel="0" collapsed="false">
      <c r="A342" s="4" t="n">
        <v>292</v>
      </c>
      <c r="B342" s="4" t="n">
        <v>69</v>
      </c>
      <c r="C342" s="18" t="n">
        <v>0.5</v>
      </c>
      <c r="D342" s="21" t="n">
        <v>0.01</v>
      </c>
      <c r="E342" s="21" t="n">
        <v>0</v>
      </c>
      <c r="F342" s="21" t="n">
        <v>0</v>
      </c>
      <c r="G342" s="21" t="n">
        <v>0</v>
      </c>
      <c r="H342" s="21" t="n">
        <v>0</v>
      </c>
      <c r="I342" s="21" t="n">
        <v>0</v>
      </c>
      <c r="J342" s="21" t="n">
        <v>0</v>
      </c>
      <c r="K342" s="21" t="n">
        <v>0.01</v>
      </c>
      <c r="L342" s="21" t="n">
        <v>0</v>
      </c>
      <c r="M342" s="21" t="n">
        <v>0</v>
      </c>
      <c r="N342" s="21" t="n">
        <v>0</v>
      </c>
      <c r="O342" s="21" t="n">
        <v>0</v>
      </c>
      <c r="P342" s="21" t="n">
        <v>0</v>
      </c>
      <c r="Q342" s="21" t="n">
        <v>0</v>
      </c>
      <c r="R342" s="18" t="n">
        <f aca="false">ABS(D342)+MAX(ABS(G342),ABS(H342))+MAX(ABS(I342),ABS(J342))</f>
        <v>0.01</v>
      </c>
      <c r="S342" s="18" t="n">
        <f aca="false">ABS(K342)+MAX(ABS(N342),ABS(O342))+MAX(ABS(P342),ABS(Q342))</f>
        <v>0.01</v>
      </c>
      <c r="T342" s="18" t="n">
        <f aca="false">MAX(ABS(E342),ABS(F342))</f>
        <v>0</v>
      </c>
      <c r="U342" s="18" t="n">
        <f aca="false">MAX(ABS(L342),ABS(M342))</f>
        <v>0</v>
      </c>
    </row>
    <row r="343" customFormat="false" ht="15" hidden="false" customHeight="false" outlineLevel="0" collapsed="false">
      <c r="A343" s="4" t="n">
        <v>292</v>
      </c>
      <c r="B343" s="4" t="n">
        <v>69</v>
      </c>
      <c r="C343" s="18" t="n">
        <v>0.75</v>
      </c>
      <c r="D343" s="21" t="n">
        <v>0.01</v>
      </c>
      <c r="E343" s="21" t="n">
        <v>0</v>
      </c>
      <c r="F343" s="21" t="n">
        <v>0</v>
      </c>
      <c r="G343" s="21" t="n">
        <v>0</v>
      </c>
      <c r="H343" s="21" t="n">
        <v>0</v>
      </c>
      <c r="I343" s="21" t="n">
        <v>0.04</v>
      </c>
      <c r="J343" s="21" t="n">
        <v>-0.01</v>
      </c>
      <c r="K343" s="21" t="n">
        <v>0.01</v>
      </c>
      <c r="L343" s="21" t="n">
        <v>0</v>
      </c>
      <c r="M343" s="21" t="n">
        <v>0</v>
      </c>
      <c r="N343" s="21" t="n">
        <v>0</v>
      </c>
      <c r="O343" s="21" t="n">
        <v>0</v>
      </c>
      <c r="P343" s="21" t="n">
        <v>0.03</v>
      </c>
      <c r="Q343" s="21" t="n">
        <v>-0.01</v>
      </c>
      <c r="R343" s="18" t="n">
        <f aca="false">ABS(D343)+MAX(ABS(G343),ABS(H343))+MAX(ABS(I343),ABS(J343))</f>
        <v>0.05</v>
      </c>
      <c r="S343" s="18" t="n">
        <f aca="false">ABS(K343)+MAX(ABS(N343),ABS(O343))+MAX(ABS(P343),ABS(Q343))</f>
        <v>0.04</v>
      </c>
      <c r="T343" s="18" t="n">
        <f aca="false">MAX(ABS(E343),ABS(F343))</f>
        <v>0</v>
      </c>
      <c r="U343" s="18" t="n">
        <f aca="false">MAX(ABS(L343),ABS(M343))</f>
        <v>0</v>
      </c>
    </row>
    <row r="344" customFormat="false" ht="15" hidden="false" customHeight="false" outlineLevel="0" collapsed="false">
      <c r="A344" s="4" t="n">
        <v>292</v>
      </c>
      <c r="B344" s="4" t="n">
        <v>69</v>
      </c>
      <c r="C344" s="18" t="n">
        <v>1</v>
      </c>
      <c r="D344" s="21" t="n">
        <v>0.01</v>
      </c>
      <c r="E344" s="21" t="n">
        <v>0</v>
      </c>
      <c r="F344" s="21" t="n">
        <v>0</v>
      </c>
      <c r="G344" s="21" t="n">
        <v>0.01</v>
      </c>
      <c r="H344" s="21" t="n">
        <v>-0.01</v>
      </c>
      <c r="I344" s="21" t="n">
        <v>0.07</v>
      </c>
      <c r="J344" s="21" t="n">
        <v>-0.03</v>
      </c>
      <c r="K344" s="21" t="n">
        <v>0.01</v>
      </c>
      <c r="L344" s="21" t="n">
        <v>0</v>
      </c>
      <c r="M344" s="21" t="n">
        <v>0</v>
      </c>
      <c r="N344" s="21" t="n">
        <v>0.01</v>
      </c>
      <c r="O344" s="21" t="n">
        <v>-0.01</v>
      </c>
      <c r="P344" s="21" t="n">
        <v>0.07</v>
      </c>
      <c r="Q344" s="21" t="n">
        <v>-0.03</v>
      </c>
      <c r="R344" s="18" t="n">
        <f aca="false">ABS(D344)+MAX(ABS(G344),ABS(H344))+MAX(ABS(I344),ABS(J344))</f>
        <v>0.09</v>
      </c>
      <c r="S344" s="18" t="n">
        <f aca="false">ABS(K344)+MAX(ABS(N344),ABS(O344))+MAX(ABS(P344),ABS(Q344))</f>
        <v>0.09</v>
      </c>
      <c r="T344" s="18" t="n">
        <f aca="false">MAX(ABS(E344),ABS(F344))</f>
        <v>0</v>
      </c>
      <c r="U344" s="18" t="n">
        <f aca="false">MAX(ABS(L344),ABS(M344))</f>
        <v>0</v>
      </c>
    </row>
    <row r="345" customFormat="false" ht="15" hidden="false" customHeight="false" outlineLevel="0" collapsed="false">
      <c r="A345" s="4" t="n">
        <v>293</v>
      </c>
      <c r="B345" s="4" t="n">
        <v>70</v>
      </c>
      <c r="C345" s="18" t="n">
        <v>0</v>
      </c>
      <c r="D345" s="21" t="n">
        <v>-0.01</v>
      </c>
      <c r="E345" s="21" t="n">
        <v>0</v>
      </c>
      <c r="F345" s="21" t="n">
        <v>0.01</v>
      </c>
      <c r="G345" s="21" t="n">
        <v>0.01</v>
      </c>
      <c r="H345" s="21" t="n">
        <v>-0.01</v>
      </c>
      <c r="I345" s="21" t="n">
        <v>0.08</v>
      </c>
      <c r="J345" s="21" t="n">
        <v>-0.03</v>
      </c>
      <c r="K345" s="21" t="n">
        <v>-0.01</v>
      </c>
      <c r="L345" s="21" t="n">
        <v>0</v>
      </c>
      <c r="M345" s="21" t="n">
        <v>0.01</v>
      </c>
      <c r="N345" s="21" t="n">
        <v>0.01</v>
      </c>
      <c r="O345" s="21" t="n">
        <v>-0.01</v>
      </c>
      <c r="P345" s="21" t="n">
        <v>0.09</v>
      </c>
      <c r="Q345" s="21" t="n">
        <v>-0.04</v>
      </c>
      <c r="R345" s="18" t="n">
        <f aca="false">ABS(D345)+MAX(ABS(G345),ABS(H345))+MAX(ABS(I345),ABS(J345))</f>
        <v>0.1</v>
      </c>
      <c r="S345" s="18" t="n">
        <f aca="false">ABS(K345)+MAX(ABS(N345),ABS(O345))+MAX(ABS(P345),ABS(Q345))</f>
        <v>0.11</v>
      </c>
      <c r="T345" s="18" t="n">
        <f aca="false">MAX(ABS(E345),ABS(F345))</f>
        <v>0.01</v>
      </c>
      <c r="U345" s="18" t="n">
        <f aca="false">MAX(ABS(L345),ABS(M345))</f>
        <v>0.01</v>
      </c>
    </row>
    <row r="346" customFormat="false" ht="15" hidden="false" customHeight="false" outlineLevel="0" collapsed="false">
      <c r="A346" s="4" t="n">
        <v>293</v>
      </c>
      <c r="B346" s="4" t="n">
        <v>70</v>
      </c>
      <c r="C346" s="18" t="n">
        <v>0.25</v>
      </c>
      <c r="D346" s="21" t="n">
        <v>-0.01</v>
      </c>
      <c r="E346" s="21" t="n">
        <v>0</v>
      </c>
      <c r="F346" s="21" t="n">
        <v>0.01</v>
      </c>
      <c r="G346" s="21" t="n">
        <v>0</v>
      </c>
      <c r="H346" s="21" t="n">
        <v>0</v>
      </c>
      <c r="I346" s="21" t="n">
        <v>0.04</v>
      </c>
      <c r="J346" s="21" t="n">
        <v>-0.02</v>
      </c>
      <c r="K346" s="21" t="n">
        <v>-0.01</v>
      </c>
      <c r="L346" s="21" t="n">
        <v>0</v>
      </c>
      <c r="M346" s="21" t="n">
        <v>0.01</v>
      </c>
      <c r="N346" s="21" t="n">
        <v>0</v>
      </c>
      <c r="O346" s="21" t="n">
        <v>0</v>
      </c>
      <c r="P346" s="21" t="n">
        <v>0.04</v>
      </c>
      <c r="Q346" s="21" t="n">
        <v>-0.02</v>
      </c>
      <c r="R346" s="18" t="n">
        <f aca="false">ABS(D346)+MAX(ABS(G346),ABS(H346))+MAX(ABS(I346),ABS(J346))</f>
        <v>0.05</v>
      </c>
      <c r="S346" s="18" t="n">
        <f aca="false">ABS(K346)+MAX(ABS(N346),ABS(O346))+MAX(ABS(P346),ABS(Q346))</f>
        <v>0.05</v>
      </c>
      <c r="T346" s="18" t="n">
        <f aca="false">MAX(ABS(E346),ABS(F346))</f>
        <v>0.01</v>
      </c>
      <c r="U346" s="18" t="n">
        <f aca="false">MAX(ABS(L346),ABS(M346))</f>
        <v>0.01</v>
      </c>
    </row>
    <row r="347" customFormat="false" ht="15" hidden="false" customHeight="false" outlineLevel="0" collapsed="false">
      <c r="A347" s="4" t="n">
        <v>293</v>
      </c>
      <c r="B347" s="4" t="n">
        <v>70</v>
      </c>
      <c r="C347" s="18" t="n">
        <v>0.5</v>
      </c>
      <c r="D347" s="21" t="n">
        <v>-0.01</v>
      </c>
      <c r="E347" s="21" t="n">
        <v>0</v>
      </c>
      <c r="F347" s="21" t="n">
        <v>0.01</v>
      </c>
      <c r="G347" s="21" t="n">
        <v>0</v>
      </c>
      <c r="H347" s="21" t="n">
        <v>0</v>
      </c>
      <c r="I347" s="21" t="n">
        <v>0</v>
      </c>
      <c r="J347" s="21" t="n">
        <v>0</v>
      </c>
      <c r="K347" s="21" t="n">
        <v>-0.01</v>
      </c>
      <c r="L347" s="21" t="n">
        <v>0</v>
      </c>
      <c r="M347" s="21" t="n">
        <v>0.01</v>
      </c>
      <c r="N347" s="21" t="n">
        <v>0</v>
      </c>
      <c r="O347" s="21" t="n">
        <v>0</v>
      </c>
      <c r="P347" s="21" t="n">
        <v>0</v>
      </c>
      <c r="Q347" s="21" t="n">
        <v>0</v>
      </c>
      <c r="R347" s="18" t="n">
        <f aca="false">ABS(D347)+MAX(ABS(G347),ABS(H347))+MAX(ABS(I347),ABS(J347))</f>
        <v>0.01</v>
      </c>
      <c r="S347" s="18" t="n">
        <f aca="false">ABS(K347)+MAX(ABS(N347),ABS(O347))+MAX(ABS(P347),ABS(Q347))</f>
        <v>0.01</v>
      </c>
      <c r="T347" s="18" t="n">
        <f aca="false">MAX(ABS(E347),ABS(F347))</f>
        <v>0.01</v>
      </c>
      <c r="U347" s="18" t="n">
        <f aca="false">MAX(ABS(L347),ABS(M347))</f>
        <v>0.01</v>
      </c>
    </row>
    <row r="348" customFormat="false" ht="15" hidden="false" customHeight="false" outlineLevel="0" collapsed="false">
      <c r="A348" s="4" t="n">
        <v>293</v>
      </c>
      <c r="B348" s="4" t="n">
        <v>70</v>
      </c>
      <c r="C348" s="18" t="n">
        <v>0.75</v>
      </c>
      <c r="D348" s="21" t="n">
        <v>-0.01</v>
      </c>
      <c r="E348" s="21" t="n">
        <v>0</v>
      </c>
      <c r="F348" s="21" t="n">
        <v>0.01</v>
      </c>
      <c r="G348" s="21" t="n">
        <v>-0.01</v>
      </c>
      <c r="H348" s="21" t="n">
        <v>0.01</v>
      </c>
      <c r="I348" s="21" t="n">
        <v>-0.04</v>
      </c>
      <c r="J348" s="21" t="n">
        <v>0.02</v>
      </c>
      <c r="K348" s="21" t="n">
        <v>-0.01</v>
      </c>
      <c r="L348" s="21" t="n">
        <v>0</v>
      </c>
      <c r="M348" s="21" t="n">
        <v>0.01</v>
      </c>
      <c r="N348" s="21" t="n">
        <v>-0.01</v>
      </c>
      <c r="O348" s="21" t="n">
        <v>0.01</v>
      </c>
      <c r="P348" s="21" t="n">
        <v>-0.04</v>
      </c>
      <c r="Q348" s="21" t="n">
        <v>0.02</v>
      </c>
      <c r="R348" s="18" t="n">
        <f aca="false">ABS(D348)+MAX(ABS(G348),ABS(H348))+MAX(ABS(I348),ABS(J348))</f>
        <v>0.06</v>
      </c>
      <c r="S348" s="18" t="n">
        <f aca="false">ABS(K348)+MAX(ABS(N348),ABS(O348))+MAX(ABS(P348),ABS(Q348))</f>
        <v>0.06</v>
      </c>
      <c r="T348" s="18" t="n">
        <f aca="false">MAX(ABS(E348),ABS(F348))</f>
        <v>0.01</v>
      </c>
      <c r="U348" s="18" t="n">
        <f aca="false">MAX(ABS(L348),ABS(M348))</f>
        <v>0.01</v>
      </c>
    </row>
    <row r="349" customFormat="false" ht="15" hidden="false" customHeight="false" outlineLevel="0" collapsed="false">
      <c r="A349" s="4" t="n">
        <v>293</v>
      </c>
      <c r="B349" s="4" t="n">
        <v>70</v>
      </c>
      <c r="C349" s="18" t="n">
        <v>1</v>
      </c>
      <c r="D349" s="21" t="n">
        <v>-0.01</v>
      </c>
      <c r="E349" s="21" t="n">
        <v>0</v>
      </c>
      <c r="F349" s="21" t="n">
        <v>0.01</v>
      </c>
      <c r="G349" s="21" t="n">
        <v>-0.01</v>
      </c>
      <c r="H349" s="21" t="n">
        <v>0.01</v>
      </c>
      <c r="I349" s="21" t="n">
        <v>-0.08</v>
      </c>
      <c r="J349" s="21" t="n">
        <v>0.03</v>
      </c>
      <c r="K349" s="21" t="n">
        <v>-0.01</v>
      </c>
      <c r="L349" s="21" t="n">
        <v>0</v>
      </c>
      <c r="M349" s="21" t="n">
        <v>0.01</v>
      </c>
      <c r="N349" s="21" t="n">
        <v>-0.01</v>
      </c>
      <c r="O349" s="21" t="n">
        <v>0.01</v>
      </c>
      <c r="P349" s="21" t="n">
        <v>-0.08</v>
      </c>
      <c r="Q349" s="21" t="n">
        <v>0.03</v>
      </c>
      <c r="R349" s="18" t="n">
        <f aca="false">ABS(D349)+MAX(ABS(G349),ABS(H349))+MAX(ABS(I349),ABS(J349))</f>
        <v>0.1</v>
      </c>
      <c r="S349" s="18" t="n">
        <f aca="false">ABS(K349)+MAX(ABS(N349),ABS(O349))+MAX(ABS(P349),ABS(Q349))</f>
        <v>0.1</v>
      </c>
      <c r="T349" s="18" t="n">
        <f aca="false">MAX(ABS(E349),ABS(F349))</f>
        <v>0.01</v>
      </c>
      <c r="U349" s="18" t="n">
        <f aca="false">MAX(ABS(L349),ABS(M349))</f>
        <v>0.01</v>
      </c>
    </row>
    <row r="350" customFormat="false" ht="15" hidden="false" customHeight="false" outlineLevel="0" collapsed="false">
      <c r="A350" s="4" t="n">
        <v>294</v>
      </c>
      <c r="B350" s="4" t="n">
        <v>71</v>
      </c>
      <c r="C350" s="18" t="n">
        <v>0</v>
      </c>
      <c r="D350" s="21" t="n">
        <v>-0.02</v>
      </c>
      <c r="E350" s="21" t="n">
        <v>0</v>
      </c>
      <c r="F350" s="21" t="n">
        <v>0</v>
      </c>
      <c r="G350" s="21" t="n">
        <v>-0.01</v>
      </c>
      <c r="H350" s="21" t="n">
        <v>0.01</v>
      </c>
      <c r="I350" s="21" t="n">
        <v>0.07</v>
      </c>
      <c r="J350" s="21" t="n">
        <v>-0.03</v>
      </c>
      <c r="K350" s="21" t="n">
        <v>-0.02</v>
      </c>
      <c r="L350" s="21" t="n">
        <v>0</v>
      </c>
      <c r="M350" s="21" t="n">
        <v>0</v>
      </c>
      <c r="N350" s="21" t="n">
        <v>-0.01</v>
      </c>
      <c r="O350" s="21" t="n">
        <v>0.01</v>
      </c>
      <c r="P350" s="21" t="n">
        <v>0.07</v>
      </c>
      <c r="Q350" s="21" t="n">
        <v>-0.03</v>
      </c>
      <c r="R350" s="18" t="n">
        <f aca="false">ABS(D350)+MAX(ABS(G350),ABS(H350))+MAX(ABS(I350),ABS(J350))</f>
        <v>0.1</v>
      </c>
      <c r="S350" s="18" t="n">
        <f aca="false">ABS(K350)+MAX(ABS(N350),ABS(O350))+MAX(ABS(P350),ABS(Q350))</f>
        <v>0.1</v>
      </c>
      <c r="T350" s="18" t="n">
        <f aca="false">MAX(ABS(E350),ABS(F350))</f>
        <v>0</v>
      </c>
      <c r="U350" s="18" t="n">
        <f aca="false">MAX(ABS(L350),ABS(M350))</f>
        <v>0</v>
      </c>
    </row>
    <row r="351" customFormat="false" ht="15" hidden="false" customHeight="false" outlineLevel="0" collapsed="false">
      <c r="A351" s="4" t="n">
        <v>294</v>
      </c>
      <c r="B351" s="4" t="n">
        <v>71</v>
      </c>
      <c r="C351" s="18" t="n">
        <v>0.25</v>
      </c>
      <c r="D351" s="21" t="n">
        <v>-0.02</v>
      </c>
      <c r="E351" s="21" t="n">
        <v>0</v>
      </c>
      <c r="F351" s="21" t="n">
        <v>0</v>
      </c>
      <c r="G351" s="21" t="n">
        <v>-0.01</v>
      </c>
      <c r="H351" s="21" t="n">
        <v>0.01</v>
      </c>
      <c r="I351" s="21" t="n">
        <v>0.04</v>
      </c>
      <c r="J351" s="21" t="n">
        <v>-0.01</v>
      </c>
      <c r="K351" s="21" t="n">
        <v>-0.02</v>
      </c>
      <c r="L351" s="21" t="n">
        <v>0</v>
      </c>
      <c r="M351" s="21" t="n">
        <v>0</v>
      </c>
      <c r="N351" s="21" t="n">
        <v>-0.01</v>
      </c>
      <c r="O351" s="21" t="n">
        <v>0.01</v>
      </c>
      <c r="P351" s="21" t="n">
        <v>0.04</v>
      </c>
      <c r="Q351" s="21" t="n">
        <v>-0.02</v>
      </c>
      <c r="R351" s="18" t="n">
        <f aca="false">ABS(D351)+MAX(ABS(G351),ABS(H351))+MAX(ABS(I351),ABS(J351))</f>
        <v>0.07</v>
      </c>
      <c r="S351" s="18" t="n">
        <f aca="false">ABS(K351)+MAX(ABS(N351),ABS(O351))+MAX(ABS(P351),ABS(Q351))</f>
        <v>0.07</v>
      </c>
      <c r="T351" s="18" t="n">
        <f aca="false">MAX(ABS(E351),ABS(F351))</f>
        <v>0</v>
      </c>
      <c r="U351" s="18" t="n">
        <f aca="false">MAX(ABS(L351),ABS(M351))</f>
        <v>0</v>
      </c>
    </row>
    <row r="352" customFormat="false" ht="15" hidden="false" customHeight="false" outlineLevel="0" collapsed="false">
      <c r="A352" s="4" t="n">
        <v>294</v>
      </c>
      <c r="B352" s="4" t="n">
        <v>71</v>
      </c>
      <c r="C352" s="18" t="n">
        <v>0.5</v>
      </c>
      <c r="D352" s="21" t="n">
        <v>-0.02</v>
      </c>
      <c r="E352" s="21" t="n">
        <v>0</v>
      </c>
      <c r="F352" s="21" t="n">
        <v>0</v>
      </c>
      <c r="G352" s="21" t="n">
        <v>-0.01</v>
      </c>
      <c r="H352" s="21" t="n">
        <v>0.01</v>
      </c>
      <c r="I352" s="21" t="n">
        <v>0</v>
      </c>
      <c r="J352" s="21" t="n">
        <v>0</v>
      </c>
      <c r="K352" s="21" t="n">
        <v>-0.02</v>
      </c>
      <c r="L352" s="21" t="n">
        <v>0</v>
      </c>
      <c r="M352" s="21" t="n">
        <v>0</v>
      </c>
      <c r="N352" s="21" t="n">
        <v>-0.01</v>
      </c>
      <c r="O352" s="21" t="n">
        <v>0.01</v>
      </c>
      <c r="P352" s="21" t="n">
        <v>0</v>
      </c>
      <c r="Q352" s="21" t="n">
        <v>0</v>
      </c>
      <c r="R352" s="18" t="n">
        <f aca="false">ABS(D352)+MAX(ABS(G352),ABS(H352))+MAX(ABS(I352),ABS(J352))</f>
        <v>0.03</v>
      </c>
      <c r="S352" s="18" t="n">
        <f aca="false">ABS(K352)+MAX(ABS(N352),ABS(O352))+MAX(ABS(P352),ABS(Q352))</f>
        <v>0.03</v>
      </c>
      <c r="T352" s="18" t="n">
        <f aca="false">MAX(ABS(E352),ABS(F352))</f>
        <v>0</v>
      </c>
      <c r="U352" s="18" t="n">
        <f aca="false">MAX(ABS(L352),ABS(M352))</f>
        <v>0</v>
      </c>
    </row>
    <row r="353" customFormat="false" ht="15" hidden="false" customHeight="false" outlineLevel="0" collapsed="false">
      <c r="A353" s="4" t="n">
        <v>294</v>
      </c>
      <c r="B353" s="4" t="n">
        <v>71</v>
      </c>
      <c r="C353" s="18" t="n">
        <v>0.75</v>
      </c>
      <c r="D353" s="21" t="n">
        <v>-0.02</v>
      </c>
      <c r="E353" s="21" t="n">
        <v>0</v>
      </c>
      <c r="F353" s="21" t="n">
        <v>0</v>
      </c>
      <c r="G353" s="21" t="n">
        <v>0</v>
      </c>
      <c r="H353" s="21" t="n">
        <v>0</v>
      </c>
      <c r="I353" s="21" t="n">
        <v>-0.03</v>
      </c>
      <c r="J353" s="21" t="n">
        <v>0.01</v>
      </c>
      <c r="K353" s="21" t="n">
        <v>-0.02</v>
      </c>
      <c r="L353" s="21" t="n">
        <v>0</v>
      </c>
      <c r="M353" s="21" t="n">
        <v>0</v>
      </c>
      <c r="N353" s="21" t="n">
        <v>0</v>
      </c>
      <c r="O353" s="21" t="n">
        <v>0</v>
      </c>
      <c r="P353" s="21" t="n">
        <v>-0.04</v>
      </c>
      <c r="Q353" s="21" t="n">
        <v>0.01</v>
      </c>
      <c r="R353" s="18" t="n">
        <f aca="false">ABS(D353)+MAX(ABS(G353),ABS(H353))+MAX(ABS(I353),ABS(J353))</f>
        <v>0.05</v>
      </c>
      <c r="S353" s="18" t="n">
        <f aca="false">ABS(K353)+MAX(ABS(N353),ABS(O353))+MAX(ABS(P353),ABS(Q353))</f>
        <v>0.06</v>
      </c>
      <c r="T353" s="18" t="n">
        <f aca="false">MAX(ABS(E353),ABS(F353))</f>
        <v>0</v>
      </c>
      <c r="U353" s="18" t="n">
        <f aca="false">MAX(ABS(L353),ABS(M353))</f>
        <v>0</v>
      </c>
    </row>
    <row r="354" customFormat="false" ht="15" hidden="false" customHeight="false" outlineLevel="0" collapsed="false">
      <c r="A354" s="4" t="n">
        <v>294</v>
      </c>
      <c r="B354" s="4" t="n">
        <v>71</v>
      </c>
      <c r="C354" s="18" t="n">
        <v>1</v>
      </c>
      <c r="D354" s="21" t="n">
        <v>-0.02</v>
      </c>
      <c r="E354" s="21" t="n">
        <v>0</v>
      </c>
      <c r="F354" s="21" t="n">
        <v>0</v>
      </c>
      <c r="G354" s="21" t="n">
        <v>0</v>
      </c>
      <c r="H354" s="21" t="n">
        <v>0</v>
      </c>
      <c r="I354" s="21" t="n">
        <v>-0.07</v>
      </c>
      <c r="J354" s="21" t="n">
        <v>0.03</v>
      </c>
      <c r="K354" s="21" t="n">
        <v>-0.02</v>
      </c>
      <c r="L354" s="21" t="n">
        <v>0</v>
      </c>
      <c r="M354" s="21" t="n">
        <v>0</v>
      </c>
      <c r="N354" s="21" t="n">
        <v>0</v>
      </c>
      <c r="O354" s="21" t="n">
        <v>0</v>
      </c>
      <c r="P354" s="21" t="n">
        <v>-0.07</v>
      </c>
      <c r="Q354" s="21" t="n">
        <v>0.03</v>
      </c>
      <c r="R354" s="18" t="n">
        <f aca="false">ABS(D354)+MAX(ABS(G354),ABS(H354))+MAX(ABS(I354),ABS(J354))</f>
        <v>0.09</v>
      </c>
      <c r="S354" s="18" t="n">
        <f aca="false">ABS(K354)+MAX(ABS(N354),ABS(O354))+MAX(ABS(P354),ABS(Q354))</f>
        <v>0.09</v>
      </c>
      <c r="T354" s="18" t="n">
        <f aca="false">MAX(ABS(E354),ABS(F354))</f>
        <v>0</v>
      </c>
      <c r="U354" s="18" t="n">
        <f aca="false">MAX(ABS(L354),ABS(M354))</f>
        <v>0</v>
      </c>
    </row>
    <row r="355" customFormat="false" ht="15" hidden="false" customHeight="false" outlineLevel="0" collapsed="false">
      <c r="A355" s="4" t="n">
        <v>295</v>
      </c>
      <c r="B355" s="4" t="n">
        <v>72</v>
      </c>
      <c r="C355" s="18" t="n">
        <v>0</v>
      </c>
      <c r="D355" s="21" t="n">
        <v>-0.01</v>
      </c>
      <c r="E355" s="21" t="n">
        <v>0</v>
      </c>
      <c r="F355" s="21" t="n">
        <v>0</v>
      </c>
      <c r="G355" s="21" t="n">
        <v>0</v>
      </c>
      <c r="H355" s="21" t="n">
        <v>0</v>
      </c>
      <c r="I355" s="21" t="n">
        <v>-0.08</v>
      </c>
      <c r="J355" s="21" t="n">
        <v>0.03</v>
      </c>
      <c r="K355" s="21" t="n">
        <v>-0.01</v>
      </c>
      <c r="L355" s="21" t="n">
        <v>0</v>
      </c>
      <c r="M355" s="21" t="n">
        <v>0.01</v>
      </c>
      <c r="N355" s="21" t="n">
        <v>0</v>
      </c>
      <c r="O355" s="21" t="n">
        <v>0</v>
      </c>
      <c r="P355" s="21" t="n">
        <v>-0.08</v>
      </c>
      <c r="Q355" s="21" t="n">
        <v>0.03</v>
      </c>
      <c r="R355" s="18" t="n">
        <f aca="false">ABS(D355)+MAX(ABS(G355),ABS(H355))+MAX(ABS(I355),ABS(J355))</f>
        <v>0.09</v>
      </c>
      <c r="S355" s="18" t="n">
        <f aca="false">ABS(K355)+MAX(ABS(N355),ABS(O355))+MAX(ABS(P355),ABS(Q355))</f>
        <v>0.09</v>
      </c>
      <c r="T355" s="18" t="n">
        <f aca="false">MAX(ABS(E355),ABS(F355))</f>
        <v>0</v>
      </c>
      <c r="U355" s="18" t="n">
        <f aca="false">MAX(ABS(L355),ABS(M355))</f>
        <v>0.01</v>
      </c>
    </row>
    <row r="356" customFormat="false" ht="15" hidden="false" customHeight="false" outlineLevel="0" collapsed="false">
      <c r="A356" s="4" t="n">
        <v>295</v>
      </c>
      <c r="B356" s="4" t="n">
        <v>72</v>
      </c>
      <c r="C356" s="18" t="n">
        <v>0.25</v>
      </c>
      <c r="D356" s="21" t="n">
        <v>-0.01</v>
      </c>
      <c r="E356" s="21" t="n">
        <v>0</v>
      </c>
      <c r="F356" s="21" t="n">
        <v>0</v>
      </c>
      <c r="G356" s="21" t="n">
        <v>0</v>
      </c>
      <c r="H356" s="21" t="n">
        <v>0</v>
      </c>
      <c r="I356" s="21" t="n">
        <v>-0.04</v>
      </c>
      <c r="J356" s="21" t="n">
        <v>0.02</v>
      </c>
      <c r="K356" s="21" t="n">
        <v>-0.01</v>
      </c>
      <c r="L356" s="21" t="n">
        <v>0</v>
      </c>
      <c r="M356" s="21" t="n">
        <v>0.01</v>
      </c>
      <c r="N356" s="21" t="n">
        <v>0</v>
      </c>
      <c r="O356" s="21" t="n">
        <v>0</v>
      </c>
      <c r="P356" s="21" t="n">
        <v>-0.04</v>
      </c>
      <c r="Q356" s="21" t="n">
        <v>0.02</v>
      </c>
      <c r="R356" s="18" t="n">
        <f aca="false">ABS(D356)+MAX(ABS(G356),ABS(H356))+MAX(ABS(I356),ABS(J356))</f>
        <v>0.05</v>
      </c>
      <c r="S356" s="18" t="n">
        <f aca="false">ABS(K356)+MAX(ABS(N356),ABS(O356))+MAX(ABS(P356),ABS(Q356))</f>
        <v>0.05</v>
      </c>
      <c r="T356" s="18" t="n">
        <f aca="false">MAX(ABS(E356),ABS(F356))</f>
        <v>0</v>
      </c>
      <c r="U356" s="18" t="n">
        <f aca="false">MAX(ABS(L356),ABS(M356))</f>
        <v>0.01</v>
      </c>
    </row>
    <row r="357" customFormat="false" ht="15" hidden="false" customHeight="false" outlineLevel="0" collapsed="false">
      <c r="A357" s="4" t="n">
        <v>295</v>
      </c>
      <c r="B357" s="4" t="n">
        <v>72</v>
      </c>
      <c r="C357" s="18" t="n">
        <v>0.5</v>
      </c>
      <c r="D357" s="21" t="n">
        <v>-0.01</v>
      </c>
      <c r="E357" s="21" t="n">
        <v>0</v>
      </c>
      <c r="F357" s="21" t="n">
        <v>0</v>
      </c>
      <c r="G357" s="21" t="n">
        <v>0</v>
      </c>
      <c r="H357" s="21" t="n">
        <v>0</v>
      </c>
      <c r="I357" s="21" t="n">
        <v>0</v>
      </c>
      <c r="J357" s="21" t="n">
        <v>0</v>
      </c>
      <c r="K357" s="21" t="n">
        <v>-0.01</v>
      </c>
      <c r="L357" s="21" t="n">
        <v>0</v>
      </c>
      <c r="M357" s="21" t="n">
        <v>0.01</v>
      </c>
      <c r="N357" s="21" t="n">
        <v>0</v>
      </c>
      <c r="O357" s="21" t="n">
        <v>0</v>
      </c>
      <c r="P357" s="21" t="n">
        <v>0</v>
      </c>
      <c r="Q357" s="21" t="n">
        <v>0</v>
      </c>
      <c r="R357" s="18" t="n">
        <f aca="false">ABS(D357)+MAX(ABS(G357),ABS(H357))+MAX(ABS(I357),ABS(J357))</f>
        <v>0.01</v>
      </c>
      <c r="S357" s="18" t="n">
        <f aca="false">ABS(K357)+MAX(ABS(N357),ABS(O357))+MAX(ABS(P357),ABS(Q357))</f>
        <v>0.01</v>
      </c>
      <c r="T357" s="18" t="n">
        <f aca="false">MAX(ABS(E357),ABS(F357))</f>
        <v>0</v>
      </c>
      <c r="U357" s="18" t="n">
        <f aca="false">MAX(ABS(L357),ABS(M357))</f>
        <v>0.01</v>
      </c>
    </row>
    <row r="358" customFormat="false" ht="15" hidden="false" customHeight="false" outlineLevel="0" collapsed="false">
      <c r="A358" s="4" t="n">
        <v>295</v>
      </c>
      <c r="B358" s="4" t="n">
        <v>72</v>
      </c>
      <c r="C358" s="18" t="n">
        <v>0.75</v>
      </c>
      <c r="D358" s="21" t="n">
        <v>-0.01</v>
      </c>
      <c r="E358" s="21" t="n">
        <v>0</v>
      </c>
      <c r="F358" s="21" t="n">
        <v>0</v>
      </c>
      <c r="G358" s="21" t="n">
        <v>0</v>
      </c>
      <c r="H358" s="21" t="n">
        <v>0</v>
      </c>
      <c r="I358" s="21" t="n">
        <v>0.04</v>
      </c>
      <c r="J358" s="21" t="n">
        <v>-0.02</v>
      </c>
      <c r="K358" s="21" t="n">
        <v>-0.01</v>
      </c>
      <c r="L358" s="21" t="n">
        <v>0</v>
      </c>
      <c r="M358" s="21" t="n">
        <v>0.01</v>
      </c>
      <c r="N358" s="21" t="n">
        <v>0</v>
      </c>
      <c r="O358" s="21" t="n">
        <v>0</v>
      </c>
      <c r="P358" s="21" t="n">
        <v>0.04</v>
      </c>
      <c r="Q358" s="21" t="n">
        <v>-0.02</v>
      </c>
      <c r="R358" s="18" t="n">
        <f aca="false">ABS(D358)+MAX(ABS(G358),ABS(H358))+MAX(ABS(I358),ABS(J358))</f>
        <v>0.05</v>
      </c>
      <c r="S358" s="18" t="n">
        <f aca="false">ABS(K358)+MAX(ABS(N358),ABS(O358))+MAX(ABS(P358),ABS(Q358))</f>
        <v>0.05</v>
      </c>
      <c r="T358" s="18" t="n">
        <f aca="false">MAX(ABS(E358),ABS(F358))</f>
        <v>0</v>
      </c>
      <c r="U358" s="18" t="n">
        <f aca="false">MAX(ABS(L358),ABS(M358))</f>
        <v>0.01</v>
      </c>
    </row>
    <row r="359" customFormat="false" ht="15" hidden="false" customHeight="false" outlineLevel="0" collapsed="false">
      <c r="A359" s="4" t="n">
        <v>295</v>
      </c>
      <c r="B359" s="4" t="n">
        <v>72</v>
      </c>
      <c r="C359" s="18" t="n">
        <v>1</v>
      </c>
      <c r="D359" s="21" t="n">
        <v>-0.01</v>
      </c>
      <c r="E359" s="21" t="n">
        <v>0</v>
      </c>
      <c r="F359" s="21" t="n">
        <v>0</v>
      </c>
      <c r="G359" s="21" t="n">
        <v>0.01</v>
      </c>
      <c r="H359" s="21" t="n">
        <v>-0.01</v>
      </c>
      <c r="I359" s="21" t="n">
        <v>0.08</v>
      </c>
      <c r="J359" s="21" t="n">
        <v>-0.03</v>
      </c>
      <c r="K359" s="21" t="n">
        <v>-0.01</v>
      </c>
      <c r="L359" s="21" t="n">
        <v>0</v>
      </c>
      <c r="M359" s="21" t="n">
        <v>0.01</v>
      </c>
      <c r="N359" s="21" t="n">
        <v>0.01</v>
      </c>
      <c r="O359" s="21" t="n">
        <v>-0.01</v>
      </c>
      <c r="P359" s="21" t="n">
        <v>0.08</v>
      </c>
      <c r="Q359" s="21" t="n">
        <v>-0.03</v>
      </c>
      <c r="R359" s="18" t="n">
        <f aca="false">ABS(D359)+MAX(ABS(G359),ABS(H359))+MAX(ABS(I359),ABS(J359))</f>
        <v>0.1</v>
      </c>
      <c r="S359" s="18" t="n">
        <f aca="false">ABS(K359)+MAX(ABS(N359),ABS(O359))+MAX(ABS(P359),ABS(Q359))</f>
        <v>0.1</v>
      </c>
      <c r="T359" s="18" t="n">
        <f aca="false">MAX(ABS(E359),ABS(F359))</f>
        <v>0</v>
      </c>
      <c r="U359" s="18" t="n">
        <f aca="false">MAX(ABS(L359),ABS(M359))</f>
        <v>0.01</v>
      </c>
    </row>
    <row r="360" customFormat="false" ht="15" hidden="false" customHeight="false" outlineLevel="0" collapsed="false">
      <c r="A360" s="4" t="n">
        <v>296</v>
      </c>
      <c r="B360" s="4" t="n">
        <v>73</v>
      </c>
      <c r="C360" s="18" t="n">
        <v>0</v>
      </c>
      <c r="D360" s="21" t="n">
        <v>-0.01</v>
      </c>
      <c r="E360" s="21" t="n">
        <v>0</v>
      </c>
      <c r="F360" s="21" t="n">
        <v>0</v>
      </c>
      <c r="G360" s="21" t="n">
        <v>0.01</v>
      </c>
      <c r="H360" s="21" t="n">
        <v>-0.01</v>
      </c>
      <c r="I360" s="21" t="n">
        <v>-0.05</v>
      </c>
      <c r="J360" s="21" t="n">
        <v>0.02</v>
      </c>
      <c r="K360" s="21" t="n">
        <v>-0.01</v>
      </c>
      <c r="L360" s="21" t="n">
        <v>0</v>
      </c>
      <c r="M360" s="21" t="n">
        <v>0</v>
      </c>
      <c r="N360" s="21" t="n">
        <v>0.01</v>
      </c>
      <c r="O360" s="21" t="n">
        <v>-0.01</v>
      </c>
      <c r="P360" s="21" t="n">
        <v>-0.05</v>
      </c>
      <c r="Q360" s="21" t="n">
        <v>0.02</v>
      </c>
      <c r="R360" s="18" t="n">
        <f aca="false">ABS(D360)+MAX(ABS(G360),ABS(H360))+MAX(ABS(I360),ABS(J360))</f>
        <v>0.07</v>
      </c>
      <c r="S360" s="18" t="n">
        <f aca="false">ABS(K360)+MAX(ABS(N360),ABS(O360))+MAX(ABS(P360),ABS(Q360))</f>
        <v>0.07</v>
      </c>
      <c r="T360" s="18" t="n">
        <f aca="false">MAX(ABS(E360),ABS(F360))</f>
        <v>0</v>
      </c>
      <c r="U360" s="18" t="n">
        <f aca="false">MAX(ABS(L360),ABS(M360))</f>
        <v>0</v>
      </c>
    </row>
    <row r="361" customFormat="false" ht="15" hidden="false" customHeight="false" outlineLevel="0" collapsed="false">
      <c r="A361" s="4" t="n">
        <v>296</v>
      </c>
      <c r="B361" s="4" t="n">
        <v>73</v>
      </c>
      <c r="C361" s="18" t="n">
        <v>0.25</v>
      </c>
      <c r="D361" s="21" t="n">
        <v>-0.01</v>
      </c>
      <c r="E361" s="21" t="n">
        <v>0</v>
      </c>
      <c r="F361" s="21" t="n">
        <v>0</v>
      </c>
      <c r="G361" s="21" t="n">
        <v>0</v>
      </c>
      <c r="H361" s="21" t="n">
        <v>0</v>
      </c>
      <c r="I361" s="21" t="n">
        <v>-0.03</v>
      </c>
      <c r="J361" s="21" t="n">
        <v>0.01</v>
      </c>
      <c r="K361" s="21" t="n">
        <v>-0.01</v>
      </c>
      <c r="L361" s="21" t="n">
        <v>0</v>
      </c>
      <c r="M361" s="21" t="n">
        <v>0</v>
      </c>
      <c r="N361" s="21" t="n">
        <v>0</v>
      </c>
      <c r="O361" s="21" t="n">
        <v>0</v>
      </c>
      <c r="P361" s="21" t="n">
        <v>-0.03</v>
      </c>
      <c r="Q361" s="21" t="n">
        <v>0.01</v>
      </c>
      <c r="R361" s="18" t="n">
        <f aca="false">ABS(D361)+MAX(ABS(G361),ABS(H361))+MAX(ABS(I361),ABS(J361))</f>
        <v>0.04</v>
      </c>
      <c r="S361" s="18" t="n">
        <f aca="false">ABS(K361)+MAX(ABS(N361),ABS(O361))+MAX(ABS(P361),ABS(Q361))</f>
        <v>0.04</v>
      </c>
      <c r="T361" s="18" t="n">
        <f aca="false">MAX(ABS(E361),ABS(F361))</f>
        <v>0</v>
      </c>
      <c r="U361" s="18" t="n">
        <f aca="false">MAX(ABS(L361),ABS(M361))</f>
        <v>0</v>
      </c>
    </row>
    <row r="362" customFormat="false" ht="15" hidden="false" customHeight="false" outlineLevel="0" collapsed="false">
      <c r="A362" s="4" t="n">
        <v>296</v>
      </c>
      <c r="B362" s="4" t="n">
        <v>73</v>
      </c>
      <c r="C362" s="18" t="n">
        <v>0.5</v>
      </c>
      <c r="D362" s="21" t="n">
        <v>-0.01</v>
      </c>
      <c r="E362" s="21" t="n">
        <v>0</v>
      </c>
      <c r="F362" s="21" t="n">
        <v>0</v>
      </c>
      <c r="G362" s="21" t="n">
        <v>-0.01</v>
      </c>
      <c r="H362" s="21" t="n">
        <v>0.01</v>
      </c>
      <c r="I362" s="21" t="n">
        <v>-0.01</v>
      </c>
      <c r="J362" s="21" t="n">
        <v>0</v>
      </c>
      <c r="K362" s="21" t="n">
        <v>-0.01</v>
      </c>
      <c r="L362" s="21" t="n">
        <v>0</v>
      </c>
      <c r="M362" s="21" t="n">
        <v>0</v>
      </c>
      <c r="N362" s="21" t="n">
        <v>-0.01</v>
      </c>
      <c r="O362" s="21" t="n">
        <v>0.01</v>
      </c>
      <c r="P362" s="21" t="n">
        <v>-0.01</v>
      </c>
      <c r="Q362" s="21" t="n">
        <v>0</v>
      </c>
      <c r="R362" s="18" t="n">
        <f aca="false">ABS(D362)+MAX(ABS(G362),ABS(H362))+MAX(ABS(I362),ABS(J362))</f>
        <v>0.03</v>
      </c>
      <c r="S362" s="18" t="n">
        <f aca="false">ABS(K362)+MAX(ABS(N362),ABS(O362))+MAX(ABS(P362),ABS(Q362))</f>
        <v>0.03</v>
      </c>
      <c r="T362" s="18" t="n">
        <f aca="false">MAX(ABS(E362),ABS(F362))</f>
        <v>0</v>
      </c>
      <c r="U362" s="18" t="n">
        <f aca="false">MAX(ABS(L362),ABS(M362))</f>
        <v>0</v>
      </c>
    </row>
    <row r="363" customFormat="false" ht="15" hidden="false" customHeight="false" outlineLevel="0" collapsed="false">
      <c r="A363" s="4" t="n">
        <v>296</v>
      </c>
      <c r="B363" s="4" t="n">
        <v>73</v>
      </c>
      <c r="C363" s="18" t="n">
        <v>0.75</v>
      </c>
      <c r="D363" s="21" t="n">
        <v>-0.01</v>
      </c>
      <c r="E363" s="21" t="n">
        <v>0</v>
      </c>
      <c r="F363" s="21" t="n">
        <v>0</v>
      </c>
      <c r="G363" s="21" t="n">
        <v>-0.01</v>
      </c>
      <c r="H363" s="21" t="n">
        <v>0.01</v>
      </c>
      <c r="I363" s="21" t="n">
        <v>0.01</v>
      </c>
      <c r="J363" s="21" t="n">
        <v>0</v>
      </c>
      <c r="K363" s="21" t="n">
        <v>-0.01</v>
      </c>
      <c r="L363" s="21" t="n">
        <v>0</v>
      </c>
      <c r="M363" s="21" t="n">
        <v>0</v>
      </c>
      <c r="N363" s="21" t="n">
        <v>-0.01</v>
      </c>
      <c r="O363" s="21" t="n">
        <v>0.01</v>
      </c>
      <c r="P363" s="21" t="n">
        <v>0.01</v>
      </c>
      <c r="Q363" s="21" t="n">
        <v>0</v>
      </c>
      <c r="R363" s="18" t="n">
        <f aca="false">ABS(D363)+MAX(ABS(G363),ABS(H363))+MAX(ABS(I363),ABS(J363))</f>
        <v>0.03</v>
      </c>
      <c r="S363" s="18" t="n">
        <f aca="false">ABS(K363)+MAX(ABS(N363),ABS(O363))+MAX(ABS(P363),ABS(Q363))</f>
        <v>0.03</v>
      </c>
      <c r="T363" s="18" t="n">
        <f aca="false">MAX(ABS(E363),ABS(F363))</f>
        <v>0</v>
      </c>
      <c r="U363" s="18" t="n">
        <f aca="false">MAX(ABS(L363),ABS(M363))</f>
        <v>0</v>
      </c>
    </row>
    <row r="364" customFormat="false" ht="15" hidden="false" customHeight="false" outlineLevel="0" collapsed="false">
      <c r="A364" s="4" t="n">
        <v>296</v>
      </c>
      <c r="B364" s="4" t="n">
        <v>73</v>
      </c>
      <c r="C364" s="18" t="n">
        <v>1</v>
      </c>
      <c r="D364" s="21" t="n">
        <v>-0.01</v>
      </c>
      <c r="E364" s="21" t="n">
        <v>0</v>
      </c>
      <c r="F364" s="21" t="n">
        <v>0</v>
      </c>
      <c r="G364" s="21" t="n">
        <v>-0.02</v>
      </c>
      <c r="H364" s="21" t="n">
        <v>0.02</v>
      </c>
      <c r="I364" s="21" t="n">
        <v>0.02</v>
      </c>
      <c r="J364" s="21" t="n">
        <v>-0.01</v>
      </c>
      <c r="K364" s="21" t="n">
        <v>-0.01</v>
      </c>
      <c r="L364" s="21" t="n">
        <v>0</v>
      </c>
      <c r="M364" s="21" t="n">
        <v>0</v>
      </c>
      <c r="N364" s="21" t="n">
        <v>-0.02</v>
      </c>
      <c r="O364" s="21" t="n">
        <v>0.02</v>
      </c>
      <c r="P364" s="21" t="n">
        <v>0.02</v>
      </c>
      <c r="Q364" s="21" t="n">
        <v>-0.01</v>
      </c>
      <c r="R364" s="18" t="n">
        <f aca="false">ABS(D364)+MAX(ABS(G364),ABS(H364))+MAX(ABS(I364),ABS(J364))</f>
        <v>0.05</v>
      </c>
      <c r="S364" s="18" t="n">
        <f aca="false">ABS(K364)+MAX(ABS(N364),ABS(O364))+MAX(ABS(P364),ABS(Q364))</f>
        <v>0.05</v>
      </c>
      <c r="T364" s="18" t="n">
        <f aca="false">MAX(ABS(E364),ABS(F364))</f>
        <v>0</v>
      </c>
      <c r="U364" s="18" t="n">
        <f aca="false">MAX(ABS(L364),ABS(M364))</f>
        <v>0</v>
      </c>
    </row>
    <row r="365" customFormat="false" ht="15" hidden="false" customHeight="false" outlineLevel="0" collapsed="false">
      <c r="A365" s="4" t="n">
        <v>297</v>
      </c>
      <c r="B365" s="4" t="n">
        <v>74</v>
      </c>
      <c r="C365" s="18" t="n">
        <v>0</v>
      </c>
      <c r="D365" s="21" t="n">
        <v>0</v>
      </c>
      <c r="E365" s="21" t="n">
        <v>0.02</v>
      </c>
      <c r="F365" s="21" t="n">
        <v>0.02</v>
      </c>
      <c r="G365" s="21" t="n">
        <v>0.02</v>
      </c>
      <c r="H365" s="21" t="n">
        <v>-0.02</v>
      </c>
      <c r="I365" s="21" t="n">
        <v>-0.03</v>
      </c>
      <c r="J365" s="21" t="n">
        <v>0.03</v>
      </c>
      <c r="K365" s="21" t="n">
        <v>0</v>
      </c>
      <c r="L365" s="21" t="n">
        <v>0.02</v>
      </c>
      <c r="M365" s="21" t="n">
        <v>0.02</v>
      </c>
      <c r="N365" s="21" t="n">
        <v>0.02</v>
      </c>
      <c r="O365" s="21" t="n">
        <v>-0.02</v>
      </c>
      <c r="P365" s="21" t="n">
        <v>-0.02</v>
      </c>
      <c r="Q365" s="21" t="n">
        <v>0.02</v>
      </c>
      <c r="R365" s="18" t="n">
        <f aca="false">ABS(D365)+MAX(ABS(G365),ABS(H365))+MAX(ABS(I365),ABS(J365))</f>
        <v>0.05</v>
      </c>
      <c r="S365" s="18" t="n">
        <f aca="false">ABS(K365)+MAX(ABS(N365),ABS(O365))+MAX(ABS(P365),ABS(Q365))</f>
        <v>0.04</v>
      </c>
      <c r="T365" s="18" t="n">
        <f aca="false">MAX(ABS(E365),ABS(F365))</f>
        <v>0.02</v>
      </c>
      <c r="U365" s="18" t="n">
        <f aca="false">MAX(ABS(L365),ABS(M365))</f>
        <v>0.02</v>
      </c>
    </row>
    <row r="366" customFormat="false" ht="15" hidden="false" customHeight="false" outlineLevel="0" collapsed="false">
      <c r="A366" s="4" t="n">
        <v>297</v>
      </c>
      <c r="B366" s="4" t="n">
        <v>74</v>
      </c>
      <c r="C366" s="18" t="n">
        <v>0.25</v>
      </c>
      <c r="D366" s="21" t="n">
        <v>0</v>
      </c>
      <c r="E366" s="21" t="n">
        <v>0.02</v>
      </c>
      <c r="F366" s="21" t="n">
        <v>0.02</v>
      </c>
      <c r="G366" s="21" t="n">
        <v>0.01</v>
      </c>
      <c r="H366" s="21" t="n">
        <v>-0.01</v>
      </c>
      <c r="I366" s="21" t="n">
        <v>0.01</v>
      </c>
      <c r="J366" s="21" t="n">
        <v>-0.01</v>
      </c>
      <c r="K366" s="21" t="n">
        <v>0</v>
      </c>
      <c r="L366" s="21" t="n">
        <v>0.02</v>
      </c>
      <c r="M366" s="21" t="n">
        <v>0.01</v>
      </c>
      <c r="N366" s="21" t="n">
        <v>0.01</v>
      </c>
      <c r="O366" s="21" t="n">
        <v>-0.01</v>
      </c>
      <c r="P366" s="21" t="n">
        <v>0.02</v>
      </c>
      <c r="Q366" s="21" t="n">
        <v>-0.02</v>
      </c>
      <c r="R366" s="18" t="n">
        <f aca="false">ABS(D366)+MAX(ABS(G366),ABS(H366))+MAX(ABS(I366),ABS(J366))</f>
        <v>0.02</v>
      </c>
      <c r="S366" s="18" t="n">
        <f aca="false">ABS(K366)+MAX(ABS(N366),ABS(O366))+MAX(ABS(P366),ABS(Q366))</f>
        <v>0.03</v>
      </c>
      <c r="T366" s="18" t="n">
        <f aca="false">MAX(ABS(E366),ABS(F366))</f>
        <v>0.02</v>
      </c>
      <c r="U366" s="18" t="n">
        <f aca="false">MAX(ABS(L366),ABS(M366))</f>
        <v>0.02</v>
      </c>
    </row>
    <row r="367" customFormat="false" ht="15" hidden="false" customHeight="false" outlineLevel="0" collapsed="false">
      <c r="A367" s="4" t="n">
        <v>297</v>
      </c>
      <c r="B367" s="4" t="n">
        <v>74</v>
      </c>
      <c r="C367" s="18" t="n">
        <v>0.5</v>
      </c>
      <c r="D367" s="21" t="n">
        <v>0</v>
      </c>
      <c r="E367" s="21" t="n">
        <v>0.02</v>
      </c>
      <c r="F367" s="21" t="n">
        <v>0.01</v>
      </c>
      <c r="G367" s="21" t="n">
        <v>-0.01</v>
      </c>
      <c r="H367" s="21" t="n">
        <v>0.01</v>
      </c>
      <c r="I367" s="21" t="n">
        <v>0.04</v>
      </c>
      <c r="J367" s="21" t="n">
        <v>-0.04</v>
      </c>
      <c r="K367" s="21" t="n">
        <v>0</v>
      </c>
      <c r="L367" s="21" t="n">
        <v>0.02</v>
      </c>
      <c r="M367" s="21" t="n">
        <v>0.01</v>
      </c>
      <c r="N367" s="21" t="n">
        <v>-0.01</v>
      </c>
      <c r="O367" s="21" t="n">
        <v>0.01</v>
      </c>
      <c r="P367" s="21" t="n">
        <v>0.04</v>
      </c>
      <c r="Q367" s="21" t="n">
        <v>-0.04</v>
      </c>
      <c r="R367" s="18" t="n">
        <f aca="false">ABS(D367)+MAX(ABS(G367),ABS(H367))+MAX(ABS(I367),ABS(J367))</f>
        <v>0.05</v>
      </c>
      <c r="S367" s="18" t="n">
        <f aca="false">ABS(K367)+MAX(ABS(N367),ABS(O367))+MAX(ABS(P367),ABS(Q367))</f>
        <v>0.05</v>
      </c>
      <c r="T367" s="18" t="n">
        <f aca="false">MAX(ABS(E367),ABS(F367))</f>
        <v>0.02</v>
      </c>
      <c r="U367" s="18" t="n">
        <f aca="false">MAX(ABS(L367),ABS(M367))</f>
        <v>0.02</v>
      </c>
    </row>
    <row r="368" customFormat="false" ht="15" hidden="false" customHeight="false" outlineLevel="0" collapsed="false">
      <c r="A368" s="4" t="n">
        <v>297</v>
      </c>
      <c r="B368" s="4" t="n">
        <v>74</v>
      </c>
      <c r="C368" s="18" t="n">
        <v>0.75</v>
      </c>
      <c r="D368" s="21" t="n">
        <v>0</v>
      </c>
      <c r="E368" s="21" t="n">
        <v>0.02</v>
      </c>
      <c r="F368" s="21" t="n">
        <v>0.01</v>
      </c>
      <c r="G368" s="21" t="n">
        <v>-0.02</v>
      </c>
      <c r="H368" s="21" t="n">
        <v>0.02</v>
      </c>
      <c r="I368" s="21" t="n">
        <v>0.06</v>
      </c>
      <c r="J368" s="21" t="n">
        <v>-0.06</v>
      </c>
      <c r="K368" s="21" t="n">
        <v>0</v>
      </c>
      <c r="L368" s="21" t="n">
        <v>0.02</v>
      </c>
      <c r="M368" s="21" t="n">
        <v>0</v>
      </c>
      <c r="N368" s="21" t="n">
        <v>-0.02</v>
      </c>
      <c r="O368" s="21" t="n">
        <v>0.02</v>
      </c>
      <c r="P368" s="21" t="n">
        <v>0.05</v>
      </c>
      <c r="Q368" s="21" t="n">
        <v>-0.05</v>
      </c>
      <c r="R368" s="18" t="n">
        <f aca="false">ABS(D368)+MAX(ABS(G368),ABS(H368))+MAX(ABS(I368),ABS(J368))</f>
        <v>0.08</v>
      </c>
      <c r="S368" s="18" t="n">
        <f aca="false">ABS(K368)+MAX(ABS(N368),ABS(O368))+MAX(ABS(P368),ABS(Q368))</f>
        <v>0.07</v>
      </c>
      <c r="T368" s="18" t="n">
        <f aca="false">MAX(ABS(E368),ABS(F368))</f>
        <v>0.02</v>
      </c>
      <c r="U368" s="18" t="n">
        <f aca="false">MAX(ABS(L368),ABS(M368))</f>
        <v>0.02</v>
      </c>
    </row>
    <row r="369" customFormat="false" ht="15" hidden="false" customHeight="false" outlineLevel="0" collapsed="false">
      <c r="A369" s="4" t="n">
        <v>297</v>
      </c>
      <c r="B369" s="4" t="n">
        <v>74</v>
      </c>
      <c r="C369" s="18" t="n">
        <v>1</v>
      </c>
      <c r="D369" s="21" t="n">
        <v>0</v>
      </c>
      <c r="E369" s="21" t="n">
        <v>0.02</v>
      </c>
      <c r="F369" s="21" t="n">
        <v>0</v>
      </c>
      <c r="G369" s="21" t="n">
        <v>-0.03</v>
      </c>
      <c r="H369" s="21" t="n">
        <v>0.03</v>
      </c>
      <c r="I369" s="21" t="n">
        <v>0.06</v>
      </c>
      <c r="J369" s="21" t="n">
        <v>-0.06</v>
      </c>
      <c r="K369" s="21" t="n">
        <v>0</v>
      </c>
      <c r="L369" s="21" t="n">
        <v>0.02</v>
      </c>
      <c r="M369" s="21" t="n">
        <v>0.01</v>
      </c>
      <c r="N369" s="21" t="n">
        <v>-0.03</v>
      </c>
      <c r="O369" s="21" t="n">
        <v>0.03</v>
      </c>
      <c r="P369" s="21" t="n">
        <v>0.05</v>
      </c>
      <c r="Q369" s="21" t="n">
        <v>-0.05</v>
      </c>
      <c r="R369" s="18" t="n">
        <f aca="false">ABS(D369)+MAX(ABS(G369),ABS(H369))+MAX(ABS(I369),ABS(J369))</f>
        <v>0.09</v>
      </c>
      <c r="S369" s="18" t="n">
        <f aca="false">ABS(K369)+MAX(ABS(N369),ABS(O369))+MAX(ABS(P369),ABS(Q369))</f>
        <v>0.08</v>
      </c>
      <c r="T369" s="18" t="n">
        <f aca="false">MAX(ABS(E369),ABS(F369))</f>
        <v>0.02</v>
      </c>
      <c r="U369" s="18" t="n">
        <f aca="false">MAX(ABS(L369),ABS(M369))</f>
        <v>0.02</v>
      </c>
    </row>
    <row r="370" customFormat="false" ht="15" hidden="false" customHeight="false" outlineLevel="0" collapsed="false">
      <c r="A370" s="4" t="n">
        <v>298</v>
      </c>
      <c r="B370" s="4" t="n">
        <v>75</v>
      </c>
      <c r="C370" s="18" t="n">
        <v>0</v>
      </c>
      <c r="D370" s="21" t="n">
        <v>0</v>
      </c>
      <c r="E370" s="21" t="n">
        <v>0.01</v>
      </c>
      <c r="F370" s="21" t="n">
        <v>0.02</v>
      </c>
      <c r="G370" s="21" t="n">
        <v>-0.02</v>
      </c>
      <c r="H370" s="21" t="n">
        <v>0.02</v>
      </c>
      <c r="I370" s="21" t="n">
        <v>0.05</v>
      </c>
      <c r="J370" s="21" t="n">
        <v>-0.05</v>
      </c>
      <c r="K370" s="21" t="n">
        <v>0</v>
      </c>
      <c r="L370" s="21" t="n">
        <v>0.01</v>
      </c>
      <c r="M370" s="21" t="n">
        <v>0.01</v>
      </c>
      <c r="N370" s="21" t="n">
        <v>-0.02</v>
      </c>
      <c r="O370" s="21" t="n">
        <v>0.02</v>
      </c>
      <c r="P370" s="21" t="n">
        <v>0.05</v>
      </c>
      <c r="Q370" s="21" t="n">
        <v>-0.05</v>
      </c>
      <c r="R370" s="18" t="n">
        <f aca="false">ABS(D370)+MAX(ABS(G370),ABS(H370))+MAX(ABS(I370),ABS(J370))</f>
        <v>0.07</v>
      </c>
      <c r="S370" s="18" t="n">
        <f aca="false">ABS(K370)+MAX(ABS(N370),ABS(O370))+MAX(ABS(P370),ABS(Q370))</f>
        <v>0.07</v>
      </c>
      <c r="T370" s="18" t="n">
        <f aca="false">MAX(ABS(E370),ABS(F370))</f>
        <v>0.02</v>
      </c>
      <c r="U370" s="18" t="n">
        <f aca="false">MAX(ABS(L370),ABS(M370))</f>
        <v>0.01</v>
      </c>
    </row>
    <row r="371" customFormat="false" ht="15" hidden="false" customHeight="false" outlineLevel="0" collapsed="false">
      <c r="A371" s="4" t="n">
        <v>298</v>
      </c>
      <c r="B371" s="4" t="n">
        <v>75</v>
      </c>
      <c r="C371" s="18" t="n">
        <v>0.25</v>
      </c>
      <c r="D371" s="21" t="n">
        <v>0</v>
      </c>
      <c r="E371" s="21" t="n">
        <v>0.01</v>
      </c>
      <c r="F371" s="21" t="n">
        <v>0.01</v>
      </c>
      <c r="G371" s="21" t="n">
        <v>-0.02</v>
      </c>
      <c r="H371" s="21" t="n">
        <v>0.02</v>
      </c>
      <c r="I371" s="21" t="n">
        <v>0.06</v>
      </c>
      <c r="J371" s="21" t="n">
        <v>-0.06</v>
      </c>
      <c r="K371" s="21" t="n">
        <v>0</v>
      </c>
      <c r="L371" s="21" t="n">
        <v>0.01</v>
      </c>
      <c r="M371" s="21" t="n">
        <v>0.01</v>
      </c>
      <c r="N371" s="21" t="n">
        <v>-0.03</v>
      </c>
      <c r="O371" s="21" t="n">
        <v>0.03</v>
      </c>
      <c r="P371" s="21" t="n">
        <v>0.06</v>
      </c>
      <c r="Q371" s="21" t="n">
        <v>-0.06</v>
      </c>
      <c r="R371" s="18" t="n">
        <f aca="false">ABS(D371)+MAX(ABS(G371),ABS(H371))+MAX(ABS(I371),ABS(J371))</f>
        <v>0.08</v>
      </c>
      <c r="S371" s="18" t="n">
        <f aca="false">ABS(K371)+MAX(ABS(N371),ABS(O371))+MAX(ABS(P371),ABS(Q371))</f>
        <v>0.09</v>
      </c>
      <c r="T371" s="18" t="n">
        <f aca="false">MAX(ABS(E371),ABS(F371))</f>
        <v>0.01</v>
      </c>
      <c r="U371" s="18" t="n">
        <f aca="false">MAX(ABS(L371),ABS(M371))</f>
        <v>0.01</v>
      </c>
    </row>
    <row r="372" customFormat="false" ht="15" hidden="false" customHeight="false" outlineLevel="0" collapsed="false">
      <c r="A372" s="4" t="n">
        <v>298</v>
      </c>
      <c r="B372" s="4" t="n">
        <v>75</v>
      </c>
      <c r="C372" s="18" t="n">
        <v>0.5</v>
      </c>
      <c r="D372" s="21" t="n">
        <v>0</v>
      </c>
      <c r="E372" s="21" t="n">
        <v>0.01</v>
      </c>
      <c r="F372" s="21" t="n">
        <v>0.01</v>
      </c>
      <c r="G372" s="21" t="n">
        <v>-0.03</v>
      </c>
      <c r="H372" s="21" t="n">
        <v>0.03</v>
      </c>
      <c r="I372" s="21" t="n">
        <v>0.06</v>
      </c>
      <c r="J372" s="21" t="n">
        <v>-0.06</v>
      </c>
      <c r="K372" s="21" t="n">
        <v>0</v>
      </c>
      <c r="L372" s="21" t="n">
        <v>0.01</v>
      </c>
      <c r="M372" s="21" t="n">
        <v>0.01</v>
      </c>
      <c r="N372" s="21" t="n">
        <v>-0.03</v>
      </c>
      <c r="O372" s="21" t="n">
        <v>0.03</v>
      </c>
      <c r="P372" s="21" t="n">
        <v>0.06</v>
      </c>
      <c r="Q372" s="21" t="n">
        <v>-0.06</v>
      </c>
      <c r="R372" s="18" t="n">
        <f aca="false">ABS(D372)+MAX(ABS(G372),ABS(H372))+MAX(ABS(I372),ABS(J372))</f>
        <v>0.09</v>
      </c>
      <c r="S372" s="18" t="n">
        <f aca="false">ABS(K372)+MAX(ABS(N372),ABS(O372))+MAX(ABS(P372),ABS(Q372))</f>
        <v>0.09</v>
      </c>
      <c r="T372" s="18" t="n">
        <f aca="false">MAX(ABS(E372),ABS(F372))</f>
        <v>0.01</v>
      </c>
      <c r="U372" s="18" t="n">
        <f aca="false">MAX(ABS(L372),ABS(M372))</f>
        <v>0.01</v>
      </c>
    </row>
    <row r="373" customFormat="false" ht="15" hidden="false" customHeight="false" outlineLevel="0" collapsed="false">
      <c r="A373" s="4" t="n">
        <v>298</v>
      </c>
      <c r="B373" s="4" t="n">
        <v>75</v>
      </c>
      <c r="C373" s="18" t="n">
        <v>0.75</v>
      </c>
      <c r="D373" s="21" t="n">
        <v>0</v>
      </c>
      <c r="E373" s="21" t="n">
        <v>0.01</v>
      </c>
      <c r="F373" s="21" t="n">
        <v>0.01</v>
      </c>
      <c r="G373" s="21" t="n">
        <v>-0.03</v>
      </c>
      <c r="H373" s="21" t="n">
        <v>0.03</v>
      </c>
      <c r="I373" s="21" t="n">
        <v>0.07</v>
      </c>
      <c r="J373" s="21" t="n">
        <v>-0.07</v>
      </c>
      <c r="K373" s="21" t="n">
        <v>0</v>
      </c>
      <c r="L373" s="21" t="n">
        <v>0.01</v>
      </c>
      <c r="M373" s="21" t="n">
        <v>0.01</v>
      </c>
      <c r="N373" s="21" t="n">
        <v>-0.03</v>
      </c>
      <c r="O373" s="21" t="n">
        <v>0.03</v>
      </c>
      <c r="P373" s="21" t="n">
        <v>0.07</v>
      </c>
      <c r="Q373" s="21" t="n">
        <v>-0.07</v>
      </c>
      <c r="R373" s="18" t="n">
        <f aca="false">ABS(D373)+MAX(ABS(G373),ABS(H373))+MAX(ABS(I373),ABS(J373))</f>
        <v>0.1</v>
      </c>
      <c r="S373" s="18" t="n">
        <f aca="false">ABS(K373)+MAX(ABS(N373),ABS(O373))+MAX(ABS(P373),ABS(Q373))</f>
        <v>0.1</v>
      </c>
      <c r="T373" s="18" t="n">
        <f aca="false">MAX(ABS(E373),ABS(F373))</f>
        <v>0.01</v>
      </c>
      <c r="U373" s="18" t="n">
        <f aca="false">MAX(ABS(L373),ABS(M373))</f>
        <v>0.01</v>
      </c>
    </row>
    <row r="374" customFormat="false" ht="15" hidden="false" customHeight="false" outlineLevel="0" collapsed="false">
      <c r="A374" s="4" t="n">
        <v>298</v>
      </c>
      <c r="B374" s="4" t="n">
        <v>75</v>
      </c>
      <c r="C374" s="18" t="n">
        <v>1</v>
      </c>
      <c r="D374" s="21" t="n">
        <v>0</v>
      </c>
      <c r="E374" s="21" t="n">
        <v>0.01</v>
      </c>
      <c r="F374" s="21" t="n">
        <v>0.01</v>
      </c>
      <c r="G374" s="21" t="n">
        <v>-0.03</v>
      </c>
      <c r="H374" s="21" t="n">
        <v>0.03</v>
      </c>
      <c r="I374" s="21" t="n">
        <v>0.07</v>
      </c>
      <c r="J374" s="21" t="n">
        <v>-0.07</v>
      </c>
      <c r="K374" s="21" t="n">
        <v>0</v>
      </c>
      <c r="L374" s="21" t="n">
        <v>0.01</v>
      </c>
      <c r="M374" s="21" t="n">
        <v>0.01</v>
      </c>
      <c r="N374" s="21" t="n">
        <v>-0.03</v>
      </c>
      <c r="O374" s="21" t="n">
        <v>0.03</v>
      </c>
      <c r="P374" s="21" t="n">
        <v>0.07</v>
      </c>
      <c r="Q374" s="21" t="n">
        <v>-0.07</v>
      </c>
      <c r="R374" s="18" t="n">
        <f aca="false">ABS(D374)+MAX(ABS(G374),ABS(H374))+MAX(ABS(I374),ABS(J374))</f>
        <v>0.1</v>
      </c>
      <c r="S374" s="18" t="n">
        <f aca="false">ABS(K374)+MAX(ABS(N374),ABS(O374))+MAX(ABS(P374),ABS(Q374))</f>
        <v>0.1</v>
      </c>
      <c r="T374" s="18" t="n">
        <f aca="false">MAX(ABS(E374),ABS(F374))</f>
        <v>0.01</v>
      </c>
      <c r="U374" s="18" t="n">
        <f aca="false">MAX(ABS(L374),ABS(M374))</f>
        <v>0.01</v>
      </c>
    </row>
    <row r="375" customFormat="false" ht="15" hidden="false" customHeight="false" outlineLevel="0" collapsed="false">
      <c r="A375" s="4" t="n">
        <v>299</v>
      </c>
      <c r="B375" s="4" t="n">
        <v>76</v>
      </c>
      <c r="C375" s="18" t="n">
        <v>0</v>
      </c>
      <c r="D375" s="21" t="n">
        <v>0</v>
      </c>
      <c r="E375" s="21" t="n">
        <v>0</v>
      </c>
      <c r="F375" s="21" t="n">
        <v>0.02</v>
      </c>
      <c r="G375" s="21" t="n">
        <v>-0.03</v>
      </c>
      <c r="H375" s="21" t="n">
        <v>0.03</v>
      </c>
      <c r="I375" s="21" t="n">
        <v>0.02</v>
      </c>
      <c r="J375" s="21" t="n">
        <v>-0.02</v>
      </c>
      <c r="K375" s="21" t="n">
        <v>0</v>
      </c>
      <c r="L375" s="21" t="n">
        <v>0</v>
      </c>
      <c r="M375" s="21" t="n">
        <v>0.02</v>
      </c>
      <c r="N375" s="21" t="n">
        <v>-0.03</v>
      </c>
      <c r="O375" s="21" t="n">
        <v>0.03</v>
      </c>
      <c r="P375" s="21" t="n">
        <v>0.02</v>
      </c>
      <c r="Q375" s="21" t="n">
        <v>-0.02</v>
      </c>
      <c r="R375" s="18" t="n">
        <f aca="false">ABS(D375)+MAX(ABS(G375),ABS(H375))+MAX(ABS(I375),ABS(J375))</f>
        <v>0.05</v>
      </c>
      <c r="S375" s="18" t="n">
        <f aca="false">ABS(K375)+MAX(ABS(N375),ABS(O375))+MAX(ABS(P375),ABS(Q375))</f>
        <v>0.05</v>
      </c>
      <c r="T375" s="18" t="n">
        <f aca="false">MAX(ABS(E375),ABS(F375))</f>
        <v>0.02</v>
      </c>
      <c r="U375" s="18" t="n">
        <f aca="false">MAX(ABS(L375),ABS(M375))</f>
        <v>0.02</v>
      </c>
    </row>
    <row r="376" customFormat="false" ht="15" hidden="false" customHeight="false" outlineLevel="0" collapsed="false">
      <c r="A376" s="4" t="n">
        <v>299</v>
      </c>
      <c r="B376" s="4" t="n">
        <v>76</v>
      </c>
      <c r="C376" s="18" t="n">
        <v>0.25</v>
      </c>
      <c r="D376" s="21" t="n">
        <v>0</v>
      </c>
      <c r="E376" s="21" t="n">
        <v>0</v>
      </c>
      <c r="F376" s="21" t="n">
        <v>0.01</v>
      </c>
      <c r="G376" s="21" t="n">
        <v>-0.03</v>
      </c>
      <c r="H376" s="21" t="n">
        <v>0.03</v>
      </c>
      <c r="I376" s="21" t="n">
        <v>0.1</v>
      </c>
      <c r="J376" s="21" t="n">
        <v>-0.1</v>
      </c>
      <c r="K376" s="21" t="n">
        <v>0</v>
      </c>
      <c r="L376" s="21" t="n">
        <v>0</v>
      </c>
      <c r="M376" s="21" t="n">
        <v>0.01</v>
      </c>
      <c r="N376" s="21" t="n">
        <v>-0.03</v>
      </c>
      <c r="O376" s="21" t="n">
        <v>0.03</v>
      </c>
      <c r="P376" s="21" t="n">
        <v>0.09</v>
      </c>
      <c r="Q376" s="21" t="n">
        <v>-0.09</v>
      </c>
      <c r="R376" s="18" t="n">
        <f aca="false">ABS(D376)+MAX(ABS(G376),ABS(H376))+MAX(ABS(I376),ABS(J376))</f>
        <v>0.13</v>
      </c>
      <c r="S376" s="18" t="n">
        <f aca="false">ABS(K376)+MAX(ABS(N376),ABS(O376))+MAX(ABS(P376),ABS(Q376))</f>
        <v>0.12</v>
      </c>
      <c r="T376" s="18" t="n">
        <f aca="false">MAX(ABS(E376),ABS(F376))</f>
        <v>0.01</v>
      </c>
      <c r="U376" s="18" t="n">
        <f aca="false">MAX(ABS(L376),ABS(M376))</f>
        <v>0.01</v>
      </c>
    </row>
    <row r="377" customFormat="false" ht="15" hidden="false" customHeight="false" outlineLevel="0" collapsed="false">
      <c r="A377" s="4" t="n">
        <v>299</v>
      </c>
      <c r="B377" s="4" t="n">
        <v>76</v>
      </c>
      <c r="C377" s="18" t="n">
        <v>0.5</v>
      </c>
      <c r="D377" s="21" t="n">
        <v>0</v>
      </c>
      <c r="E377" s="21" t="n">
        <v>0</v>
      </c>
      <c r="F377" s="21" t="n">
        <v>0</v>
      </c>
      <c r="G377" s="21" t="n">
        <v>-0.03</v>
      </c>
      <c r="H377" s="21" t="n">
        <v>0.03</v>
      </c>
      <c r="I377" s="21" t="n">
        <v>0.12</v>
      </c>
      <c r="J377" s="21" t="n">
        <v>-0.12</v>
      </c>
      <c r="K377" s="21" t="n">
        <v>0</v>
      </c>
      <c r="L377" s="21" t="n">
        <v>0</v>
      </c>
      <c r="M377" s="21" t="n">
        <v>0</v>
      </c>
      <c r="N377" s="21" t="n">
        <v>-0.03</v>
      </c>
      <c r="O377" s="21" t="n">
        <v>0.03</v>
      </c>
      <c r="P377" s="21" t="n">
        <v>0.12</v>
      </c>
      <c r="Q377" s="21" t="n">
        <v>-0.12</v>
      </c>
      <c r="R377" s="18" t="n">
        <f aca="false">ABS(D377)+MAX(ABS(G377),ABS(H377))+MAX(ABS(I377),ABS(J377))</f>
        <v>0.15</v>
      </c>
      <c r="S377" s="18" t="n">
        <f aca="false">ABS(K377)+MAX(ABS(N377),ABS(O377))+MAX(ABS(P377),ABS(Q377))</f>
        <v>0.15</v>
      </c>
      <c r="T377" s="18" t="n">
        <f aca="false">MAX(ABS(E377),ABS(F377))</f>
        <v>0</v>
      </c>
      <c r="U377" s="18" t="n">
        <f aca="false">MAX(ABS(L377),ABS(M377))</f>
        <v>0</v>
      </c>
    </row>
    <row r="378" customFormat="false" ht="15" hidden="false" customHeight="false" outlineLevel="0" collapsed="false">
      <c r="A378" s="4" t="n">
        <v>299</v>
      </c>
      <c r="B378" s="4" t="n">
        <v>76</v>
      </c>
      <c r="C378" s="18" t="n">
        <v>0.75</v>
      </c>
      <c r="D378" s="21" t="n">
        <v>0</v>
      </c>
      <c r="E378" s="21" t="n">
        <v>0</v>
      </c>
      <c r="F378" s="21" t="n">
        <v>0.01</v>
      </c>
      <c r="G378" s="21" t="n">
        <v>-0.03</v>
      </c>
      <c r="H378" s="21" t="n">
        <v>0.03</v>
      </c>
      <c r="I378" s="21" t="n">
        <v>0.1</v>
      </c>
      <c r="J378" s="21" t="n">
        <v>-0.1</v>
      </c>
      <c r="K378" s="21" t="n">
        <v>0</v>
      </c>
      <c r="L378" s="21" t="n">
        <v>0</v>
      </c>
      <c r="M378" s="21" t="n">
        <v>0.01</v>
      </c>
      <c r="N378" s="21" t="n">
        <v>-0.03</v>
      </c>
      <c r="O378" s="21" t="n">
        <v>0.03</v>
      </c>
      <c r="P378" s="21" t="n">
        <v>0.1</v>
      </c>
      <c r="Q378" s="21" t="n">
        <v>-0.1</v>
      </c>
      <c r="R378" s="18" t="n">
        <f aca="false">ABS(D378)+MAX(ABS(G378),ABS(H378))+MAX(ABS(I378),ABS(J378))</f>
        <v>0.13</v>
      </c>
      <c r="S378" s="18" t="n">
        <f aca="false">ABS(K378)+MAX(ABS(N378),ABS(O378))+MAX(ABS(P378),ABS(Q378))</f>
        <v>0.13</v>
      </c>
      <c r="T378" s="18" t="n">
        <f aca="false">MAX(ABS(E378),ABS(F378))</f>
        <v>0.01</v>
      </c>
      <c r="U378" s="18" t="n">
        <f aca="false">MAX(ABS(L378),ABS(M378))</f>
        <v>0.01</v>
      </c>
    </row>
    <row r="379" customFormat="false" ht="15" hidden="false" customHeight="false" outlineLevel="0" collapsed="false">
      <c r="A379" s="4" t="n">
        <v>299</v>
      </c>
      <c r="B379" s="4" t="n">
        <v>76</v>
      </c>
      <c r="C379" s="18" t="n">
        <v>1</v>
      </c>
      <c r="D379" s="21" t="n">
        <v>0</v>
      </c>
      <c r="E379" s="21" t="n">
        <v>0</v>
      </c>
      <c r="F379" s="21" t="n">
        <v>0.02</v>
      </c>
      <c r="G379" s="21" t="n">
        <v>-0.03</v>
      </c>
      <c r="H379" s="21" t="n">
        <v>0.03</v>
      </c>
      <c r="I379" s="21" t="n">
        <v>0.03</v>
      </c>
      <c r="J379" s="21" t="n">
        <v>-0.03</v>
      </c>
      <c r="K379" s="21" t="n">
        <v>0</v>
      </c>
      <c r="L379" s="21" t="n">
        <v>0</v>
      </c>
      <c r="M379" s="21" t="n">
        <v>0.02</v>
      </c>
      <c r="N379" s="21" t="n">
        <v>-0.03</v>
      </c>
      <c r="O379" s="21" t="n">
        <v>0.03</v>
      </c>
      <c r="P379" s="21" t="n">
        <v>0.03</v>
      </c>
      <c r="Q379" s="21" t="n">
        <v>-0.03</v>
      </c>
      <c r="R379" s="18" t="n">
        <f aca="false">ABS(D379)+MAX(ABS(G379),ABS(H379))+MAX(ABS(I379),ABS(J379))</f>
        <v>0.06</v>
      </c>
      <c r="S379" s="18" t="n">
        <f aca="false">ABS(K379)+MAX(ABS(N379),ABS(O379))+MAX(ABS(P379),ABS(Q379))</f>
        <v>0.06</v>
      </c>
      <c r="T379" s="18" t="n">
        <f aca="false">MAX(ABS(E379),ABS(F379))</f>
        <v>0.02</v>
      </c>
      <c r="U379" s="18" t="n">
        <f aca="false">MAX(ABS(L379),ABS(M379))</f>
        <v>0.02</v>
      </c>
    </row>
    <row r="380" customFormat="false" ht="15" hidden="false" customHeight="false" outlineLevel="0" collapsed="false">
      <c r="A380" s="4" t="n">
        <v>300</v>
      </c>
      <c r="B380" s="4" t="n">
        <v>77</v>
      </c>
      <c r="C380" s="18" t="n">
        <v>0</v>
      </c>
      <c r="D380" s="21" t="n">
        <v>0</v>
      </c>
      <c r="E380" s="21" t="n">
        <v>0.01</v>
      </c>
      <c r="F380" s="21" t="n">
        <v>0.02</v>
      </c>
      <c r="G380" s="21" t="n">
        <v>-0.03</v>
      </c>
      <c r="H380" s="21" t="n">
        <v>0.03</v>
      </c>
      <c r="I380" s="21" t="n">
        <v>0.03</v>
      </c>
      <c r="J380" s="21" t="n">
        <v>-0.03</v>
      </c>
      <c r="K380" s="21" t="n">
        <v>0</v>
      </c>
      <c r="L380" s="21" t="n">
        <v>0.01</v>
      </c>
      <c r="M380" s="21" t="n">
        <v>0.02</v>
      </c>
      <c r="N380" s="21" t="n">
        <v>-0.03</v>
      </c>
      <c r="O380" s="21" t="n">
        <v>0.03</v>
      </c>
      <c r="P380" s="21" t="n">
        <v>0.04</v>
      </c>
      <c r="Q380" s="21" t="n">
        <v>-0.04</v>
      </c>
      <c r="R380" s="18" t="n">
        <f aca="false">ABS(D380)+MAX(ABS(G380),ABS(H380))+MAX(ABS(I380),ABS(J380))</f>
        <v>0.06</v>
      </c>
      <c r="S380" s="18" t="n">
        <f aca="false">ABS(K380)+MAX(ABS(N380),ABS(O380))+MAX(ABS(P380),ABS(Q380))</f>
        <v>0.07</v>
      </c>
      <c r="T380" s="18" t="n">
        <f aca="false">MAX(ABS(E380),ABS(F380))</f>
        <v>0.02</v>
      </c>
      <c r="U380" s="18" t="n">
        <f aca="false">MAX(ABS(L380),ABS(M380))</f>
        <v>0.02</v>
      </c>
    </row>
    <row r="381" customFormat="false" ht="15" hidden="false" customHeight="false" outlineLevel="0" collapsed="false">
      <c r="A381" s="4" t="n">
        <v>300</v>
      </c>
      <c r="B381" s="4" t="n">
        <v>77</v>
      </c>
      <c r="C381" s="18" t="n">
        <v>0.25</v>
      </c>
      <c r="D381" s="21" t="n">
        <v>0</v>
      </c>
      <c r="E381" s="21" t="n">
        <v>0.01</v>
      </c>
      <c r="F381" s="21" t="n">
        <v>0.02</v>
      </c>
      <c r="G381" s="21" t="n">
        <v>-0.03</v>
      </c>
      <c r="H381" s="21" t="n">
        <v>0.03</v>
      </c>
      <c r="I381" s="21" t="n">
        <v>0.02</v>
      </c>
      <c r="J381" s="21" t="n">
        <v>-0.02</v>
      </c>
      <c r="K381" s="21" t="n">
        <v>0</v>
      </c>
      <c r="L381" s="21" t="n">
        <v>0.01</v>
      </c>
      <c r="M381" s="21" t="n">
        <v>0.02</v>
      </c>
      <c r="N381" s="21" t="n">
        <v>-0.03</v>
      </c>
      <c r="O381" s="21" t="n">
        <v>0.03</v>
      </c>
      <c r="P381" s="21" t="n">
        <v>0.03</v>
      </c>
      <c r="Q381" s="21" t="n">
        <v>-0.03</v>
      </c>
      <c r="R381" s="18" t="n">
        <f aca="false">ABS(D381)+MAX(ABS(G381),ABS(H381))+MAX(ABS(I381),ABS(J381))</f>
        <v>0.05</v>
      </c>
      <c r="S381" s="18" t="n">
        <f aca="false">ABS(K381)+MAX(ABS(N381),ABS(O381))+MAX(ABS(P381),ABS(Q381))</f>
        <v>0.06</v>
      </c>
      <c r="T381" s="18" t="n">
        <f aca="false">MAX(ABS(E381),ABS(F381))</f>
        <v>0.02</v>
      </c>
      <c r="U381" s="18" t="n">
        <f aca="false">MAX(ABS(L381),ABS(M381))</f>
        <v>0.02</v>
      </c>
    </row>
    <row r="382" customFormat="false" ht="15" hidden="false" customHeight="false" outlineLevel="0" collapsed="false">
      <c r="A382" s="4" t="n">
        <v>300</v>
      </c>
      <c r="B382" s="4" t="n">
        <v>77</v>
      </c>
      <c r="C382" s="18" t="n">
        <v>0.5</v>
      </c>
      <c r="D382" s="21" t="n">
        <v>0</v>
      </c>
      <c r="E382" s="21" t="n">
        <v>0.01</v>
      </c>
      <c r="F382" s="21" t="n">
        <v>0.03</v>
      </c>
      <c r="G382" s="21" t="n">
        <v>-0.03</v>
      </c>
      <c r="H382" s="21" t="n">
        <v>0.03</v>
      </c>
      <c r="I382" s="21" t="n">
        <v>0.01</v>
      </c>
      <c r="J382" s="21" t="n">
        <v>-0.01</v>
      </c>
      <c r="K382" s="21" t="n">
        <v>0</v>
      </c>
      <c r="L382" s="21" t="n">
        <v>0.01</v>
      </c>
      <c r="M382" s="21" t="n">
        <v>0.03</v>
      </c>
      <c r="N382" s="21" t="n">
        <v>-0.03</v>
      </c>
      <c r="O382" s="21" t="n">
        <v>0.03</v>
      </c>
      <c r="P382" s="21" t="n">
        <v>0.02</v>
      </c>
      <c r="Q382" s="21" t="n">
        <v>-0.02</v>
      </c>
      <c r="R382" s="18" t="n">
        <f aca="false">ABS(D382)+MAX(ABS(G382),ABS(H382))+MAX(ABS(I382),ABS(J382))</f>
        <v>0.04</v>
      </c>
      <c r="S382" s="18" t="n">
        <f aca="false">ABS(K382)+MAX(ABS(N382),ABS(O382))+MAX(ABS(P382),ABS(Q382))</f>
        <v>0.05</v>
      </c>
      <c r="T382" s="18" t="n">
        <f aca="false">MAX(ABS(E382),ABS(F382))</f>
        <v>0.03</v>
      </c>
      <c r="U382" s="18" t="n">
        <f aca="false">MAX(ABS(L382),ABS(M382))</f>
        <v>0.03</v>
      </c>
    </row>
    <row r="383" customFormat="false" ht="15" hidden="false" customHeight="false" outlineLevel="0" collapsed="false">
      <c r="A383" s="4" t="n">
        <v>300</v>
      </c>
      <c r="B383" s="4" t="n">
        <v>77</v>
      </c>
      <c r="C383" s="18" t="n">
        <v>0.75</v>
      </c>
      <c r="D383" s="21" t="n">
        <v>0</v>
      </c>
      <c r="E383" s="21" t="n">
        <v>0.01</v>
      </c>
      <c r="F383" s="21" t="n">
        <v>0.03</v>
      </c>
      <c r="G383" s="21" t="n">
        <v>-0.03</v>
      </c>
      <c r="H383" s="21" t="n">
        <v>0.03</v>
      </c>
      <c r="I383" s="21" t="n">
        <v>0</v>
      </c>
      <c r="J383" s="21" t="n">
        <v>0</v>
      </c>
      <c r="K383" s="21" t="n">
        <v>0</v>
      </c>
      <c r="L383" s="21" t="n">
        <v>0.01</v>
      </c>
      <c r="M383" s="21" t="n">
        <v>0.03</v>
      </c>
      <c r="N383" s="21" t="n">
        <v>-0.03</v>
      </c>
      <c r="O383" s="21" t="n">
        <v>0.03</v>
      </c>
      <c r="P383" s="21" t="n">
        <v>0.01</v>
      </c>
      <c r="Q383" s="21" t="n">
        <v>-0.01</v>
      </c>
      <c r="R383" s="18" t="n">
        <f aca="false">ABS(D383)+MAX(ABS(G383),ABS(H383))+MAX(ABS(I383),ABS(J383))</f>
        <v>0.03</v>
      </c>
      <c r="S383" s="18" t="n">
        <f aca="false">ABS(K383)+MAX(ABS(N383),ABS(O383))+MAX(ABS(P383),ABS(Q383))</f>
        <v>0.04</v>
      </c>
      <c r="T383" s="18" t="n">
        <f aca="false">MAX(ABS(E383),ABS(F383))</f>
        <v>0.03</v>
      </c>
      <c r="U383" s="18" t="n">
        <f aca="false">MAX(ABS(L383),ABS(M383))</f>
        <v>0.03</v>
      </c>
    </row>
    <row r="384" customFormat="false" ht="15" hidden="false" customHeight="false" outlineLevel="0" collapsed="false">
      <c r="A384" s="4" t="n">
        <v>300</v>
      </c>
      <c r="B384" s="4" t="n">
        <v>77</v>
      </c>
      <c r="C384" s="18" t="n">
        <v>1</v>
      </c>
      <c r="D384" s="21" t="n">
        <v>0</v>
      </c>
      <c r="E384" s="21" t="n">
        <v>0.01</v>
      </c>
      <c r="F384" s="21" t="n">
        <v>0.03</v>
      </c>
      <c r="G384" s="21" t="n">
        <v>-0.03</v>
      </c>
      <c r="H384" s="21" t="n">
        <v>0.03</v>
      </c>
      <c r="I384" s="21" t="n">
        <v>-0.01</v>
      </c>
      <c r="J384" s="21" t="n">
        <v>0.01</v>
      </c>
      <c r="K384" s="21" t="n">
        <v>0</v>
      </c>
      <c r="L384" s="21" t="n">
        <v>0.01</v>
      </c>
      <c r="M384" s="21" t="n">
        <v>0.03</v>
      </c>
      <c r="N384" s="21" t="n">
        <v>-0.03</v>
      </c>
      <c r="O384" s="21" t="n">
        <v>0.03</v>
      </c>
      <c r="P384" s="21" t="n">
        <v>0</v>
      </c>
      <c r="Q384" s="21" t="n">
        <v>0</v>
      </c>
      <c r="R384" s="18" t="n">
        <f aca="false">ABS(D384)+MAX(ABS(G384),ABS(H384))+MAX(ABS(I384),ABS(J384))</f>
        <v>0.04</v>
      </c>
      <c r="S384" s="18" t="n">
        <f aca="false">ABS(K384)+MAX(ABS(N384),ABS(O384))+MAX(ABS(P384),ABS(Q384))</f>
        <v>0.03</v>
      </c>
      <c r="T384" s="18" t="n">
        <f aca="false">MAX(ABS(E384),ABS(F384))</f>
        <v>0.03</v>
      </c>
      <c r="U384" s="18" t="n">
        <f aca="false">MAX(ABS(L384),ABS(M384))</f>
        <v>0.03</v>
      </c>
    </row>
    <row r="385" customFormat="false" ht="15" hidden="false" customHeight="false" outlineLevel="0" collapsed="false">
      <c r="A385" s="4" t="n">
        <v>301</v>
      </c>
      <c r="B385" s="4" t="n">
        <v>78</v>
      </c>
      <c r="C385" s="18" t="n">
        <v>0</v>
      </c>
      <c r="D385" s="21" t="n">
        <v>0</v>
      </c>
      <c r="E385" s="21" t="n">
        <v>0.01</v>
      </c>
      <c r="F385" s="21" t="n">
        <v>0.01</v>
      </c>
      <c r="G385" s="21" t="n">
        <v>-0.03</v>
      </c>
      <c r="H385" s="21" t="n">
        <v>0.03</v>
      </c>
      <c r="I385" s="21" t="n">
        <v>0.07</v>
      </c>
      <c r="J385" s="21" t="n">
        <v>-0.07</v>
      </c>
      <c r="K385" s="21" t="n">
        <v>0</v>
      </c>
      <c r="L385" s="21" t="n">
        <v>0.01</v>
      </c>
      <c r="M385" s="21" t="n">
        <v>0.01</v>
      </c>
      <c r="N385" s="21" t="n">
        <v>-0.03</v>
      </c>
      <c r="O385" s="21" t="n">
        <v>0.03</v>
      </c>
      <c r="P385" s="21" t="n">
        <v>0.07</v>
      </c>
      <c r="Q385" s="21" t="n">
        <v>-0.07</v>
      </c>
      <c r="R385" s="18" t="n">
        <f aca="false">ABS(D385)+MAX(ABS(G385),ABS(H385))+MAX(ABS(I385),ABS(J385))</f>
        <v>0.1</v>
      </c>
      <c r="S385" s="18" t="n">
        <f aca="false">ABS(K385)+MAX(ABS(N385),ABS(O385))+MAX(ABS(P385),ABS(Q385))</f>
        <v>0.1</v>
      </c>
      <c r="T385" s="18" t="n">
        <f aca="false">MAX(ABS(E385),ABS(F385))</f>
        <v>0.01</v>
      </c>
      <c r="U385" s="18" t="n">
        <f aca="false">MAX(ABS(L385),ABS(M385))</f>
        <v>0.01</v>
      </c>
    </row>
    <row r="386" customFormat="false" ht="15" hidden="false" customHeight="false" outlineLevel="0" collapsed="false">
      <c r="A386" s="4" t="n">
        <v>301</v>
      </c>
      <c r="B386" s="4" t="n">
        <v>78</v>
      </c>
      <c r="C386" s="18" t="n">
        <v>0.25</v>
      </c>
      <c r="D386" s="21" t="n">
        <v>0</v>
      </c>
      <c r="E386" s="21" t="n">
        <v>0.01</v>
      </c>
      <c r="F386" s="21" t="n">
        <v>0.02</v>
      </c>
      <c r="G386" s="21" t="n">
        <v>-0.02</v>
      </c>
      <c r="H386" s="21" t="n">
        <v>0.02</v>
      </c>
      <c r="I386" s="21" t="n">
        <v>0.05</v>
      </c>
      <c r="J386" s="21" t="n">
        <v>-0.05</v>
      </c>
      <c r="K386" s="21" t="n">
        <v>0</v>
      </c>
      <c r="L386" s="21" t="n">
        <v>0.01</v>
      </c>
      <c r="M386" s="21" t="n">
        <v>0.02</v>
      </c>
      <c r="N386" s="21" t="n">
        <v>-0.02</v>
      </c>
      <c r="O386" s="21" t="n">
        <v>0.02</v>
      </c>
      <c r="P386" s="21" t="n">
        <v>0.04</v>
      </c>
      <c r="Q386" s="21" t="n">
        <v>-0.04</v>
      </c>
      <c r="R386" s="18" t="n">
        <f aca="false">ABS(D386)+MAX(ABS(G386),ABS(H386))+MAX(ABS(I386),ABS(J386))</f>
        <v>0.07</v>
      </c>
      <c r="S386" s="18" t="n">
        <f aca="false">ABS(K386)+MAX(ABS(N386),ABS(O386))+MAX(ABS(P386),ABS(Q386))</f>
        <v>0.06</v>
      </c>
      <c r="T386" s="18" t="n">
        <f aca="false">MAX(ABS(E386),ABS(F386))</f>
        <v>0.02</v>
      </c>
      <c r="U386" s="18" t="n">
        <f aca="false">MAX(ABS(L386),ABS(M386))</f>
        <v>0.02</v>
      </c>
    </row>
    <row r="387" customFormat="false" ht="15" hidden="false" customHeight="false" outlineLevel="0" collapsed="false">
      <c r="A387" s="4" t="n">
        <v>301</v>
      </c>
      <c r="B387" s="4" t="n">
        <v>78</v>
      </c>
      <c r="C387" s="18" t="n">
        <v>0.5</v>
      </c>
      <c r="D387" s="21" t="n">
        <v>0</v>
      </c>
      <c r="E387" s="21" t="n">
        <v>0.01</v>
      </c>
      <c r="F387" s="21" t="n">
        <v>0.02</v>
      </c>
      <c r="G387" s="21" t="n">
        <v>-0.02</v>
      </c>
      <c r="H387" s="21" t="n">
        <v>0.02</v>
      </c>
      <c r="I387" s="21" t="n">
        <v>0.01</v>
      </c>
      <c r="J387" s="21" t="n">
        <v>-0.01</v>
      </c>
      <c r="K387" s="21" t="n">
        <v>0</v>
      </c>
      <c r="L387" s="21" t="n">
        <v>0.01</v>
      </c>
      <c r="M387" s="21" t="n">
        <v>0.02</v>
      </c>
      <c r="N387" s="21" t="n">
        <v>-0.02</v>
      </c>
      <c r="O387" s="21" t="n">
        <v>0.02</v>
      </c>
      <c r="P387" s="21" t="n">
        <v>0</v>
      </c>
      <c r="Q387" s="21" t="n">
        <v>0</v>
      </c>
      <c r="R387" s="18" t="n">
        <f aca="false">ABS(D387)+MAX(ABS(G387),ABS(H387))+MAX(ABS(I387),ABS(J387))</f>
        <v>0.03</v>
      </c>
      <c r="S387" s="18" t="n">
        <f aca="false">ABS(K387)+MAX(ABS(N387),ABS(O387))+MAX(ABS(P387),ABS(Q387))</f>
        <v>0.02</v>
      </c>
      <c r="T387" s="18" t="n">
        <f aca="false">MAX(ABS(E387),ABS(F387))</f>
        <v>0.02</v>
      </c>
      <c r="U387" s="18" t="n">
        <f aca="false">MAX(ABS(L387),ABS(M387))</f>
        <v>0.02</v>
      </c>
    </row>
    <row r="388" customFormat="false" ht="15" hidden="false" customHeight="false" outlineLevel="0" collapsed="false">
      <c r="A388" s="4" t="n">
        <v>301</v>
      </c>
      <c r="B388" s="4" t="n">
        <v>78</v>
      </c>
      <c r="C388" s="18" t="n">
        <v>0.75</v>
      </c>
      <c r="D388" s="21" t="n">
        <v>0</v>
      </c>
      <c r="E388" s="21" t="n">
        <v>0.01</v>
      </c>
      <c r="F388" s="21" t="n">
        <v>0.03</v>
      </c>
      <c r="G388" s="21" t="n">
        <v>-0.01</v>
      </c>
      <c r="H388" s="21" t="n">
        <v>0.01</v>
      </c>
      <c r="I388" s="21" t="n">
        <v>-0.04</v>
      </c>
      <c r="J388" s="21" t="n">
        <v>0.04</v>
      </c>
      <c r="K388" s="21" t="n">
        <v>0</v>
      </c>
      <c r="L388" s="21" t="n">
        <v>0.01</v>
      </c>
      <c r="M388" s="21" t="n">
        <v>0.03</v>
      </c>
      <c r="N388" s="21" t="n">
        <v>-0.01</v>
      </c>
      <c r="O388" s="21" t="n">
        <v>0.01</v>
      </c>
      <c r="P388" s="21" t="n">
        <v>-0.06</v>
      </c>
      <c r="Q388" s="21" t="n">
        <v>0.06</v>
      </c>
      <c r="R388" s="18" t="n">
        <f aca="false">ABS(D388)+MAX(ABS(G388),ABS(H388))+MAX(ABS(I388),ABS(J388))</f>
        <v>0.05</v>
      </c>
      <c r="S388" s="18" t="n">
        <f aca="false">ABS(K388)+MAX(ABS(N388),ABS(O388))+MAX(ABS(P388),ABS(Q388))</f>
        <v>0.07</v>
      </c>
      <c r="T388" s="18" t="n">
        <f aca="false">MAX(ABS(E388),ABS(F388))</f>
        <v>0.03</v>
      </c>
      <c r="U388" s="18" t="n">
        <f aca="false">MAX(ABS(L388),ABS(M388))</f>
        <v>0.03</v>
      </c>
    </row>
    <row r="389" customFormat="false" ht="15" hidden="false" customHeight="false" outlineLevel="0" collapsed="false">
      <c r="A389" s="4" t="n">
        <v>301</v>
      </c>
      <c r="B389" s="4" t="n">
        <v>78</v>
      </c>
      <c r="C389" s="18" t="n">
        <v>1</v>
      </c>
      <c r="D389" s="21" t="n">
        <v>0</v>
      </c>
      <c r="E389" s="21" t="n">
        <v>0.01</v>
      </c>
      <c r="F389" s="21" t="n">
        <v>0.03</v>
      </c>
      <c r="G389" s="21" t="n">
        <v>0</v>
      </c>
      <c r="H389" s="21" t="n">
        <v>0</v>
      </c>
      <c r="I389" s="21" t="n">
        <v>-0.1</v>
      </c>
      <c r="J389" s="21" t="n">
        <v>0.1</v>
      </c>
      <c r="K389" s="21" t="n">
        <v>0</v>
      </c>
      <c r="L389" s="21" t="n">
        <v>0.01</v>
      </c>
      <c r="M389" s="21" t="n">
        <v>0.04</v>
      </c>
      <c r="N389" s="21" t="n">
        <v>-0.01</v>
      </c>
      <c r="O389" s="21" t="n">
        <v>0.01</v>
      </c>
      <c r="P389" s="21" t="n">
        <v>-0.13</v>
      </c>
      <c r="Q389" s="21" t="n">
        <v>0.13</v>
      </c>
      <c r="R389" s="18" t="n">
        <f aca="false">ABS(D389)+MAX(ABS(G389),ABS(H389))+MAX(ABS(I389),ABS(J389))</f>
        <v>0.1</v>
      </c>
      <c r="S389" s="18" t="n">
        <f aca="false">ABS(K389)+MAX(ABS(N389),ABS(O389))+MAX(ABS(P389),ABS(Q389))</f>
        <v>0.14</v>
      </c>
      <c r="T389" s="18" t="n">
        <f aca="false">MAX(ABS(E389),ABS(F389))</f>
        <v>0.03</v>
      </c>
      <c r="U389" s="18" t="n">
        <f aca="false">MAX(ABS(L389),ABS(M389))</f>
        <v>0.04</v>
      </c>
    </row>
    <row r="390" customFormat="false" ht="15" hidden="false" customHeight="false" outlineLevel="0" collapsed="false">
      <c r="A390" s="4" t="n">
        <v>302</v>
      </c>
      <c r="B390" s="4" t="n">
        <v>79</v>
      </c>
      <c r="C390" s="18" t="n">
        <v>0</v>
      </c>
      <c r="D390" s="21" t="n">
        <v>0</v>
      </c>
      <c r="E390" s="21" t="n">
        <v>0.01</v>
      </c>
      <c r="F390" s="21" t="n">
        <v>0.01</v>
      </c>
      <c r="G390" s="21" t="n">
        <v>-0.01</v>
      </c>
      <c r="H390" s="21" t="n">
        <v>0.01</v>
      </c>
      <c r="I390" s="21" t="n">
        <v>-0.09</v>
      </c>
      <c r="J390" s="21" t="n">
        <v>0.09</v>
      </c>
      <c r="K390" s="21" t="n">
        <v>0</v>
      </c>
      <c r="L390" s="21" t="n">
        <v>0.01</v>
      </c>
      <c r="M390" s="21" t="n">
        <v>0.01</v>
      </c>
      <c r="N390" s="21" t="n">
        <v>-0.01</v>
      </c>
      <c r="O390" s="21" t="n">
        <v>0.01</v>
      </c>
      <c r="P390" s="21" t="n">
        <v>-0.08</v>
      </c>
      <c r="Q390" s="21" t="n">
        <v>0.08</v>
      </c>
      <c r="R390" s="18" t="n">
        <f aca="false">ABS(D390)+MAX(ABS(G390),ABS(H390))+MAX(ABS(I390),ABS(J390))</f>
        <v>0.1</v>
      </c>
      <c r="S390" s="18" t="n">
        <f aca="false">ABS(K390)+MAX(ABS(N390),ABS(O390))+MAX(ABS(P390),ABS(Q390))</f>
        <v>0.09</v>
      </c>
      <c r="T390" s="18" t="n">
        <f aca="false">MAX(ABS(E390),ABS(F390))</f>
        <v>0.01</v>
      </c>
      <c r="U390" s="18" t="n">
        <f aca="false">MAX(ABS(L390),ABS(M390))</f>
        <v>0.01</v>
      </c>
    </row>
    <row r="391" customFormat="false" ht="15" hidden="false" customHeight="false" outlineLevel="0" collapsed="false">
      <c r="A391" s="4" t="n">
        <v>302</v>
      </c>
      <c r="B391" s="4" t="n">
        <v>79</v>
      </c>
      <c r="C391" s="18" t="n">
        <v>0.25</v>
      </c>
      <c r="D391" s="21" t="n">
        <v>0</v>
      </c>
      <c r="E391" s="21" t="n">
        <v>0.01</v>
      </c>
      <c r="F391" s="21" t="n">
        <v>0.01</v>
      </c>
      <c r="G391" s="21" t="n">
        <v>-0.01</v>
      </c>
      <c r="H391" s="21" t="n">
        <v>0.01</v>
      </c>
      <c r="I391" s="21" t="n">
        <v>-0.1</v>
      </c>
      <c r="J391" s="21" t="n">
        <v>0.1</v>
      </c>
      <c r="K391" s="21" t="n">
        <v>0</v>
      </c>
      <c r="L391" s="21" t="n">
        <v>0.01</v>
      </c>
      <c r="M391" s="21" t="n">
        <v>0.01</v>
      </c>
      <c r="N391" s="21" t="n">
        <v>-0.01</v>
      </c>
      <c r="O391" s="21" t="n">
        <v>0.01</v>
      </c>
      <c r="P391" s="21" t="n">
        <v>-0.09</v>
      </c>
      <c r="Q391" s="21" t="n">
        <v>0.09</v>
      </c>
      <c r="R391" s="18" t="n">
        <f aca="false">ABS(D391)+MAX(ABS(G391),ABS(H391))+MAX(ABS(I391),ABS(J391))</f>
        <v>0.11</v>
      </c>
      <c r="S391" s="18" t="n">
        <f aca="false">ABS(K391)+MAX(ABS(N391),ABS(O391))+MAX(ABS(P391),ABS(Q391))</f>
        <v>0.1</v>
      </c>
      <c r="T391" s="18" t="n">
        <f aca="false">MAX(ABS(E391),ABS(F391))</f>
        <v>0.01</v>
      </c>
      <c r="U391" s="18" t="n">
        <f aca="false">MAX(ABS(L391),ABS(M391))</f>
        <v>0.01</v>
      </c>
    </row>
    <row r="392" customFormat="false" ht="15" hidden="false" customHeight="false" outlineLevel="0" collapsed="false">
      <c r="A392" s="4" t="n">
        <v>302</v>
      </c>
      <c r="B392" s="4" t="n">
        <v>79</v>
      </c>
      <c r="C392" s="18" t="n">
        <v>0.5</v>
      </c>
      <c r="D392" s="21" t="n">
        <v>0</v>
      </c>
      <c r="E392" s="21" t="n">
        <v>0.01</v>
      </c>
      <c r="F392" s="21" t="n">
        <v>0.01</v>
      </c>
      <c r="G392" s="21" t="n">
        <v>-0.01</v>
      </c>
      <c r="H392" s="21" t="n">
        <v>0.01</v>
      </c>
      <c r="I392" s="21" t="n">
        <v>-0.1</v>
      </c>
      <c r="J392" s="21" t="n">
        <v>0.1</v>
      </c>
      <c r="K392" s="21" t="n">
        <v>0</v>
      </c>
      <c r="L392" s="21" t="n">
        <v>0.01</v>
      </c>
      <c r="M392" s="21" t="n">
        <v>0.01</v>
      </c>
      <c r="N392" s="21" t="n">
        <v>0</v>
      </c>
      <c r="O392" s="21" t="n">
        <v>0</v>
      </c>
      <c r="P392" s="21" t="n">
        <v>-0.09</v>
      </c>
      <c r="Q392" s="21" t="n">
        <v>0.09</v>
      </c>
      <c r="R392" s="18" t="n">
        <f aca="false">ABS(D392)+MAX(ABS(G392),ABS(H392))+MAX(ABS(I392),ABS(J392))</f>
        <v>0.11</v>
      </c>
      <c r="S392" s="18" t="n">
        <f aca="false">ABS(K392)+MAX(ABS(N392),ABS(O392))+MAX(ABS(P392),ABS(Q392))</f>
        <v>0.09</v>
      </c>
      <c r="T392" s="18" t="n">
        <f aca="false">MAX(ABS(E392),ABS(F392))</f>
        <v>0.01</v>
      </c>
      <c r="U392" s="18" t="n">
        <f aca="false">MAX(ABS(L392),ABS(M392))</f>
        <v>0.01</v>
      </c>
    </row>
    <row r="393" customFormat="false" ht="15" hidden="false" customHeight="false" outlineLevel="0" collapsed="false">
      <c r="A393" s="4" t="n">
        <v>302</v>
      </c>
      <c r="B393" s="4" t="n">
        <v>79</v>
      </c>
      <c r="C393" s="18" t="n">
        <v>0.75</v>
      </c>
      <c r="D393" s="21" t="n">
        <v>0</v>
      </c>
      <c r="E393" s="21" t="n">
        <v>0.01</v>
      </c>
      <c r="F393" s="21" t="n">
        <v>0.01</v>
      </c>
      <c r="G393" s="21" t="n">
        <v>0</v>
      </c>
      <c r="H393" s="21" t="n">
        <v>0</v>
      </c>
      <c r="I393" s="21" t="n">
        <v>-0.1</v>
      </c>
      <c r="J393" s="21" t="n">
        <v>0.1</v>
      </c>
      <c r="K393" s="21" t="n">
        <v>0</v>
      </c>
      <c r="L393" s="21" t="n">
        <v>0.01</v>
      </c>
      <c r="M393" s="21" t="n">
        <v>0.01</v>
      </c>
      <c r="N393" s="21" t="n">
        <v>0</v>
      </c>
      <c r="O393" s="21" t="n">
        <v>0</v>
      </c>
      <c r="P393" s="21" t="n">
        <v>-0.09</v>
      </c>
      <c r="Q393" s="21" t="n">
        <v>0.09</v>
      </c>
      <c r="R393" s="18" t="n">
        <f aca="false">ABS(D393)+MAX(ABS(G393),ABS(H393))+MAX(ABS(I393),ABS(J393))</f>
        <v>0.1</v>
      </c>
      <c r="S393" s="18" t="n">
        <f aca="false">ABS(K393)+MAX(ABS(N393),ABS(O393))+MAX(ABS(P393),ABS(Q393))</f>
        <v>0.09</v>
      </c>
      <c r="T393" s="18" t="n">
        <f aca="false">MAX(ABS(E393),ABS(F393))</f>
        <v>0.01</v>
      </c>
      <c r="U393" s="18" t="n">
        <f aca="false">MAX(ABS(L393),ABS(M393))</f>
        <v>0.01</v>
      </c>
    </row>
    <row r="394" customFormat="false" ht="15" hidden="false" customHeight="false" outlineLevel="0" collapsed="false">
      <c r="A394" s="4" t="n">
        <v>302</v>
      </c>
      <c r="B394" s="4" t="n">
        <v>79</v>
      </c>
      <c r="C394" s="18" t="n">
        <v>1</v>
      </c>
      <c r="D394" s="21" t="n">
        <v>0</v>
      </c>
      <c r="E394" s="21" t="n">
        <v>0.01</v>
      </c>
      <c r="F394" s="21" t="n">
        <v>0.01</v>
      </c>
      <c r="G394" s="21" t="n">
        <v>0</v>
      </c>
      <c r="H394" s="21" t="n">
        <v>0</v>
      </c>
      <c r="I394" s="21" t="n">
        <v>-0.11</v>
      </c>
      <c r="J394" s="21" t="n">
        <v>0.11</v>
      </c>
      <c r="K394" s="21" t="n">
        <v>0</v>
      </c>
      <c r="L394" s="21" t="n">
        <v>0.01</v>
      </c>
      <c r="M394" s="21" t="n">
        <v>0.01</v>
      </c>
      <c r="N394" s="21" t="n">
        <v>0</v>
      </c>
      <c r="O394" s="21" t="n">
        <v>0</v>
      </c>
      <c r="P394" s="21" t="n">
        <v>-0.1</v>
      </c>
      <c r="Q394" s="21" t="n">
        <v>0.1</v>
      </c>
      <c r="R394" s="18" t="n">
        <f aca="false">ABS(D394)+MAX(ABS(G394),ABS(H394))+MAX(ABS(I394),ABS(J394))</f>
        <v>0.11</v>
      </c>
      <c r="S394" s="18" t="n">
        <f aca="false">ABS(K394)+MAX(ABS(N394),ABS(O394))+MAX(ABS(P394),ABS(Q394))</f>
        <v>0.1</v>
      </c>
      <c r="T394" s="18" t="n">
        <f aca="false">MAX(ABS(E394),ABS(F394))</f>
        <v>0.01</v>
      </c>
      <c r="U394" s="18" t="n">
        <f aca="false">MAX(ABS(L394),ABS(M394))</f>
        <v>0.01</v>
      </c>
    </row>
    <row r="395" customFormat="false" ht="15" hidden="false" customHeight="false" outlineLevel="0" collapsed="false">
      <c r="A395" s="4" t="n">
        <v>303</v>
      </c>
      <c r="B395" s="4" t="n">
        <v>80</v>
      </c>
      <c r="C395" s="18" t="n">
        <v>0</v>
      </c>
      <c r="D395" s="21" t="n">
        <v>0</v>
      </c>
      <c r="E395" s="21" t="n">
        <v>0.02</v>
      </c>
      <c r="F395" s="21" t="n">
        <v>0</v>
      </c>
      <c r="G395" s="21" t="n">
        <v>0.02</v>
      </c>
      <c r="H395" s="21" t="n">
        <v>-0.02</v>
      </c>
      <c r="I395" s="21" t="n">
        <v>0.01</v>
      </c>
      <c r="J395" s="21" t="n">
        <v>-0.01</v>
      </c>
      <c r="K395" s="21" t="n">
        <v>0</v>
      </c>
      <c r="L395" s="21" t="n">
        <v>0.02</v>
      </c>
      <c r="M395" s="21" t="n">
        <v>0</v>
      </c>
      <c r="N395" s="21" t="n">
        <v>0.02</v>
      </c>
      <c r="O395" s="21" t="n">
        <v>-0.02</v>
      </c>
      <c r="P395" s="21" t="n">
        <v>0.01</v>
      </c>
      <c r="Q395" s="21" t="n">
        <v>-0.01</v>
      </c>
      <c r="R395" s="18" t="n">
        <f aca="false">ABS(D395)+MAX(ABS(G395),ABS(H395))+MAX(ABS(I395),ABS(J395))</f>
        <v>0.03</v>
      </c>
      <c r="S395" s="18" t="n">
        <f aca="false">ABS(K395)+MAX(ABS(N395),ABS(O395))+MAX(ABS(P395),ABS(Q395))</f>
        <v>0.03</v>
      </c>
      <c r="T395" s="18" t="n">
        <f aca="false">MAX(ABS(E395),ABS(F395))</f>
        <v>0.02</v>
      </c>
      <c r="U395" s="18" t="n">
        <f aca="false">MAX(ABS(L395),ABS(M395))</f>
        <v>0.02</v>
      </c>
    </row>
    <row r="396" customFormat="false" ht="15" hidden="false" customHeight="false" outlineLevel="0" collapsed="false">
      <c r="A396" s="4" t="n">
        <v>303</v>
      </c>
      <c r="B396" s="4" t="n">
        <v>80</v>
      </c>
      <c r="C396" s="18" t="n">
        <v>0.25</v>
      </c>
      <c r="D396" s="21" t="n">
        <v>0</v>
      </c>
      <c r="E396" s="21" t="n">
        <v>0.02</v>
      </c>
      <c r="F396" s="21" t="n">
        <v>0</v>
      </c>
      <c r="G396" s="21" t="n">
        <v>0.01</v>
      </c>
      <c r="H396" s="21" t="n">
        <v>-0.01</v>
      </c>
      <c r="I396" s="21" t="n">
        <v>0.02</v>
      </c>
      <c r="J396" s="21" t="n">
        <v>-0.02</v>
      </c>
      <c r="K396" s="21" t="n">
        <v>0</v>
      </c>
      <c r="L396" s="21" t="n">
        <v>0.02</v>
      </c>
      <c r="M396" s="21" t="n">
        <v>0</v>
      </c>
      <c r="N396" s="21" t="n">
        <v>0.01</v>
      </c>
      <c r="O396" s="21" t="n">
        <v>-0.01</v>
      </c>
      <c r="P396" s="21" t="n">
        <v>0.02</v>
      </c>
      <c r="Q396" s="21" t="n">
        <v>-0.02</v>
      </c>
      <c r="R396" s="18" t="n">
        <f aca="false">ABS(D396)+MAX(ABS(G396),ABS(H396))+MAX(ABS(I396),ABS(J396))</f>
        <v>0.03</v>
      </c>
      <c r="S396" s="18" t="n">
        <f aca="false">ABS(K396)+MAX(ABS(N396),ABS(O396))+MAX(ABS(P396),ABS(Q396))</f>
        <v>0.03</v>
      </c>
      <c r="T396" s="18" t="n">
        <f aca="false">MAX(ABS(E396),ABS(F396))</f>
        <v>0.02</v>
      </c>
      <c r="U396" s="18" t="n">
        <f aca="false">MAX(ABS(L396),ABS(M396))</f>
        <v>0.02</v>
      </c>
    </row>
    <row r="397" customFormat="false" ht="15" hidden="false" customHeight="false" outlineLevel="0" collapsed="false">
      <c r="A397" s="4" t="n">
        <v>303</v>
      </c>
      <c r="B397" s="4" t="n">
        <v>80</v>
      </c>
      <c r="C397" s="18" t="n">
        <v>0.5</v>
      </c>
      <c r="D397" s="21" t="n">
        <v>0</v>
      </c>
      <c r="E397" s="21" t="n">
        <v>0.02</v>
      </c>
      <c r="F397" s="21" t="n">
        <v>0</v>
      </c>
      <c r="G397" s="21" t="n">
        <v>-0.01</v>
      </c>
      <c r="H397" s="21" t="n">
        <v>0.01</v>
      </c>
      <c r="I397" s="21" t="n">
        <v>0.03</v>
      </c>
      <c r="J397" s="21" t="n">
        <v>-0.03</v>
      </c>
      <c r="K397" s="21" t="n">
        <v>0</v>
      </c>
      <c r="L397" s="21" t="n">
        <v>0.02</v>
      </c>
      <c r="M397" s="21" t="n">
        <v>0</v>
      </c>
      <c r="N397" s="21" t="n">
        <v>-0.01</v>
      </c>
      <c r="O397" s="21" t="n">
        <v>0.01</v>
      </c>
      <c r="P397" s="21" t="n">
        <v>0.03</v>
      </c>
      <c r="Q397" s="21" t="n">
        <v>-0.03</v>
      </c>
      <c r="R397" s="18" t="n">
        <f aca="false">ABS(D397)+MAX(ABS(G397),ABS(H397))+MAX(ABS(I397),ABS(J397))</f>
        <v>0.04</v>
      </c>
      <c r="S397" s="18" t="n">
        <f aca="false">ABS(K397)+MAX(ABS(N397),ABS(O397))+MAX(ABS(P397),ABS(Q397))</f>
        <v>0.04</v>
      </c>
      <c r="T397" s="18" t="n">
        <f aca="false">MAX(ABS(E397),ABS(F397))</f>
        <v>0.02</v>
      </c>
      <c r="U397" s="18" t="n">
        <f aca="false">MAX(ABS(L397),ABS(M397))</f>
        <v>0.02</v>
      </c>
    </row>
    <row r="398" customFormat="false" ht="15" hidden="false" customHeight="false" outlineLevel="0" collapsed="false">
      <c r="A398" s="4" t="n">
        <v>303</v>
      </c>
      <c r="B398" s="4" t="n">
        <v>80</v>
      </c>
      <c r="C398" s="18" t="n">
        <v>0.75</v>
      </c>
      <c r="D398" s="21" t="n">
        <v>0</v>
      </c>
      <c r="E398" s="21" t="n">
        <v>0.02</v>
      </c>
      <c r="F398" s="21" t="n">
        <v>0</v>
      </c>
      <c r="G398" s="21" t="n">
        <v>-0.02</v>
      </c>
      <c r="H398" s="21" t="n">
        <v>0.02</v>
      </c>
      <c r="I398" s="21" t="n">
        <v>0.03</v>
      </c>
      <c r="J398" s="21" t="n">
        <v>-0.03</v>
      </c>
      <c r="K398" s="21" t="n">
        <v>0</v>
      </c>
      <c r="L398" s="21" t="n">
        <v>0.02</v>
      </c>
      <c r="M398" s="21" t="n">
        <v>0</v>
      </c>
      <c r="N398" s="21" t="n">
        <v>-0.02</v>
      </c>
      <c r="O398" s="21" t="n">
        <v>0.02</v>
      </c>
      <c r="P398" s="21" t="n">
        <v>0.03</v>
      </c>
      <c r="Q398" s="21" t="n">
        <v>-0.03</v>
      </c>
      <c r="R398" s="18" t="n">
        <f aca="false">ABS(D398)+MAX(ABS(G398),ABS(H398))+MAX(ABS(I398),ABS(J398))</f>
        <v>0.05</v>
      </c>
      <c r="S398" s="18" t="n">
        <f aca="false">ABS(K398)+MAX(ABS(N398),ABS(O398))+MAX(ABS(P398),ABS(Q398))</f>
        <v>0.05</v>
      </c>
      <c r="T398" s="18" t="n">
        <f aca="false">MAX(ABS(E398),ABS(F398))</f>
        <v>0.02</v>
      </c>
      <c r="U398" s="18" t="n">
        <f aca="false">MAX(ABS(L398),ABS(M398))</f>
        <v>0.02</v>
      </c>
    </row>
    <row r="399" customFormat="false" ht="15" hidden="false" customHeight="false" outlineLevel="0" collapsed="false">
      <c r="A399" s="4" t="n">
        <v>303</v>
      </c>
      <c r="B399" s="4" t="n">
        <v>80</v>
      </c>
      <c r="C399" s="18" t="n">
        <v>1</v>
      </c>
      <c r="D399" s="21" t="n">
        <v>0</v>
      </c>
      <c r="E399" s="21" t="n">
        <v>0.02</v>
      </c>
      <c r="F399" s="21" t="n">
        <v>0</v>
      </c>
      <c r="G399" s="21" t="n">
        <v>-0.03</v>
      </c>
      <c r="H399" s="21" t="n">
        <v>0.03</v>
      </c>
      <c r="I399" s="21" t="n">
        <v>0.04</v>
      </c>
      <c r="J399" s="21" t="n">
        <v>-0.04</v>
      </c>
      <c r="K399" s="21" t="n">
        <v>0</v>
      </c>
      <c r="L399" s="21" t="n">
        <v>0.02</v>
      </c>
      <c r="M399" s="21" t="n">
        <v>0</v>
      </c>
      <c r="N399" s="21" t="n">
        <v>-0.03</v>
      </c>
      <c r="O399" s="21" t="n">
        <v>0.03</v>
      </c>
      <c r="P399" s="21" t="n">
        <v>0.04</v>
      </c>
      <c r="Q399" s="21" t="n">
        <v>-0.04</v>
      </c>
      <c r="R399" s="18" t="n">
        <f aca="false">ABS(D399)+MAX(ABS(G399),ABS(H399))+MAX(ABS(I399),ABS(J399))</f>
        <v>0.07</v>
      </c>
      <c r="S399" s="18" t="n">
        <f aca="false">ABS(K399)+MAX(ABS(N399),ABS(O399))+MAX(ABS(P399),ABS(Q399))</f>
        <v>0.07</v>
      </c>
      <c r="T399" s="18" t="n">
        <f aca="false">MAX(ABS(E399),ABS(F399))</f>
        <v>0.02</v>
      </c>
      <c r="U399" s="18" t="n">
        <f aca="false">MAX(ABS(L399),ABS(M399))</f>
        <v>0.02</v>
      </c>
    </row>
    <row r="400" customFormat="false" ht="15" hidden="false" customHeight="false" outlineLevel="0" collapsed="false">
      <c r="A400" s="4" t="n">
        <v>304</v>
      </c>
      <c r="B400" s="4" t="n">
        <v>81</v>
      </c>
      <c r="C400" s="18" t="n">
        <v>0</v>
      </c>
      <c r="D400" s="21" t="n">
        <v>0</v>
      </c>
      <c r="E400" s="21" t="n">
        <v>0.01</v>
      </c>
      <c r="F400" s="21" t="n">
        <v>0</v>
      </c>
      <c r="G400" s="21" t="n">
        <v>-0.02</v>
      </c>
      <c r="H400" s="21" t="n">
        <v>0.02</v>
      </c>
      <c r="I400" s="21" t="n">
        <v>0.04</v>
      </c>
      <c r="J400" s="21" t="n">
        <v>-0.04</v>
      </c>
      <c r="K400" s="21" t="n">
        <v>0</v>
      </c>
      <c r="L400" s="21" t="n">
        <v>0.01</v>
      </c>
      <c r="M400" s="21" t="n">
        <v>0</v>
      </c>
      <c r="N400" s="21" t="n">
        <v>-0.02</v>
      </c>
      <c r="O400" s="21" t="n">
        <v>0.02</v>
      </c>
      <c r="P400" s="21" t="n">
        <v>0.04</v>
      </c>
      <c r="Q400" s="21" t="n">
        <v>-0.04</v>
      </c>
      <c r="R400" s="18" t="n">
        <f aca="false">ABS(D400)+MAX(ABS(G400),ABS(H400))+MAX(ABS(I400),ABS(J400))</f>
        <v>0.06</v>
      </c>
      <c r="S400" s="18" t="n">
        <f aca="false">ABS(K400)+MAX(ABS(N400),ABS(O400))+MAX(ABS(P400),ABS(Q400))</f>
        <v>0.06</v>
      </c>
      <c r="T400" s="18" t="n">
        <f aca="false">MAX(ABS(E400),ABS(F400))</f>
        <v>0.01</v>
      </c>
      <c r="U400" s="18" t="n">
        <f aca="false">MAX(ABS(L400),ABS(M400))</f>
        <v>0.01</v>
      </c>
    </row>
    <row r="401" customFormat="false" ht="15" hidden="false" customHeight="false" outlineLevel="0" collapsed="false">
      <c r="A401" s="4" t="n">
        <v>304</v>
      </c>
      <c r="B401" s="4" t="n">
        <v>81</v>
      </c>
      <c r="C401" s="18" t="n">
        <v>0.25</v>
      </c>
      <c r="D401" s="21" t="n">
        <v>0</v>
      </c>
      <c r="E401" s="21" t="n">
        <v>0.01</v>
      </c>
      <c r="F401" s="21" t="n">
        <v>0</v>
      </c>
      <c r="G401" s="21" t="n">
        <v>-0.03</v>
      </c>
      <c r="H401" s="21" t="n">
        <v>0.03</v>
      </c>
      <c r="I401" s="21" t="n">
        <v>0.04</v>
      </c>
      <c r="J401" s="21" t="n">
        <v>-0.04</v>
      </c>
      <c r="K401" s="21" t="n">
        <v>0</v>
      </c>
      <c r="L401" s="21" t="n">
        <v>0.01</v>
      </c>
      <c r="M401" s="21" t="n">
        <v>0</v>
      </c>
      <c r="N401" s="21" t="n">
        <v>-0.03</v>
      </c>
      <c r="O401" s="21" t="n">
        <v>0.03</v>
      </c>
      <c r="P401" s="21" t="n">
        <v>0.04</v>
      </c>
      <c r="Q401" s="21" t="n">
        <v>-0.04</v>
      </c>
      <c r="R401" s="18" t="n">
        <f aca="false">ABS(D401)+MAX(ABS(G401),ABS(H401))+MAX(ABS(I401),ABS(J401))</f>
        <v>0.07</v>
      </c>
      <c r="S401" s="18" t="n">
        <f aca="false">ABS(K401)+MAX(ABS(N401),ABS(O401))+MAX(ABS(P401),ABS(Q401))</f>
        <v>0.07</v>
      </c>
      <c r="T401" s="18" t="n">
        <f aca="false">MAX(ABS(E401),ABS(F401))</f>
        <v>0.01</v>
      </c>
      <c r="U401" s="18" t="n">
        <f aca="false">MAX(ABS(L401),ABS(M401))</f>
        <v>0.01</v>
      </c>
    </row>
    <row r="402" customFormat="false" ht="15" hidden="false" customHeight="false" outlineLevel="0" collapsed="false">
      <c r="A402" s="4" t="n">
        <v>304</v>
      </c>
      <c r="B402" s="4" t="n">
        <v>81</v>
      </c>
      <c r="C402" s="18" t="n">
        <v>0.5</v>
      </c>
      <c r="D402" s="21" t="n">
        <v>0</v>
      </c>
      <c r="E402" s="21" t="n">
        <v>0.01</v>
      </c>
      <c r="F402" s="21" t="n">
        <v>0</v>
      </c>
      <c r="G402" s="21" t="n">
        <v>-0.03</v>
      </c>
      <c r="H402" s="21" t="n">
        <v>0.03</v>
      </c>
      <c r="I402" s="21" t="n">
        <v>0.05</v>
      </c>
      <c r="J402" s="21" t="n">
        <v>-0.05</v>
      </c>
      <c r="K402" s="21" t="n">
        <v>0</v>
      </c>
      <c r="L402" s="21" t="n">
        <v>0.01</v>
      </c>
      <c r="M402" s="21" t="n">
        <v>0</v>
      </c>
      <c r="N402" s="21" t="n">
        <v>-0.03</v>
      </c>
      <c r="O402" s="21" t="n">
        <v>0.03</v>
      </c>
      <c r="P402" s="21" t="n">
        <v>0.05</v>
      </c>
      <c r="Q402" s="21" t="n">
        <v>-0.05</v>
      </c>
      <c r="R402" s="18" t="n">
        <f aca="false">ABS(D402)+MAX(ABS(G402),ABS(H402))+MAX(ABS(I402),ABS(J402))</f>
        <v>0.08</v>
      </c>
      <c r="S402" s="18" t="n">
        <f aca="false">ABS(K402)+MAX(ABS(N402),ABS(O402))+MAX(ABS(P402),ABS(Q402))</f>
        <v>0.08</v>
      </c>
      <c r="T402" s="18" t="n">
        <f aca="false">MAX(ABS(E402),ABS(F402))</f>
        <v>0.01</v>
      </c>
      <c r="U402" s="18" t="n">
        <f aca="false">MAX(ABS(L402),ABS(M402))</f>
        <v>0.01</v>
      </c>
    </row>
    <row r="403" customFormat="false" ht="15" hidden="false" customHeight="false" outlineLevel="0" collapsed="false">
      <c r="A403" s="4" t="n">
        <v>304</v>
      </c>
      <c r="B403" s="4" t="n">
        <v>81</v>
      </c>
      <c r="C403" s="18" t="n">
        <v>0.75</v>
      </c>
      <c r="D403" s="21" t="n">
        <v>0</v>
      </c>
      <c r="E403" s="21" t="n">
        <v>0.01</v>
      </c>
      <c r="F403" s="21" t="n">
        <v>0</v>
      </c>
      <c r="G403" s="21" t="n">
        <v>-0.04</v>
      </c>
      <c r="H403" s="21" t="n">
        <v>0.04</v>
      </c>
      <c r="I403" s="21" t="n">
        <v>0.05</v>
      </c>
      <c r="J403" s="21" t="n">
        <v>-0.05</v>
      </c>
      <c r="K403" s="21" t="n">
        <v>0</v>
      </c>
      <c r="L403" s="21" t="n">
        <v>0.01</v>
      </c>
      <c r="M403" s="21" t="n">
        <v>0</v>
      </c>
      <c r="N403" s="21" t="n">
        <v>-0.04</v>
      </c>
      <c r="O403" s="21" t="n">
        <v>0.04</v>
      </c>
      <c r="P403" s="21" t="n">
        <v>0.05</v>
      </c>
      <c r="Q403" s="21" t="n">
        <v>-0.05</v>
      </c>
      <c r="R403" s="18" t="n">
        <f aca="false">ABS(D403)+MAX(ABS(G403),ABS(H403))+MAX(ABS(I403),ABS(J403))</f>
        <v>0.09</v>
      </c>
      <c r="S403" s="18" t="n">
        <f aca="false">ABS(K403)+MAX(ABS(N403),ABS(O403))+MAX(ABS(P403),ABS(Q403))</f>
        <v>0.09</v>
      </c>
      <c r="T403" s="18" t="n">
        <f aca="false">MAX(ABS(E403),ABS(F403))</f>
        <v>0.01</v>
      </c>
      <c r="U403" s="18" t="n">
        <f aca="false">MAX(ABS(L403),ABS(M403))</f>
        <v>0.01</v>
      </c>
    </row>
    <row r="404" customFormat="false" ht="15" hidden="false" customHeight="false" outlineLevel="0" collapsed="false">
      <c r="A404" s="4" t="n">
        <v>304</v>
      </c>
      <c r="B404" s="4" t="n">
        <v>81</v>
      </c>
      <c r="C404" s="18" t="n">
        <v>1</v>
      </c>
      <c r="D404" s="21" t="n">
        <v>0</v>
      </c>
      <c r="E404" s="21" t="n">
        <v>0.01</v>
      </c>
      <c r="F404" s="21" t="n">
        <v>0</v>
      </c>
      <c r="G404" s="21" t="n">
        <v>-0.04</v>
      </c>
      <c r="H404" s="21" t="n">
        <v>0.04</v>
      </c>
      <c r="I404" s="21" t="n">
        <v>0.05</v>
      </c>
      <c r="J404" s="21" t="n">
        <v>-0.05</v>
      </c>
      <c r="K404" s="21" t="n">
        <v>0</v>
      </c>
      <c r="L404" s="21" t="n">
        <v>0.01</v>
      </c>
      <c r="M404" s="21" t="n">
        <v>0</v>
      </c>
      <c r="N404" s="21" t="n">
        <v>-0.04</v>
      </c>
      <c r="O404" s="21" t="n">
        <v>0.04</v>
      </c>
      <c r="P404" s="21" t="n">
        <v>0.05</v>
      </c>
      <c r="Q404" s="21" t="n">
        <v>-0.05</v>
      </c>
      <c r="R404" s="18" t="n">
        <f aca="false">ABS(D404)+MAX(ABS(G404),ABS(H404))+MAX(ABS(I404),ABS(J404))</f>
        <v>0.09</v>
      </c>
      <c r="S404" s="18" t="n">
        <f aca="false">ABS(K404)+MAX(ABS(N404),ABS(O404))+MAX(ABS(P404),ABS(Q404))</f>
        <v>0.09</v>
      </c>
      <c r="T404" s="18" t="n">
        <f aca="false">MAX(ABS(E404),ABS(F404))</f>
        <v>0.01</v>
      </c>
      <c r="U404" s="18" t="n">
        <f aca="false">MAX(ABS(L404),ABS(M404))</f>
        <v>0.01</v>
      </c>
    </row>
    <row r="405" customFormat="false" ht="15" hidden="false" customHeight="false" outlineLevel="0" collapsed="false">
      <c r="A405" s="4" t="n">
        <v>305</v>
      </c>
      <c r="B405" s="4" t="n">
        <v>82</v>
      </c>
      <c r="C405" s="18" t="n">
        <v>0</v>
      </c>
      <c r="D405" s="21" t="n">
        <v>0</v>
      </c>
      <c r="E405" s="21" t="n">
        <v>0</v>
      </c>
      <c r="F405" s="21" t="n">
        <v>0</v>
      </c>
      <c r="G405" s="21" t="n">
        <v>-0.03</v>
      </c>
      <c r="H405" s="21" t="n">
        <v>0.03</v>
      </c>
      <c r="I405" s="21" t="n">
        <v>0.05</v>
      </c>
      <c r="J405" s="21" t="n">
        <v>-0.05</v>
      </c>
      <c r="K405" s="21" t="n">
        <v>0</v>
      </c>
      <c r="L405" s="21" t="n">
        <v>0</v>
      </c>
      <c r="M405" s="21" t="n">
        <v>0</v>
      </c>
      <c r="N405" s="21" t="n">
        <v>-0.03</v>
      </c>
      <c r="O405" s="21" t="n">
        <v>0.03</v>
      </c>
      <c r="P405" s="21" t="n">
        <v>0.05</v>
      </c>
      <c r="Q405" s="21" t="n">
        <v>-0.05</v>
      </c>
      <c r="R405" s="18" t="n">
        <f aca="false">ABS(D405)+MAX(ABS(G405),ABS(H405))+MAX(ABS(I405),ABS(J405))</f>
        <v>0.08</v>
      </c>
      <c r="S405" s="18" t="n">
        <f aca="false">ABS(K405)+MAX(ABS(N405),ABS(O405))+MAX(ABS(P405),ABS(Q405))</f>
        <v>0.08</v>
      </c>
      <c r="T405" s="18" t="n">
        <f aca="false">MAX(ABS(E405),ABS(F405))</f>
        <v>0</v>
      </c>
      <c r="U405" s="18" t="n">
        <f aca="false">MAX(ABS(L405),ABS(M405))</f>
        <v>0</v>
      </c>
    </row>
    <row r="406" customFormat="false" ht="15" hidden="false" customHeight="false" outlineLevel="0" collapsed="false">
      <c r="A406" s="4" t="n">
        <v>305</v>
      </c>
      <c r="B406" s="4" t="n">
        <v>82</v>
      </c>
      <c r="C406" s="18" t="n">
        <v>0.25</v>
      </c>
      <c r="D406" s="21" t="n">
        <v>0</v>
      </c>
      <c r="E406" s="21" t="n">
        <v>0</v>
      </c>
      <c r="F406" s="21" t="n">
        <v>0</v>
      </c>
      <c r="G406" s="21" t="n">
        <v>-0.03</v>
      </c>
      <c r="H406" s="21" t="n">
        <v>0.03</v>
      </c>
      <c r="I406" s="21" t="n">
        <v>0.05</v>
      </c>
      <c r="J406" s="21" t="n">
        <v>-0.05</v>
      </c>
      <c r="K406" s="21" t="n">
        <v>0</v>
      </c>
      <c r="L406" s="21" t="n">
        <v>0</v>
      </c>
      <c r="M406" s="21" t="n">
        <v>0</v>
      </c>
      <c r="N406" s="21" t="n">
        <v>-0.03</v>
      </c>
      <c r="O406" s="21" t="n">
        <v>0.03</v>
      </c>
      <c r="P406" s="21" t="n">
        <v>0.05</v>
      </c>
      <c r="Q406" s="21" t="n">
        <v>-0.05</v>
      </c>
      <c r="R406" s="18" t="n">
        <f aca="false">ABS(D406)+MAX(ABS(G406),ABS(H406))+MAX(ABS(I406),ABS(J406))</f>
        <v>0.08</v>
      </c>
      <c r="S406" s="18" t="n">
        <f aca="false">ABS(K406)+MAX(ABS(N406),ABS(O406))+MAX(ABS(P406),ABS(Q406))</f>
        <v>0.08</v>
      </c>
      <c r="T406" s="18" t="n">
        <f aca="false">MAX(ABS(E406),ABS(F406))</f>
        <v>0</v>
      </c>
      <c r="U406" s="18" t="n">
        <f aca="false">MAX(ABS(L406),ABS(M406))</f>
        <v>0</v>
      </c>
    </row>
    <row r="407" customFormat="false" ht="15" hidden="false" customHeight="false" outlineLevel="0" collapsed="false">
      <c r="A407" s="4" t="n">
        <v>305</v>
      </c>
      <c r="B407" s="4" t="n">
        <v>82</v>
      </c>
      <c r="C407" s="18" t="n">
        <v>0.5</v>
      </c>
      <c r="D407" s="21" t="n">
        <v>0</v>
      </c>
      <c r="E407" s="21" t="n">
        <v>0</v>
      </c>
      <c r="F407" s="21" t="n">
        <v>0</v>
      </c>
      <c r="G407" s="21" t="n">
        <v>-0.03</v>
      </c>
      <c r="H407" s="21" t="n">
        <v>0.03</v>
      </c>
      <c r="I407" s="21" t="n">
        <v>0.05</v>
      </c>
      <c r="J407" s="21" t="n">
        <v>-0.05</v>
      </c>
      <c r="K407" s="21" t="n">
        <v>0</v>
      </c>
      <c r="L407" s="21" t="n">
        <v>0</v>
      </c>
      <c r="M407" s="21" t="n">
        <v>0</v>
      </c>
      <c r="N407" s="21" t="n">
        <v>-0.03</v>
      </c>
      <c r="O407" s="21" t="n">
        <v>0.03</v>
      </c>
      <c r="P407" s="21" t="n">
        <v>0.05</v>
      </c>
      <c r="Q407" s="21" t="n">
        <v>-0.05</v>
      </c>
      <c r="R407" s="18" t="n">
        <f aca="false">ABS(D407)+MAX(ABS(G407),ABS(H407))+MAX(ABS(I407),ABS(J407))</f>
        <v>0.08</v>
      </c>
      <c r="S407" s="18" t="n">
        <f aca="false">ABS(K407)+MAX(ABS(N407),ABS(O407))+MAX(ABS(P407),ABS(Q407))</f>
        <v>0.08</v>
      </c>
      <c r="T407" s="18" t="n">
        <f aca="false">MAX(ABS(E407),ABS(F407))</f>
        <v>0</v>
      </c>
      <c r="U407" s="18" t="n">
        <f aca="false">MAX(ABS(L407),ABS(M407))</f>
        <v>0</v>
      </c>
    </row>
    <row r="408" customFormat="false" ht="15" hidden="false" customHeight="false" outlineLevel="0" collapsed="false">
      <c r="A408" s="4" t="n">
        <v>305</v>
      </c>
      <c r="B408" s="4" t="n">
        <v>82</v>
      </c>
      <c r="C408" s="18" t="n">
        <v>0.75</v>
      </c>
      <c r="D408" s="21" t="n">
        <v>0</v>
      </c>
      <c r="E408" s="21" t="n">
        <v>0</v>
      </c>
      <c r="F408" s="21" t="n">
        <v>0</v>
      </c>
      <c r="G408" s="21" t="n">
        <v>-0.03</v>
      </c>
      <c r="H408" s="21" t="n">
        <v>0.03</v>
      </c>
      <c r="I408" s="21" t="n">
        <v>0.05</v>
      </c>
      <c r="J408" s="21" t="n">
        <v>-0.05</v>
      </c>
      <c r="K408" s="21" t="n">
        <v>0</v>
      </c>
      <c r="L408" s="21" t="n">
        <v>0</v>
      </c>
      <c r="M408" s="21" t="n">
        <v>0</v>
      </c>
      <c r="N408" s="21" t="n">
        <v>-0.03</v>
      </c>
      <c r="O408" s="21" t="n">
        <v>0.03</v>
      </c>
      <c r="P408" s="21" t="n">
        <v>0.05</v>
      </c>
      <c r="Q408" s="21" t="n">
        <v>-0.05</v>
      </c>
      <c r="R408" s="18" t="n">
        <f aca="false">ABS(D408)+MAX(ABS(G408),ABS(H408))+MAX(ABS(I408),ABS(J408))</f>
        <v>0.08</v>
      </c>
      <c r="S408" s="18" t="n">
        <f aca="false">ABS(K408)+MAX(ABS(N408),ABS(O408))+MAX(ABS(P408),ABS(Q408))</f>
        <v>0.08</v>
      </c>
      <c r="T408" s="18" t="n">
        <f aca="false">MAX(ABS(E408),ABS(F408))</f>
        <v>0</v>
      </c>
      <c r="U408" s="18" t="n">
        <f aca="false">MAX(ABS(L408),ABS(M408))</f>
        <v>0</v>
      </c>
    </row>
    <row r="409" customFormat="false" ht="15" hidden="false" customHeight="false" outlineLevel="0" collapsed="false">
      <c r="A409" s="4" t="n">
        <v>305</v>
      </c>
      <c r="B409" s="4" t="n">
        <v>82</v>
      </c>
      <c r="C409" s="18" t="n">
        <v>1</v>
      </c>
      <c r="D409" s="21" t="n">
        <v>0</v>
      </c>
      <c r="E409" s="21" t="n">
        <v>0</v>
      </c>
      <c r="F409" s="21" t="n">
        <v>0</v>
      </c>
      <c r="G409" s="21" t="n">
        <v>-0.03</v>
      </c>
      <c r="H409" s="21" t="n">
        <v>0.03</v>
      </c>
      <c r="I409" s="21" t="n">
        <v>0.05</v>
      </c>
      <c r="J409" s="21" t="n">
        <v>-0.05</v>
      </c>
      <c r="K409" s="21" t="n">
        <v>0</v>
      </c>
      <c r="L409" s="21" t="n">
        <v>0</v>
      </c>
      <c r="M409" s="21" t="n">
        <v>0</v>
      </c>
      <c r="N409" s="21" t="n">
        <v>-0.03</v>
      </c>
      <c r="O409" s="21" t="n">
        <v>0.03</v>
      </c>
      <c r="P409" s="21" t="n">
        <v>0.05</v>
      </c>
      <c r="Q409" s="21" t="n">
        <v>-0.05</v>
      </c>
      <c r="R409" s="18" t="n">
        <f aca="false">ABS(D409)+MAX(ABS(G409),ABS(H409))+MAX(ABS(I409),ABS(J409))</f>
        <v>0.08</v>
      </c>
      <c r="S409" s="18" t="n">
        <f aca="false">ABS(K409)+MAX(ABS(N409),ABS(O409))+MAX(ABS(P409),ABS(Q409))</f>
        <v>0.08</v>
      </c>
      <c r="T409" s="18" t="n">
        <f aca="false">MAX(ABS(E409),ABS(F409))</f>
        <v>0</v>
      </c>
      <c r="U409" s="18" t="n">
        <f aca="false">MAX(ABS(L409),ABS(M409))</f>
        <v>0</v>
      </c>
    </row>
    <row r="410" customFormat="false" ht="15" hidden="false" customHeight="false" outlineLevel="0" collapsed="false">
      <c r="A410" s="4" t="n">
        <v>306</v>
      </c>
      <c r="B410" s="4" t="n">
        <v>83</v>
      </c>
      <c r="C410" s="18" t="n">
        <v>0</v>
      </c>
      <c r="D410" s="21" t="n">
        <v>0</v>
      </c>
      <c r="E410" s="21" t="n">
        <v>0.01</v>
      </c>
      <c r="F410" s="21" t="n">
        <v>0</v>
      </c>
      <c r="G410" s="21" t="n">
        <v>-0.04</v>
      </c>
      <c r="H410" s="21" t="n">
        <v>0.04</v>
      </c>
      <c r="I410" s="21" t="n">
        <v>0.05</v>
      </c>
      <c r="J410" s="21" t="n">
        <v>-0.05</v>
      </c>
      <c r="K410" s="21" t="n">
        <v>0</v>
      </c>
      <c r="L410" s="21" t="n">
        <v>0.01</v>
      </c>
      <c r="M410" s="21" t="n">
        <v>0</v>
      </c>
      <c r="N410" s="21" t="n">
        <v>-0.04</v>
      </c>
      <c r="O410" s="21" t="n">
        <v>0.04</v>
      </c>
      <c r="P410" s="21" t="n">
        <v>0.05</v>
      </c>
      <c r="Q410" s="21" t="n">
        <v>-0.05</v>
      </c>
      <c r="R410" s="18" t="n">
        <f aca="false">ABS(D410)+MAX(ABS(G410),ABS(H410))+MAX(ABS(I410),ABS(J410))</f>
        <v>0.09</v>
      </c>
      <c r="S410" s="18" t="n">
        <f aca="false">ABS(K410)+MAX(ABS(N410),ABS(O410))+MAX(ABS(P410),ABS(Q410))</f>
        <v>0.09</v>
      </c>
      <c r="T410" s="18" t="n">
        <f aca="false">MAX(ABS(E410),ABS(F410))</f>
        <v>0.01</v>
      </c>
      <c r="U410" s="18" t="n">
        <f aca="false">MAX(ABS(L410),ABS(M410))</f>
        <v>0.01</v>
      </c>
    </row>
    <row r="411" customFormat="false" ht="15" hidden="false" customHeight="false" outlineLevel="0" collapsed="false">
      <c r="A411" s="4" t="n">
        <v>306</v>
      </c>
      <c r="B411" s="4" t="n">
        <v>83</v>
      </c>
      <c r="C411" s="18" t="n">
        <v>0.25</v>
      </c>
      <c r="D411" s="21" t="n">
        <v>0</v>
      </c>
      <c r="E411" s="21" t="n">
        <v>0.01</v>
      </c>
      <c r="F411" s="21" t="n">
        <v>0</v>
      </c>
      <c r="G411" s="21" t="n">
        <v>-0.03</v>
      </c>
      <c r="H411" s="21" t="n">
        <v>0.03</v>
      </c>
      <c r="I411" s="21" t="n">
        <v>0.05</v>
      </c>
      <c r="J411" s="21" t="n">
        <v>-0.05</v>
      </c>
      <c r="K411" s="21" t="n">
        <v>0</v>
      </c>
      <c r="L411" s="21" t="n">
        <v>0.01</v>
      </c>
      <c r="M411" s="21" t="n">
        <v>0</v>
      </c>
      <c r="N411" s="21" t="n">
        <v>-0.04</v>
      </c>
      <c r="O411" s="21" t="n">
        <v>0.04</v>
      </c>
      <c r="P411" s="21" t="n">
        <v>0.05</v>
      </c>
      <c r="Q411" s="21" t="n">
        <v>-0.05</v>
      </c>
      <c r="R411" s="18" t="n">
        <f aca="false">ABS(D411)+MAX(ABS(G411),ABS(H411))+MAX(ABS(I411),ABS(J411))</f>
        <v>0.08</v>
      </c>
      <c r="S411" s="18" t="n">
        <f aca="false">ABS(K411)+MAX(ABS(N411),ABS(O411))+MAX(ABS(P411),ABS(Q411))</f>
        <v>0.09</v>
      </c>
      <c r="T411" s="18" t="n">
        <f aca="false">MAX(ABS(E411),ABS(F411))</f>
        <v>0.01</v>
      </c>
      <c r="U411" s="18" t="n">
        <f aca="false">MAX(ABS(L411),ABS(M411))</f>
        <v>0.01</v>
      </c>
    </row>
    <row r="412" customFormat="false" ht="15" hidden="false" customHeight="false" outlineLevel="0" collapsed="false">
      <c r="A412" s="4" t="n">
        <v>306</v>
      </c>
      <c r="B412" s="4" t="n">
        <v>83</v>
      </c>
      <c r="C412" s="18" t="n">
        <v>0.5</v>
      </c>
      <c r="D412" s="21" t="n">
        <v>0</v>
      </c>
      <c r="E412" s="21" t="n">
        <v>0.01</v>
      </c>
      <c r="F412" s="21" t="n">
        <v>0</v>
      </c>
      <c r="G412" s="21" t="n">
        <v>-0.03</v>
      </c>
      <c r="H412" s="21" t="n">
        <v>0.03</v>
      </c>
      <c r="I412" s="21" t="n">
        <v>0.04</v>
      </c>
      <c r="J412" s="21" t="n">
        <v>-0.04</v>
      </c>
      <c r="K412" s="21" t="n">
        <v>0</v>
      </c>
      <c r="L412" s="21" t="n">
        <v>0.01</v>
      </c>
      <c r="M412" s="21" t="n">
        <v>0</v>
      </c>
      <c r="N412" s="21" t="n">
        <v>-0.03</v>
      </c>
      <c r="O412" s="21" t="n">
        <v>0.03</v>
      </c>
      <c r="P412" s="21" t="n">
        <v>0.04</v>
      </c>
      <c r="Q412" s="21" t="n">
        <v>-0.04</v>
      </c>
      <c r="R412" s="18" t="n">
        <f aca="false">ABS(D412)+MAX(ABS(G412),ABS(H412))+MAX(ABS(I412),ABS(J412))</f>
        <v>0.07</v>
      </c>
      <c r="S412" s="18" t="n">
        <f aca="false">ABS(K412)+MAX(ABS(N412),ABS(O412))+MAX(ABS(P412),ABS(Q412))</f>
        <v>0.07</v>
      </c>
      <c r="T412" s="18" t="n">
        <f aca="false">MAX(ABS(E412),ABS(F412))</f>
        <v>0.01</v>
      </c>
      <c r="U412" s="18" t="n">
        <f aca="false">MAX(ABS(L412),ABS(M412))</f>
        <v>0.01</v>
      </c>
    </row>
    <row r="413" customFormat="false" ht="15" hidden="false" customHeight="false" outlineLevel="0" collapsed="false">
      <c r="A413" s="4" t="n">
        <v>306</v>
      </c>
      <c r="B413" s="4" t="n">
        <v>83</v>
      </c>
      <c r="C413" s="18" t="n">
        <v>0.75</v>
      </c>
      <c r="D413" s="21" t="n">
        <v>0</v>
      </c>
      <c r="E413" s="21" t="n">
        <v>0.01</v>
      </c>
      <c r="F413" s="21" t="n">
        <v>0</v>
      </c>
      <c r="G413" s="21" t="n">
        <v>-0.03</v>
      </c>
      <c r="H413" s="21" t="n">
        <v>0.03</v>
      </c>
      <c r="I413" s="21" t="n">
        <v>0.04</v>
      </c>
      <c r="J413" s="21" t="n">
        <v>-0.04</v>
      </c>
      <c r="K413" s="21" t="n">
        <v>0</v>
      </c>
      <c r="L413" s="21" t="n">
        <v>0.01</v>
      </c>
      <c r="M413" s="21" t="n">
        <v>0</v>
      </c>
      <c r="N413" s="21" t="n">
        <v>-0.03</v>
      </c>
      <c r="O413" s="21" t="n">
        <v>0.03</v>
      </c>
      <c r="P413" s="21" t="n">
        <v>0.04</v>
      </c>
      <c r="Q413" s="21" t="n">
        <v>-0.04</v>
      </c>
      <c r="R413" s="18" t="n">
        <f aca="false">ABS(D413)+MAX(ABS(G413),ABS(H413))+MAX(ABS(I413),ABS(J413))</f>
        <v>0.07</v>
      </c>
      <c r="S413" s="18" t="n">
        <f aca="false">ABS(K413)+MAX(ABS(N413),ABS(O413))+MAX(ABS(P413),ABS(Q413))</f>
        <v>0.07</v>
      </c>
      <c r="T413" s="18" t="n">
        <f aca="false">MAX(ABS(E413),ABS(F413))</f>
        <v>0.01</v>
      </c>
      <c r="U413" s="18" t="n">
        <f aca="false">MAX(ABS(L413),ABS(M413))</f>
        <v>0.01</v>
      </c>
    </row>
    <row r="414" customFormat="false" ht="15" hidden="false" customHeight="false" outlineLevel="0" collapsed="false">
      <c r="A414" s="4" t="n">
        <v>306</v>
      </c>
      <c r="B414" s="4" t="n">
        <v>83</v>
      </c>
      <c r="C414" s="18" t="n">
        <v>1</v>
      </c>
      <c r="D414" s="21" t="n">
        <v>0</v>
      </c>
      <c r="E414" s="21" t="n">
        <v>0.01</v>
      </c>
      <c r="F414" s="21" t="n">
        <v>0</v>
      </c>
      <c r="G414" s="21" t="n">
        <v>-0.02</v>
      </c>
      <c r="H414" s="21" t="n">
        <v>0.02</v>
      </c>
      <c r="I414" s="21" t="n">
        <v>0.04</v>
      </c>
      <c r="J414" s="21" t="n">
        <v>-0.04</v>
      </c>
      <c r="K414" s="21" t="n">
        <v>0</v>
      </c>
      <c r="L414" s="21" t="n">
        <v>0.01</v>
      </c>
      <c r="M414" s="21" t="n">
        <v>0</v>
      </c>
      <c r="N414" s="21" t="n">
        <v>-0.03</v>
      </c>
      <c r="O414" s="21" t="n">
        <v>0.03</v>
      </c>
      <c r="P414" s="21" t="n">
        <v>0.04</v>
      </c>
      <c r="Q414" s="21" t="n">
        <v>-0.04</v>
      </c>
      <c r="R414" s="18" t="n">
        <f aca="false">ABS(D414)+MAX(ABS(G414),ABS(H414))+MAX(ABS(I414),ABS(J414))</f>
        <v>0.06</v>
      </c>
      <c r="S414" s="18" t="n">
        <f aca="false">ABS(K414)+MAX(ABS(N414),ABS(O414))+MAX(ABS(P414),ABS(Q414))</f>
        <v>0.07</v>
      </c>
      <c r="T414" s="18" t="n">
        <f aca="false">MAX(ABS(E414),ABS(F414))</f>
        <v>0.01</v>
      </c>
      <c r="U414" s="18" t="n">
        <f aca="false">MAX(ABS(L414),ABS(M414))</f>
        <v>0.01</v>
      </c>
    </row>
    <row r="415" customFormat="false" ht="15" hidden="false" customHeight="false" outlineLevel="0" collapsed="false">
      <c r="A415" s="4" t="n">
        <v>307</v>
      </c>
      <c r="B415" s="4" t="n">
        <v>84</v>
      </c>
      <c r="C415" s="18" t="n">
        <v>0</v>
      </c>
      <c r="D415" s="21" t="n">
        <v>0</v>
      </c>
      <c r="E415" s="21" t="n">
        <v>0.02</v>
      </c>
      <c r="F415" s="21" t="n">
        <v>0</v>
      </c>
      <c r="G415" s="21" t="n">
        <v>-0.03</v>
      </c>
      <c r="H415" s="21" t="n">
        <v>0.03</v>
      </c>
      <c r="I415" s="21" t="n">
        <v>0.04</v>
      </c>
      <c r="J415" s="21" t="n">
        <v>-0.04</v>
      </c>
      <c r="K415" s="21" t="n">
        <v>0</v>
      </c>
      <c r="L415" s="21" t="n">
        <v>0.02</v>
      </c>
      <c r="M415" s="21" t="n">
        <v>0</v>
      </c>
      <c r="N415" s="21" t="n">
        <v>-0.04</v>
      </c>
      <c r="O415" s="21" t="n">
        <v>0.04</v>
      </c>
      <c r="P415" s="21" t="n">
        <v>0.04</v>
      </c>
      <c r="Q415" s="21" t="n">
        <v>-0.04</v>
      </c>
      <c r="R415" s="18" t="n">
        <f aca="false">ABS(D415)+MAX(ABS(G415),ABS(H415))+MAX(ABS(I415),ABS(J415))</f>
        <v>0.07</v>
      </c>
      <c r="S415" s="18" t="n">
        <f aca="false">ABS(K415)+MAX(ABS(N415),ABS(O415))+MAX(ABS(P415),ABS(Q415))</f>
        <v>0.08</v>
      </c>
      <c r="T415" s="18" t="n">
        <f aca="false">MAX(ABS(E415),ABS(F415))</f>
        <v>0.02</v>
      </c>
      <c r="U415" s="18" t="n">
        <f aca="false">MAX(ABS(L415),ABS(M415))</f>
        <v>0.02</v>
      </c>
    </row>
    <row r="416" customFormat="false" ht="15" hidden="false" customHeight="false" outlineLevel="0" collapsed="false">
      <c r="A416" s="4" t="n">
        <v>307</v>
      </c>
      <c r="B416" s="4" t="n">
        <v>84</v>
      </c>
      <c r="C416" s="18" t="n">
        <v>0.25</v>
      </c>
      <c r="D416" s="21" t="n">
        <v>0</v>
      </c>
      <c r="E416" s="21" t="n">
        <v>0.02</v>
      </c>
      <c r="F416" s="21" t="n">
        <v>0</v>
      </c>
      <c r="G416" s="21" t="n">
        <v>-0.02</v>
      </c>
      <c r="H416" s="21" t="n">
        <v>0.02</v>
      </c>
      <c r="I416" s="21" t="n">
        <v>0.03</v>
      </c>
      <c r="J416" s="21" t="n">
        <v>-0.03</v>
      </c>
      <c r="K416" s="21" t="n">
        <v>0</v>
      </c>
      <c r="L416" s="21" t="n">
        <v>0.02</v>
      </c>
      <c r="M416" s="21" t="n">
        <v>0</v>
      </c>
      <c r="N416" s="21" t="n">
        <v>-0.02</v>
      </c>
      <c r="O416" s="21" t="n">
        <v>0.02</v>
      </c>
      <c r="P416" s="21" t="n">
        <v>0.03</v>
      </c>
      <c r="Q416" s="21" t="n">
        <v>-0.03</v>
      </c>
      <c r="R416" s="18" t="n">
        <f aca="false">ABS(D416)+MAX(ABS(G416),ABS(H416))+MAX(ABS(I416),ABS(J416))</f>
        <v>0.05</v>
      </c>
      <c r="S416" s="18" t="n">
        <f aca="false">ABS(K416)+MAX(ABS(N416),ABS(O416))+MAX(ABS(P416),ABS(Q416))</f>
        <v>0.05</v>
      </c>
      <c r="T416" s="18" t="n">
        <f aca="false">MAX(ABS(E416),ABS(F416))</f>
        <v>0.02</v>
      </c>
      <c r="U416" s="18" t="n">
        <f aca="false">MAX(ABS(L416),ABS(M416))</f>
        <v>0.02</v>
      </c>
    </row>
    <row r="417" customFormat="false" ht="15" hidden="false" customHeight="false" outlineLevel="0" collapsed="false">
      <c r="A417" s="4" t="n">
        <v>307</v>
      </c>
      <c r="B417" s="4" t="n">
        <v>84</v>
      </c>
      <c r="C417" s="18" t="n">
        <v>0.5</v>
      </c>
      <c r="D417" s="21" t="n">
        <v>0</v>
      </c>
      <c r="E417" s="21" t="n">
        <v>0.02</v>
      </c>
      <c r="F417" s="21" t="n">
        <v>0</v>
      </c>
      <c r="G417" s="21" t="n">
        <v>-0.01</v>
      </c>
      <c r="H417" s="21" t="n">
        <v>0.01</v>
      </c>
      <c r="I417" s="21" t="n">
        <v>0.02</v>
      </c>
      <c r="J417" s="21" t="n">
        <v>-0.02</v>
      </c>
      <c r="K417" s="21" t="n">
        <v>0</v>
      </c>
      <c r="L417" s="21" t="n">
        <v>0.02</v>
      </c>
      <c r="M417" s="21" t="n">
        <v>0</v>
      </c>
      <c r="N417" s="21" t="n">
        <v>-0.01</v>
      </c>
      <c r="O417" s="21" t="n">
        <v>0.01</v>
      </c>
      <c r="P417" s="21" t="n">
        <v>0.02</v>
      </c>
      <c r="Q417" s="21" t="n">
        <v>-0.02</v>
      </c>
      <c r="R417" s="18" t="n">
        <f aca="false">ABS(D417)+MAX(ABS(G417),ABS(H417))+MAX(ABS(I417),ABS(J417))</f>
        <v>0.03</v>
      </c>
      <c r="S417" s="18" t="n">
        <f aca="false">ABS(K417)+MAX(ABS(N417),ABS(O417))+MAX(ABS(P417),ABS(Q417))</f>
        <v>0.03</v>
      </c>
      <c r="T417" s="18" t="n">
        <f aca="false">MAX(ABS(E417),ABS(F417))</f>
        <v>0.02</v>
      </c>
      <c r="U417" s="18" t="n">
        <f aca="false">MAX(ABS(L417),ABS(M417))</f>
        <v>0.02</v>
      </c>
    </row>
    <row r="418" customFormat="false" ht="15" hidden="false" customHeight="false" outlineLevel="0" collapsed="false">
      <c r="A418" s="4" t="n">
        <v>307</v>
      </c>
      <c r="B418" s="4" t="n">
        <v>84</v>
      </c>
      <c r="C418" s="18" t="n">
        <v>0.75</v>
      </c>
      <c r="D418" s="21" t="n">
        <v>0</v>
      </c>
      <c r="E418" s="21" t="n">
        <v>0.02</v>
      </c>
      <c r="F418" s="21" t="n">
        <v>0</v>
      </c>
      <c r="G418" s="21" t="n">
        <v>0</v>
      </c>
      <c r="H418" s="21" t="n">
        <v>0</v>
      </c>
      <c r="I418" s="21" t="n">
        <v>0.02</v>
      </c>
      <c r="J418" s="21" t="n">
        <v>-0.02</v>
      </c>
      <c r="K418" s="21" t="n">
        <v>0</v>
      </c>
      <c r="L418" s="21" t="n">
        <v>0.02</v>
      </c>
      <c r="M418" s="21" t="n">
        <v>0</v>
      </c>
      <c r="N418" s="21" t="n">
        <v>0</v>
      </c>
      <c r="O418" s="21" t="n">
        <v>0</v>
      </c>
      <c r="P418" s="21" t="n">
        <v>0.02</v>
      </c>
      <c r="Q418" s="21" t="n">
        <v>-0.02</v>
      </c>
      <c r="R418" s="18" t="n">
        <f aca="false">ABS(D418)+MAX(ABS(G418),ABS(H418))+MAX(ABS(I418),ABS(J418))</f>
        <v>0.02</v>
      </c>
      <c r="S418" s="18" t="n">
        <f aca="false">ABS(K418)+MAX(ABS(N418),ABS(O418))+MAX(ABS(P418),ABS(Q418))</f>
        <v>0.02</v>
      </c>
      <c r="T418" s="18" t="n">
        <f aca="false">MAX(ABS(E418),ABS(F418))</f>
        <v>0.02</v>
      </c>
      <c r="U418" s="18" t="n">
        <f aca="false">MAX(ABS(L418),ABS(M418))</f>
        <v>0.02</v>
      </c>
    </row>
    <row r="419" customFormat="false" ht="15" hidden="false" customHeight="false" outlineLevel="0" collapsed="false">
      <c r="A419" s="4" t="n">
        <v>307</v>
      </c>
      <c r="B419" s="4" t="n">
        <v>84</v>
      </c>
      <c r="C419" s="18" t="n">
        <v>1</v>
      </c>
      <c r="D419" s="21" t="n">
        <v>0</v>
      </c>
      <c r="E419" s="21" t="n">
        <v>0.02</v>
      </c>
      <c r="F419" s="21" t="n">
        <v>0</v>
      </c>
      <c r="G419" s="21" t="n">
        <v>0.02</v>
      </c>
      <c r="H419" s="21" t="n">
        <v>-0.02</v>
      </c>
      <c r="I419" s="21" t="n">
        <v>0.01</v>
      </c>
      <c r="J419" s="21" t="n">
        <v>-0.01</v>
      </c>
      <c r="K419" s="21" t="n">
        <v>0</v>
      </c>
      <c r="L419" s="21" t="n">
        <v>0.02</v>
      </c>
      <c r="M419" s="21" t="n">
        <v>0</v>
      </c>
      <c r="N419" s="21" t="n">
        <v>0.02</v>
      </c>
      <c r="O419" s="21" t="n">
        <v>-0.02</v>
      </c>
      <c r="P419" s="21" t="n">
        <v>0.01</v>
      </c>
      <c r="Q419" s="21" t="n">
        <v>-0.01</v>
      </c>
      <c r="R419" s="18" t="n">
        <f aca="false">ABS(D419)+MAX(ABS(G419),ABS(H419))+MAX(ABS(I419),ABS(J419))</f>
        <v>0.03</v>
      </c>
      <c r="S419" s="18" t="n">
        <f aca="false">ABS(K419)+MAX(ABS(N419),ABS(O419))+MAX(ABS(P419),ABS(Q419))</f>
        <v>0.03</v>
      </c>
      <c r="T419" s="18" t="n">
        <f aca="false">MAX(ABS(E419),ABS(F419))</f>
        <v>0.02</v>
      </c>
      <c r="U419" s="18" t="n">
        <f aca="false">MAX(ABS(L419),ABS(M419))</f>
        <v>0.02</v>
      </c>
    </row>
    <row r="420" customFormat="false" ht="15" hidden="false" customHeight="false" outlineLevel="0" collapsed="false">
      <c r="A420" s="4" t="n">
        <v>308</v>
      </c>
      <c r="B420" s="4" t="n">
        <v>85</v>
      </c>
      <c r="C420" s="18" t="n">
        <v>0</v>
      </c>
      <c r="D420" s="21" t="n">
        <v>0</v>
      </c>
      <c r="E420" s="21" t="n">
        <v>0</v>
      </c>
      <c r="F420" s="21" t="n">
        <v>0</v>
      </c>
      <c r="G420" s="21" t="n">
        <v>0</v>
      </c>
      <c r="H420" s="21" t="n">
        <v>0</v>
      </c>
      <c r="I420" s="21" t="n">
        <v>0.01</v>
      </c>
      <c r="J420" s="21" t="n">
        <v>-0.01</v>
      </c>
      <c r="K420" s="21" t="n">
        <v>0</v>
      </c>
      <c r="L420" s="21" t="n">
        <v>0.01</v>
      </c>
      <c r="M420" s="21" t="n">
        <v>0</v>
      </c>
      <c r="N420" s="21" t="n">
        <v>0</v>
      </c>
      <c r="O420" s="21" t="n">
        <v>0</v>
      </c>
      <c r="P420" s="21" t="n">
        <v>0.01</v>
      </c>
      <c r="Q420" s="21" t="n">
        <v>-0.01</v>
      </c>
      <c r="R420" s="18" t="n">
        <f aca="false">ABS(D420)+MAX(ABS(G420),ABS(H420))+MAX(ABS(I420),ABS(J420))</f>
        <v>0.01</v>
      </c>
      <c r="S420" s="18" t="n">
        <f aca="false">ABS(K420)+MAX(ABS(N420),ABS(O420))+MAX(ABS(P420),ABS(Q420))</f>
        <v>0.01</v>
      </c>
      <c r="T420" s="18" t="n">
        <f aca="false">MAX(ABS(E420),ABS(F420))</f>
        <v>0</v>
      </c>
      <c r="U420" s="18" t="n">
        <f aca="false">MAX(ABS(L420),ABS(M420))</f>
        <v>0.01</v>
      </c>
    </row>
    <row r="421" customFormat="false" ht="15" hidden="false" customHeight="false" outlineLevel="0" collapsed="false">
      <c r="A421" s="4" t="n">
        <v>308</v>
      </c>
      <c r="B421" s="4" t="n">
        <v>85</v>
      </c>
      <c r="C421" s="18" t="n">
        <v>0.25</v>
      </c>
      <c r="D421" s="21" t="n">
        <v>0</v>
      </c>
      <c r="E421" s="21" t="n">
        <v>0</v>
      </c>
      <c r="F421" s="21" t="n">
        <v>0</v>
      </c>
      <c r="G421" s="21" t="n">
        <v>0.01</v>
      </c>
      <c r="H421" s="21" t="n">
        <v>-0.01</v>
      </c>
      <c r="I421" s="21" t="n">
        <v>0.01</v>
      </c>
      <c r="J421" s="21" t="n">
        <v>-0.01</v>
      </c>
      <c r="K421" s="21" t="n">
        <v>0</v>
      </c>
      <c r="L421" s="21" t="n">
        <v>0.01</v>
      </c>
      <c r="M421" s="21" t="n">
        <v>0</v>
      </c>
      <c r="N421" s="21" t="n">
        <v>0</v>
      </c>
      <c r="O421" s="21" t="n">
        <v>0</v>
      </c>
      <c r="P421" s="21" t="n">
        <v>0.01</v>
      </c>
      <c r="Q421" s="21" t="n">
        <v>-0.01</v>
      </c>
      <c r="R421" s="18" t="n">
        <f aca="false">ABS(D421)+MAX(ABS(G421),ABS(H421))+MAX(ABS(I421),ABS(J421))</f>
        <v>0.02</v>
      </c>
      <c r="S421" s="18" t="n">
        <f aca="false">ABS(K421)+MAX(ABS(N421),ABS(O421))+MAX(ABS(P421),ABS(Q421))</f>
        <v>0.01</v>
      </c>
      <c r="T421" s="18" t="n">
        <f aca="false">MAX(ABS(E421),ABS(F421))</f>
        <v>0</v>
      </c>
      <c r="U421" s="18" t="n">
        <f aca="false">MAX(ABS(L421),ABS(M421))</f>
        <v>0.01</v>
      </c>
    </row>
    <row r="422" customFormat="false" ht="15" hidden="false" customHeight="false" outlineLevel="0" collapsed="false">
      <c r="A422" s="4" t="n">
        <v>308</v>
      </c>
      <c r="B422" s="4" t="n">
        <v>85</v>
      </c>
      <c r="C422" s="18" t="n">
        <v>0.5</v>
      </c>
      <c r="D422" s="21" t="n">
        <v>0</v>
      </c>
      <c r="E422" s="21" t="n">
        <v>0</v>
      </c>
      <c r="F422" s="21" t="n">
        <v>0</v>
      </c>
      <c r="G422" s="21" t="n">
        <v>0.01</v>
      </c>
      <c r="H422" s="21" t="n">
        <v>-0.01</v>
      </c>
      <c r="I422" s="21" t="n">
        <v>0</v>
      </c>
      <c r="J422" s="21" t="n">
        <v>0</v>
      </c>
      <c r="K422" s="21" t="n">
        <v>0</v>
      </c>
      <c r="L422" s="21" t="n">
        <v>0.01</v>
      </c>
      <c r="M422" s="21" t="n">
        <v>0</v>
      </c>
      <c r="N422" s="21" t="n">
        <v>0.01</v>
      </c>
      <c r="O422" s="21" t="n">
        <v>-0.01</v>
      </c>
      <c r="P422" s="21" t="n">
        <v>0</v>
      </c>
      <c r="Q422" s="21" t="n">
        <v>0</v>
      </c>
      <c r="R422" s="18" t="n">
        <f aca="false">ABS(D422)+MAX(ABS(G422),ABS(H422))+MAX(ABS(I422),ABS(J422))</f>
        <v>0.01</v>
      </c>
      <c r="S422" s="18" t="n">
        <f aca="false">ABS(K422)+MAX(ABS(N422),ABS(O422))+MAX(ABS(P422),ABS(Q422))</f>
        <v>0.01</v>
      </c>
      <c r="T422" s="18" t="n">
        <f aca="false">MAX(ABS(E422),ABS(F422))</f>
        <v>0</v>
      </c>
      <c r="U422" s="18" t="n">
        <f aca="false">MAX(ABS(L422),ABS(M422))</f>
        <v>0.01</v>
      </c>
    </row>
    <row r="423" customFormat="false" ht="15" hidden="false" customHeight="false" outlineLevel="0" collapsed="false">
      <c r="A423" s="4" t="n">
        <v>308</v>
      </c>
      <c r="B423" s="4" t="n">
        <v>85</v>
      </c>
      <c r="C423" s="18" t="n">
        <v>0.75</v>
      </c>
      <c r="D423" s="21" t="n">
        <v>0</v>
      </c>
      <c r="E423" s="21" t="n">
        <v>0</v>
      </c>
      <c r="F423" s="21" t="n">
        <v>0</v>
      </c>
      <c r="G423" s="21" t="n">
        <v>0.01</v>
      </c>
      <c r="H423" s="21" t="n">
        <v>-0.01</v>
      </c>
      <c r="I423" s="21" t="n">
        <v>0</v>
      </c>
      <c r="J423" s="21" t="n">
        <v>0</v>
      </c>
      <c r="K423" s="21" t="n">
        <v>0</v>
      </c>
      <c r="L423" s="21" t="n">
        <v>0.01</v>
      </c>
      <c r="M423" s="21" t="n">
        <v>0</v>
      </c>
      <c r="N423" s="21" t="n">
        <v>0.01</v>
      </c>
      <c r="O423" s="21" t="n">
        <v>-0.01</v>
      </c>
      <c r="P423" s="21" t="n">
        <v>0</v>
      </c>
      <c r="Q423" s="21" t="n">
        <v>0</v>
      </c>
      <c r="R423" s="18" t="n">
        <f aca="false">ABS(D423)+MAX(ABS(G423),ABS(H423))+MAX(ABS(I423),ABS(J423))</f>
        <v>0.01</v>
      </c>
      <c r="S423" s="18" t="n">
        <f aca="false">ABS(K423)+MAX(ABS(N423),ABS(O423))+MAX(ABS(P423),ABS(Q423))</f>
        <v>0.01</v>
      </c>
      <c r="T423" s="18" t="n">
        <f aca="false">MAX(ABS(E423),ABS(F423))</f>
        <v>0</v>
      </c>
      <c r="U423" s="18" t="n">
        <f aca="false">MAX(ABS(L423),ABS(M423))</f>
        <v>0.01</v>
      </c>
    </row>
    <row r="424" customFormat="false" ht="15" hidden="false" customHeight="false" outlineLevel="0" collapsed="false">
      <c r="A424" s="4" t="n">
        <v>308</v>
      </c>
      <c r="B424" s="4" t="n">
        <v>85</v>
      </c>
      <c r="C424" s="18" t="n">
        <v>1</v>
      </c>
      <c r="D424" s="21" t="n">
        <v>0</v>
      </c>
      <c r="E424" s="21" t="n">
        <v>0</v>
      </c>
      <c r="F424" s="21" t="n">
        <v>0</v>
      </c>
      <c r="G424" s="21" t="n">
        <v>0.01</v>
      </c>
      <c r="H424" s="21" t="n">
        <v>-0.01</v>
      </c>
      <c r="I424" s="21" t="n">
        <v>0</v>
      </c>
      <c r="J424" s="21" t="n">
        <v>0</v>
      </c>
      <c r="K424" s="21" t="n">
        <v>0</v>
      </c>
      <c r="L424" s="21" t="n">
        <v>0.01</v>
      </c>
      <c r="M424" s="21" t="n">
        <v>0</v>
      </c>
      <c r="N424" s="21" t="n">
        <v>0.01</v>
      </c>
      <c r="O424" s="21" t="n">
        <v>-0.01</v>
      </c>
      <c r="P424" s="21" t="n">
        <v>0</v>
      </c>
      <c r="Q424" s="21" t="n">
        <v>0</v>
      </c>
      <c r="R424" s="18" t="n">
        <f aca="false">ABS(D424)+MAX(ABS(G424),ABS(H424))+MAX(ABS(I424),ABS(J424))</f>
        <v>0.01</v>
      </c>
      <c r="S424" s="18" t="n">
        <f aca="false">ABS(K424)+MAX(ABS(N424),ABS(O424))+MAX(ABS(P424),ABS(Q424))</f>
        <v>0.01</v>
      </c>
      <c r="T424" s="18" t="n">
        <f aca="false">MAX(ABS(E424),ABS(F424))</f>
        <v>0</v>
      </c>
      <c r="U424" s="18" t="n">
        <f aca="false">MAX(ABS(L424),ABS(M424))</f>
        <v>0.01</v>
      </c>
    </row>
    <row r="425" customFormat="false" ht="15" hidden="false" customHeight="false" outlineLevel="0" collapsed="false">
      <c r="A425" s="4" t="n">
        <v>309</v>
      </c>
      <c r="B425" s="4" t="n">
        <v>86</v>
      </c>
      <c r="C425" s="18" t="n">
        <v>0</v>
      </c>
      <c r="D425" s="21" t="n">
        <v>0</v>
      </c>
      <c r="E425" s="21" t="n">
        <v>0.02</v>
      </c>
      <c r="F425" s="21" t="n">
        <v>0.01</v>
      </c>
      <c r="G425" s="21" t="n">
        <v>0.04</v>
      </c>
      <c r="H425" s="21" t="n">
        <v>-0.04</v>
      </c>
      <c r="I425" s="21" t="n">
        <v>-0.04</v>
      </c>
      <c r="J425" s="21" t="n">
        <v>0.04</v>
      </c>
      <c r="K425" s="21" t="n">
        <v>0</v>
      </c>
      <c r="L425" s="21" t="n">
        <v>0.02</v>
      </c>
      <c r="M425" s="21" t="n">
        <v>0</v>
      </c>
      <c r="N425" s="21" t="n">
        <v>0.03</v>
      </c>
      <c r="O425" s="21" t="n">
        <v>-0.03</v>
      </c>
      <c r="P425" s="21" t="n">
        <v>-0.02</v>
      </c>
      <c r="Q425" s="21" t="n">
        <v>0.02</v>
      </c>
      <c r="R425" s="18" t="n">
        <f aca="false">ABS(D425)+MAX(ABS(G425),ABS(H425))+MAX(ABS(I425),ABS(J425))</f>
        <v>0.08</v>
      </c>
      <c r="S425" s="18" t="n">
        <f aca="false">ABS(K425)+MAX(ABS(N425),ABS(O425))+MAX(ABS(P425),ABS(Q425))</f>
        <v>0.05</v>
      </c>
      <c r="T425" s="18" t="n">
        <f aca="false">MAX(ABS(E425),ABS(F425))</f>
        <v>0.02</v>
      </c>
      <c r="U425" s="18" t="n">
        <f aca="false">MAX(ABS(L425),ABS(M425))</f>
        <v>0.02</v>
      </c>
    </row>
    <row r="426" customFormat="false" ht="15" hidden="false" customHeight="false" outlineLevel="0" collapsed="false">
      <c r="A426" s="4" t="n">
        <v>309</v>
      </c>
      <c r="B426" s="4" t="n">
        <v>86</v>
      </c>
      <c r="C426" s="18" t="n">
        <v>0.25</v>
      </c>
      <c r="D426" s="21" t="n">
        <v>0</v>
      </c>
      <c r="E426" s="21" t="n">
        <v>0.02</v>
      </c>
      <c r="F426" s="21" t="n">
        <v>0.01</v>
      </c>
      <c r="G426" s="21" t="n">
        <v>0.02</v>
      </c>
      <c r="H426" s="21" t="n">
        <v>-0.02</v>
      </c>
      <c r="I426" s="21" t="n">
        <v>-0.03</v>
      </c>
      <c r="J426" s="21" t="n">
        <v>0.03</v>
      </c>
      <c r="K426" s="21" t="n">
        <v>0</v>
      </c>
      <c r="L426" s="21" t="n">
        <v>0.02</v>
      </c>
      <c r="M426" s="21" t="n">
        <v>0</v>
      </c>
      <c r="N426" s="21" t="n">
        <v>0.02</v>
      </c>
      <c r="O426" s="21" t="n">
        <v>-0.02</v>
      </c>
      <c r="P426" s="21" t="n">
        <v>-0.01</v>
      </c>
      <c r="Q426" s="21" t="n">
        <v>0.01</v>
      </c>
      <c r="R426" s="18" t="n">
        <f aca="false">ABS(D426)+MAX(ABS(G426),ABS(H426))+MAX(ABS(I426),ABS(J426))</f>
        <v>0.05</v>
      </c>
      <c r="S426" s="18" t="n">
        <f aca="false">ABS(K426)+MAX(ABS(N426),ABS(O426))+MAX(ABS(P426),ABS(Q426))</f>
        <v>0.03</v>
      </c>
      <c r="T426" s="18" t="n">
        <f aca="false">MAX(ABS(E426),ABS(F426))</f>
        <v>0.02</v>
      </c>
      <c r="U426" s="18" t="n">
        <f aca="false">MAX(ABS(L426),ABS(M426))</f>
        <v>0.02</v>
      </c>
    </row>
    <row r="427" customFormat="false" ht="15" hidden="false" customHeight="false" outlineLevel="0" collapsed="false">
      <c r="A427" s="4" t="n">
        <v>309</v>
      </c>
      <c r="B427" s="4" t="n">
        <v>86</v>
      </c>
      <c r="C427" s="18" t="n">
        <v>0.5</v>
      </c>
      <c r="D427" s="21" t="n">
        <v>0</v>
      </c>
      <c r="E427" s="21" t="n">
        <v>0.02</v>
      </c>
      <c r="F427" s="21" t="n">
        <v>0.01</v>
      </c>
      <c r="G427" s="21" t="n">
        <v>0.01</v>
      </c>
      <c r="H427" s="21" t="n">
        <v>-0.01</v>
      </c>
      <c r="I427" s="21" t="n">
        <v>-0.01</v>
      </c>
      <c r="J427" s="21" t="n">
        <v>0.01</v>
      </c>
      <c r="K427" s="21" t="n">
        <v>0</v>
      </c>
      <c r="L427" s="21" t="n">
        <v>0.02</v>
      </c>
      <c r="M427" s="21" t="n">
        <v>0</v>
      </c>
      <c r="N427" s="21" t="n">
        <v>0</v>
      </c>
      <c r="O427" s="21" t="n">
        <v>0</v>
      </c>
      <c r="P427" s="21" t="n">
        <v>0</v>
      </c>
      <c r="Q427" s="21" t="n">
        <v>0</v>
      </c>
      <c r="R427" s="18" t="n">
        <f aca="false">ABS(D427)+MAX(ABS(G427),ABS(H427))+MAX(ABS(I427),ABS(J427))</f>
        <v>0.02</v>
      </c>
      <c r="S427" s="18" t="n">
        <f aca="false">ABS(K427)+MAX(ABS(N427),ABS(O427))+MAX(ABS(P427),ABS(Q427))</f>
        <v>0</v>
      </c>
      <c r="T427" s="18" t="n">
        <f aca="false">MAX(ABS(E427),ABS(F427))</f>
        <v>0.02</v>
      </c>
      <c r="U427" s="18" t="n">
        <f aca="false">MAX(ABS(L427),ABS(M427))</f>
        <v>0.02</v>
      </c>
    </row>
    <row r="428" customFormat="false" ht="15" hidden="false" customHeight="false" outlineLevel="0" collapsed="false">
      <c r="A428" s="4" t="n">
        <v>309</v>
      </c>
      <c r="B428" s="4" t="n">
        <v>86</v>
      </c>
      <c r="C428" s="18" t="n">
        <v>0.75</v>
      </c>
      <c r="D428" s="21" t="n">
        <v>0</v>
      </c>
      <c r="E428" s="21" t="n">
        <v>0.02</v>
      </c>
      <c r="F428" s="21" t="n">
        <v>0.01</v>
      </c>
      <c r="G428" s="21" t="n">
        <v>-0.01</v>
      </c>
      <c r="H428" s="21" t="n">
        <v>0.01</v>
      </c>
      <c r="I428" s="21" t="n">
        <v>0</v>
      </c>
      <c r="J428" s="21" t="n">
        <v>0</v>
      </c>
      <c r="K428" s="21" t="n">
        <v>0</v>
      </c>
      <c r="L428" s="21" t="n">
        <v>0.02</v>
      </c>
      <c r="M428" s="21" t="n">
        <v>0</v>
      </c>
      <c r="N428" s="21" t="n">
        <v>-0.01</v>
      </c>
      <c r="O428" s="21" t="n">
        <v>0.01</v>
      </c>
      <c r="P428" s="21" t="n">
        <v>0</v>
      </c>
      <c r="Q428" s="21" t="n">
        <v>0</v>
      </c>
      <c r="R428" s="18" t="n">
        <f aca="false">ABS(D428)+MAX(ABS(G428),ABS(H428))+MAX(ABS(I428),ABS(J428))</f>
        <v>0.01</v>
      </c>
      <c r="S428" s="18" t="n">
        <f aca="false">ABS(K428)+MAX(ABS(N428),ABS(O428))+MAX(ABS(P428),ABS(Q428))</f>
        <v>0.01</v>
      </c>
      <c r="T428" s="18" t="n">
        <f aca="false">MAX(ABS(E428),ABS(F428))</f>
        <v>0.02</v>
      </c>
      <c r="U428" s="18" t="n">
        <f aca="false">MAX(ABS(L428),ABS(M428))</f>
        <v>0.02</v>
      </c>
    </row>
    <row r="429" customFormat="false" ht="15" hidden="false" customHeight="false" outlineLevel="0" collapsed="false">
      <c r="A429" s="4" t="n">
        <v>309</v>
      </c>
      <c r="B429" s="4" t="n">
        <v>86</v>
      </c>
      <c r="C429" s="18" t="n">
        <v>1</v>
      </c>
      <c r="D429" s="21" t="n">
        <v>0</v>
      </c>
      <c r="E429" s="21" t="n">
        <v>0.02</v>
      </c>
      <c r="F429" s="21" t="n">
        <v>0.01</v>
      </c>
      <c r="G429" s="21" t="n">
        <v>-0.03</v>
      </c>
      <c r="H429" s="21" t="n">
        <v>0.03</v>
      </c>
      <c r="I429" s="21" t="n">
        <v>0.02</v>
      </c>
      <c r="J429" s="21" t="n">
        <v>-0.02</v>
      </c>
      <c r="K429" s="21" t="n">
        <v>0</v>
      </c>
      <c r="L429" s="21" t="n">
        <v>0.02</v>
      </c>
      <c r="M429" s="21" t="n">
        <v>0</v>
      </c>
      <c r="N429" s="21" t="n">
        <v>-0.03</v>
      </c>
      <c r="O429" s="21" t="n">
        <v>0.03</v>
      </c>
      <c r="P429" s="21" t="n">
        <v>0.01</v>
      </c>
      <c r="Q429" s="21" t="n">
        <v>-0.01</v>
      </c>
      <c r="R429" s="18" t="n">
        <f aca="false">ABS(D429)+MAX(ABS(G429),ABS(H429))+MAX(ABS(I429),ABS(J429))</f>
        <v>0.05</v>
      </c>
      <c r="S429" s="18" t="n">
        <f aca="false">ABS(K429)+MAX(ABS(N429),ABS(O429))+MAX(ABS(P429),ABS(Q429))</f>
        <v>0.04</v>
      </c>
      <c r="T429" s="18" t="n">
        <f aca="false">MAX(ABS(E429),ABS(F429))</f>
        <v>0.02</v>
      </c>
      <c r="U429" s="18" t="n">
        <f aca="false">MAX(ABS(L429),ABS(M429))</f>
        <v>0.02</v>
      </c>
    </row>
    <row r="430" customFormat="false" ht="15" hidden="false" customHeight="false" outlineLevel="0" collapsed="false">
      <c r="A430" s="4" t="n">
        <v>310</v>
      </c>
      <c r="B430" s="4" t="n">
        <v>87</v>
      </c>
      <c r="C430" s="18" t="n">
        <v>0</v>
      </c>
      <c r="D430" s="21" t="n">
        <v>0</v>
      </c>
      <c r="E430" s="21" t="n">
        <v>0.02</v>
      </c>
      <c r="F430" s="21" t="n">
        <v>0.01</v>
      </c>
      <c r="G430" s="21" t="n">
        <v>-0.02</v>
      </c>
      <c r="H430" s="21" t="n">
        <v>0.02</v>
      </c>
      <c r="I430" s="21" t="n">
        <v>0.02</v>
      </c>
      <c r="J430" s="21" t="n">
        <v>-0.02</v>
      </c>
      <c r="K430" s="21" t="n">
        <v>0</v>
      </c>
      <c r="L430" s="21" t="n">
        <v>0.01</v>
      </c>
      <c r="M430" s="21" t="n">
        <v>0.01</v>
      </c>
      <c r="N430" s="21" t="n">
        <v>-0.02</v>
      </c>
      <c r="O430" s="21" t="n">
        <v>0.02</v>
      </c>
      <c r="P430" s="21" t="n">
        <v>0.02</v>
      </c>
      <c r="Q430" s="21" t="n">
        <v>-0.02</v>
      </c>
      <c r="R430" s="18" t="n">
        <f aca="false">ABS(D430)+MAX(ABS(G430),ABS(H430))+MAX(ABS(I430),ABS(J430))</f>
        <v>0.04</v>
      </c>
      <c r="S430" s="18" t="n">
        <f aca="false">ABS(K430)+MAX(ABS(N430),ABS(O430))+MAX(ABS(P430),ABS(Q430))</f>
        <v>0.04</v>
      </c>
      <c r="T430" s="18" t="n">
        <f aca="false">MAX(ABS(E430),ABS(F430))</f>
        <v>0.02</v>
      </c>
      <c r="U430" s="18" t="n">
        <f aca="false">MAX(ABS(L430),ABS(M430))</f>
        <v>0.01</v>
      </c>
    </row>
    <row r="431" customFormat="false" ht="15" hidden="false" customHeight="false" outlineLevel="0" collapsed="false">
      <c r="A431" s="4" t="n">
        <v>310</v>
      </c>
      <c r="B431" s="4" t="n">
        <v>87</v>
      </c>
      <c r="C431" s="18" t="n">
        <v>0.25</v>
      </c>
      <c r="D431" s="21" t="n">
        <v>0</v>
      </c>
      <c r="E431" s="21" t="n">
        <v>0.02</v>
      </c>
      <c r="F431" s="21" t="n">
        <v>0.01</v>
      </c>
      <c r="G431" s="21" t="n">
        <v>-0.03</v>
      </c>
      <c r="H431" s="21" t="n">
        <v>0.03</v>
      </c>
      <c r="I431" s="21" t="n">
        <v>0.03</v>
      </c>
      <c r="J431" s="21" t="n">
        <v>-0.03</v>
      </c>
      <c r="K431" s="21" t="n">
        <v>0</v>
      </c>
      <c r="L431" s="21" t="n">
        <v>0.01</v>
      </c>
      <c r="M431" s="21" t="n">
        <v>0.01</v>
      </c>
      <c r="N431" s="21" t="n">
        <v>-0.02</v>
      </c>
      <c r="O431" s="21" t="n">
        <v>0.02</v>
      </c>
      <c r="P431" s="21" t="n">
        <v>0.03</v>
      </c>
      <c r="Q431" s="21" t="n">
        <v>-0.03</v>
      </c>
      <c r="R431" s="18" t="n">
        <f aca="false">ABS(D431)+MAX(ABS(G431),ABS(H431))+MAX(ABS(I431),ABS(J431))</f>
        <v>0.06</v>
      </c>
      <c r="S431" s="18" t="n">
        <f aca="false">ABS(K431)+MAX(ABS(N431),ABS(O431))+MAX(ABS(P431),ABS(Q431))</f>
        <v>0.05</v>
      </c>
      <c r="T431" s="18" t="n">
        <f aca="false">MAX(ABS(E431),ABS(F431))</f>
        <v>0.02</v>
      </c>
      <c r="U431" s="18" t="n">
        <f aca="false">MAX(ABS(L431),ABS(M431))</f>
        <v>0.01</v>
      </c>
    </row>
    <row r="432" customFormat="false" ht="15" hidden="false" customHeight="false" outlineLevel="0" collapsed="false">
      <c r="A432" s="4" t="n">
        <v>310</v>
      </c>
      <c r="B432" s="4" t="n">
        <v>87</v>
      </c>
      <c r="C432" s="18" t="n">
        <v>0.5</v>
      </c>
      <c r="D432" s="21" t="n">
        <v>0</v>
      </c>
      <c r="E432" s="21" t="n">
        <v>0.02</v>
      </c>
      <c r="F432" s="21" t="n">
        <v>0.01</v>
      </c>
      <c r="G432" s="21" t="n">
        <v>-0.04</v>
      </c>
      <c r="H432" s="21" t="n">
        <v>0.04</v>
      </c>
      <c r="I432" s="21" t="n">
        <v>0.05</v>
      </c>
      <c r="J432" s="21" t="n">
        <v>-0.05</v>
      </c>
      <c r="K432" s="21" t="n">
        <v>0</v>
      </c>
      <c r="L432" s="21" t="n">
        <v>0.01</v>
      </c>
      <c r="M432" s="21" t="n">
        <v>0.01</v>
      </c>
      <c r="N432" s="21" t="n">
        <v>-0.03</v>
      </c>
      <c r="O432" s="21" t="n">
        <v>0.03</v>
      </c>
      <c r="P432" s="21" t="n">
        <v>0.04</v>
      </c>
      <c r="Q432" s="21" t="n">
        <v>-0.04</v>
      </c>
      <c r="R432" s="18" t="n">
        <f aca="false">ABS(D432)+MAX(ABS(G432),ABS(H432))+MAX(ABS(I432),ABS(J432))</f>
        <v>0.09</v>
      </c>
      <c r="S432" s="18" t="n">
        <f aca="false">ABS(K432)+MAX(ABS(N432),ABS(O432))+MAX(ABS(P432),ABS(Q432))</f>
        <v>0.07</v>
      </c>
      <c r="T432" s="18" t="n">
        <f aca="false">MAX(ABS(E432),ABS(F432))</f>
        <v>0.02</v>
      </c>
      <c r="U432" s="18" t="n">
        <f aca="false">MAX(ABS(L432),ABS(M432))</f>
        <v>0.01</v>
      </c>
    </row>
    <row r="433" customFormat="false" ht="15" hidden="false" customHeight="false" outlineLevel="0" collapsed="false">
      <c r="A433" s="4" t="n">
        <v>310</v>
      </c>
      <c r="B433" s="4" t="n">
        <v>87</v>
      </c>
      <c r="C433" s="18" t="n">
        <v>0.75</v>
      </c>
      <c r="D433" s="21" t="n">
        <v>0</v>
      </c>
      <c r="E433" s="21" t="n">
        <v>0.02</v>
      </c>
      <c r="F433" s="21" t="n">
        <v>0.01</v>
      </c>
      <c r="G433" s="21" t="n">
        <v>-0.04</v>
      </c>
      <c r="H433" s="21" t="n">
        <v>0.04</v>
      </c>
      <c r="I433" s="21" t="n">
        <v>0.06</v>
      </c>
      <c r="J433" s="21" t="n">
        <v>-0.06</v>
      </c>
      <c r="K433" s="21" t="n">
        <v>0</v>
      </c>
      <c r="L433" s="21" t="n">
        <v>0.01</v>
      </c>
      <c r="M433" s="21" t="n">
        <v>0.01</v>
      </c>
      <c r="N433" s="21" t="n">
        <v>-0.04</v>
      </c>
      <c r="O433" s="21" t="n">
        <v>0.04</v>
      </c>
      <c r="P433" s="21" t="n">
        <v>0.05</v>
      </c>
      <c r="Q433" s="21" t="n">
        <v>-0.05</v>
      </c>
      <c r="R433" s="18" t="n">
        <f aca="false">ABS(D433)+MAX(ABS(G433),ABS(H433))+MAX(ABS(I433),ABS(J433))</f>
        <v>0.1</v>
      </c>
      <c r="S433" s="18" t="n">
        <f aca="false">ABS(K433)+MAX(ABS(N433),ABS(O433))+MAX(ABS(P433),ABS(Q433))</f>
        <v>0.09</v>
      </c>
      <c r="T433" s="18" t="n">
        <f aca="false">MAX(ABS(E433),ABS(F433))</f>
        <v>0.02</v>
      </c>
      <c r="U433" s="18" t="n">
        <f aca="false">MAX(ABS(L433),ABS(M433))</f>
        <v>0.01</v>
      </c>
    </row>
    <row r="434" customFormat="false" ht="15" hidden="false" customHeight="false" outlineLevel="0" collapsed="false">
      <c r="A434" s="4" t="n">
        <v>310</v>
      </c>
      <c r="B434" s="4" t="n">
        <v>87</v>
      </c>
      <c r="C434" s="18" t="n">
        <v>1</v>
      </c>
      <c r="D434" s="21" t="n">
        <v>0</v>
      </c>
      <c r="E434" s="21" t="n">
        <v>0.02</v>
      </c>
      <c r="F434" s="21" t="n">
        <v>0.01</v>
      </c>
      <c r="G434" s="21" t="n">
        <v>-0.05</v>
      </c>
      <c r="H434" s="21" t="n">
        <v>0.05</v>
      </c>
      <c r="I434" s="21" t="n">
        <v>0.07</v>
      </c>
      <c r="J434" s="21" t="n">
        <v>-0.07</v>
      </c>
      <c r="K434" s="21" t="n">
        <v>0</v>
      </c>
      <c r="L434" s="21" t="n">
        <v>0.01</v>
      </c>
      <c r="M434" s="21" t="n">
        <v>0.01</v>
      </c>
      <c r="N434" s="21" t="n">
        <v>-0.04</v>
      </c>
      <c r="O434" s="21" t="n">
        <v>0.04</v>
      </c>
      <c r="P434" s="21" t="n">
        <v>0.07</v>
      </c>
      <c r="Q434" s="21" t="n">
        <v>-0.07</v>
      </c>
      <c r="R434" s="18" t="n">
        <f aca="false">ABS(D434)+MAX(ABS(G434),ABS(H434))+MAX(ABS(I434),ABS(J434))</f>
        <v>0.12</v>
      </c>
      <c r="S434" s="18" t="n">
        <f aca="false">ABS(K434)+MAX(ABS(N434),ABS(O434))+MAX(ABS(P434),ABS(Q434))</f>
        <v>0.11</v>
      </c>
      <c r="T434" s="18" t="n">
        <f aca="false">MAX(ABS(E434),ABS(F434))</f>
        <v>0.02</v>
      </c>
      <c r="U434" s="18" t="n">
        <f aca="false">MAX(ABS(L434),ABS(M434))</f>
        <v>0.01</v>
      </c>
    </row>
    <row r="435" customFormat="false" ht="15" hidden="false" customHeight="false" outlineLevel="0" collapsed="false">
      <c r="A435" s="4" t="n">
        <v>311</v>
      </c>
      <c r="B435" s="4" t="n">
        <v>88</v>
      </c>
      <c r="C435" s="18" t="n">
        <v>0</v>
      </c>
      <c r="D435" s="21" t="n">
        <v>0</v>
      </c>
      <c r="E435" s="21" t="n">
        <v>0</v>
      </c>
      <c r="F435" s="21" t="n">
        <v>0</v>
      </c>
      <c r="G435" s="21" t="n">
        <v>-0.04</v>
      </c>
      <c r="H435" s="21" t="n">
        <v>0.04</v>
      </c>
      <c r="I435" s="21" t="n">
        <v>0.07</v>
      </c>
      <c r="J435" s="21" t="n">
        <v>-0.07</v>
      </c>
      <c r="K435" s="21" t="n">
        <v>0</v>
      </c>
      <c r="L435" s="21" t="n">
        <v>0</v>
      </c>
      <c r="M435" s="21" t="n">
        <v>0</v>
      </c>
      <c r="N435" s="21" t="n">
        <v>-0.05</v>
      </c>
      <c r="O435" s="21" t="n">
        <v>0.05</v>
      </c>
      <c r="P435" s="21" t="n">
        <v>0.08</v>
      </c>
      <c r="Q435" s="21" t="n">
        <v>-0.08</v>
      </c>
      <c r="R435" s="18" t="n">
        <f aca="false">ABS(D435)+MAX(ABS(G435),ABS(H435))+MAX(ABS(I435),ABS(J435))</f>
        <v>0.11</v>
      </c>
      <c r="S435" s="18" t="n">
        <f aca="false">ABS(K435)+MAX(ABS(N435),ABS(O435))+MAX(ABS(P435),ABS(Q435))</f>
        <v>0.13</v>
      </c>
      <c r="T435" s="18" t="n">
        <f aca="false">MAX(ABS(E435),ABS(F435))</f>
        <v>0</v>
      </c>
      <c r="U435" s="18" t="n">
        <f aca="false">MAX(ABS(L435),ABS(M435))</f>
        <v>0</v>
      </c>
    </row>
    <row r="436" customFormat="false" ht="15" hidden="false" customHeight="false" outlineLevel="0" collapsed="false">
      <c r="A436" s="4" t="n">
        <v>311</v>
      </c>
      <c r="B436" s="4" t="n">
        <v>88</v>
      </c>
      <c r="C436" s="18" t="n">
        <v>0.25</v>
      </c>
      <c r="D436" s="21" t="n">
        <v>0</v>
      </c>
      <c r="E436" s="21" t="n">
        <v>0</v>
      </c>
      <c r="F436" s="21" t="n">
        <v>0</v>
      </c>
      <c r="G436" s="21" t="n">
        <v>-0.04</v>
      </c>
      <c r="H436" s="21" t="n">
        <v>0.04</v>
      </c>
      <c r="I436" s="21" t="n">
        <v>0.06</v>
      </c>
      <c r="J436" s="21" t="n">
        <v>-0.06</v>
      </c>
      <c r="K436" s="21" t="n">
        <v>0</v>
      </c>
      <c r="L436" s="21" t="n">
        <v>0</v>
      </c>
      <c r="M436" s="21" t="n">
        <v>0</v>
      </c>
      <c r="N436" s="21" t="n">
        <v>-0.05</v>
      </c>
      <c r="O436" s="21" t="n">
        <v>0.05</v>
      </c>
      <c r="P436" s="21" t="n">
        <v>0.07</v>
      </c>
      <c r="Q436" s="21" t="n">
        <v>-0.07</v>
      </c>
      <c r="R436" s="18" t="n">
        <f aca="false">ABS(D436)+MAX(ABS(G436),ABS(H436))+MAX(ABS(I436),ABS(J436))</f>
        <v>0.1</v>
      </c>
      <c r="S436" s="18" t="n">
        <f aca="false">ABS(K436)+MAX(ABS(N436),ABS(O436))+MAX(ABS(P436),ABS(Q436))</f>
        <v>0.12</v>
      </c>
      <c r="T436" s="18" t="n">
        <f aca="false">MAX(ABS(E436),ABS(F436))</f>
        <v>0</v>
      </c>
      <c r="U436" s="18" t="n">
        <f aca="false">MAX(ABS(L436),ABS(M436))</f>
        <v>0</v>
      </c>
    </row>
    <row r="437" customFormat="false" ht="15" hidden="false" customHeight="false" outlineLevel="0" collapsed="false">
      <c r="A437" s="4" t="n">
        <v>311</v>
      </c>
      <c r="B437" s="4" t="n">
        <v>88</v>
      </c>
      <c r="C437" s="18" t="n">
        <v>0.5</v>
      </c>
      <c r="D437" s="21" t="n">
        <v>0</v>
      </c>
      <c r="E437" s="21" t="n">
        <v>0</v>
      </c>
      <c r="F437" s="21" t="n">
        <v>0</v>
      </c>
      <c r="G437" s="21" t="n">
        <v>-0.04</v>
      </c>
      <c r="H437" s="21" t="n">
        <v>0.04</v>
      </c>
      <c r="I437" s="21" t="n">
        <v>0.05</v>
      </c>
      <c r="J437" s="21" t="n">
        <v>-0.05</v>
      </c>
      <c r="K437" s="21" t="n">
        <v>0</v>
      </c>
      <c r="L437" s="21" t="n">
        <v>0</v>
      </c>
      <c r="M437" s="21" t="n">
        <v>0</v>
      </c>
      <c r="N437" s="21" t="n">
        <v>-0.04</v>
      </c>
      <c r="O437" s="21" t="n">
        <v>0.04</v>
      </c>
      <c r="P437" s="21" t="n">
        <v>0.05</v>
      </c>
      <c r="Q437" s="21" t="n">
        <v>-0.05</v>
      </c>
      <c r="R437" s="18" t="n">
        <f aca="false">ABS(D437)+MAX(ABS(G437),ABS(H437))+MAX(ABS(I437),ABS(J437))</f>
        <v>0.09</v>
      </c>
      <c r="S437" s="18" t="n">
        <f aca="false">ABS(K437)+MAX(ABS(N437),ABS(O437))+MAX(ABS(P437),ABS(Q437))</f>
        <v>0.09</v>
      </c>
      <c r="T437" s="18" t="n">
        <f aca="false">MAX(ABS(E437),ABS(F437))</f>
        <v>0</v>
      </c>
      <c r="U437" s="18" t="n">
        <f aca="false">MAX(ABS(L437),ABS(M437))</f>
        <v>0</v>
      </c>
    </row>
    <row r="438" customFormat="false" ht="15" hidden="false" customHeight="false" outlineLevel="0" collapsed="false">
      <c r="A438" s="4" t="n">
        <v>311</v>
      </c>
      <c r="B438" s="4" t="n">
        <v>88</v>
      </c>
      <c r="C438" s="18" t="n">
        <v>0.75</v>
      </c>
      <c r="D438" s="21" t="n">
        <v>0</v>
      </c>
      <c r="E438" s="21" t="n">
        <v>0</v>
      </c>
      <c r="F438" s="21" t="n">
        <v>0</v>
      </c>
      <c r="G438" s="21" t="n">
        <v>-0.04</v>
      </c>
      <c r="H438" s="21" t="n">
        <v>0.04</v>
      </c>
      <c r="I438" s="21" t="n">
        <v>0.04</v>
      </c>
      <c r="J438" s="21" t="n">
        <v>-0.04</v>
      </c>
      <c r="K438" s="21" t="n">
        <v>0</v>
      </c>
      <c r="L438" s="21" t="n">
        <v>0</v>
      </c>
      <c r="M438" s="21" t="n">
        <v>0</v>
      </c>
      <c r="N438" s="21" t="n">
        <v>-0.04</v>
      </c>
      <c r="O438" s="21" t="n">
        <v>0.04</v>
      </c>
      <c r="P438" s="21" t="n">
        <v>0.04</v>
      </c>
      <c r="Q438" s="21" t="n">
        <v>-0.04</v>
      </c>
      <c r="R438" s="18" t="n">
        <f aca="false">ABS(D438)+MAX(ABS(G438),ABS(H438))+MAX(ABS(I438),ABS(J438))</f>
        <v>0.08</v>
      </c>
      <c r="S438" s="18" t="n">
        <f aca="false">ABS(K438)+MAX(ABS(N438),ABS(O438))+MAX(ABS(P438),ABS(Q438))</f>
        <v>0.08</v>
      </c>
      <c r="T438" s="18" t="n">
        <f aca="false">MAX(ABS(E438),ABS(F438))</f>
        <v>0</v>
      </c>
      <c r="U438" s="18" t="n">
        <f aca="false">MAX(ABS(L438),ABS(M438))</f>
        <v>0</v>
      </c>
    </row>
    <row r="439" customFormat="false" ht="15" hidden="false" customHeight="false" outlineLevel="0" collapsed="false">
      <c r="A439" s="4" t="n">
        <v>311</v>
      </c>
      <c r="B439" s="4" t="n">
        <v>88</v>
      </c>
      <c r="C439" s="18" t="n">
        <v>1</v>
      </c>
      <c r="D439" s="21" t="n">
        <v>0</v>
      </c>
      <c r="E439" s="21" t="n">
        <v>0</v>
      </c>
      <c r="F439" s="21" t="n">
        <v>0</v>
      </c>
      <c r="G439" s="21" t="n">
        <v>-0.03</v>
      </c>
      <c r="H439" s="21" t="n">
        <v>0.03</v>
      </c>
      <c r="I439" s="21" t="n">
        <v>0.04</v>
      </c>
      <c r="J439" s="21" t="n">
        <v>-0.04</v>
      </c>
      <c r="K439" s="21" t="n">
        <v>0</v>
      </c>
      <c r="L439" s="21" t="n">
        <v>0</v>
      </c>
      <c r="M439" s="21" t="n">
        <v>0</v>
      </c>
      <c r="N439" s="21" t="n">
        <v>-0.03</v>
      </c>
      <c r="O439" s="21" t="n">
        <v>0.03</v>
      </c>
      <c r="P439" s="21" t="n">
        <v>0.02</v>
      </c>
      <c r="Q439" s="21" t="n">
        <v>-0.02</v>
      </c>
      <c r="R439" s="18" t="n">
        <f aca="false">ABS(D439)+MAX(ABS(G439),ABS(H439))+MAX(ABS(I439),ABS(J439))</f>
        <v>0.07</v>
      </c>
      <c r="S439" s="18" t="n">
        <f aca="false">ABS(K439)+MAX(ABS(N439),ABS(O439))+MAX(ABS(P439),ABS(Q439))</f>
        <v>0.05</v>
      </c>
      <c r="T439" s="18" t="n">
        <f aca="false">MAX(ABS(E439),ABS(F439))</f>
        <v>0</v>
      </c>
      <c r="U439" s="18" t="n">
        <f aca="false">MAX(ABS(L439),ABS(M439))</f>
        <v>0</v>
      </c>
    </row>
    <row r="440" customFormat="false" ht="15" hidden="false" customHeight="false" outlineLevel="0" collapsed="false">
      <c r="A440" s="4" t="n">
        <v>312</v>
      </c>
      <c r="B440" s="4" t="n">
        <v>89</v>
      </c>
      <c r="C440" s="18" t="n">
        <v>0</v>
      </c>
      <c r="D440" s="21" t="n">
        <v>0</v>
      </c>
      <c r="E440" s="21" t="n">
        <v>0</v>
      </c>
      <c r="F440" s="21" t="n">
        <v>0.01</v>
      </c>
      <c r="G440" s="21" t="n">
        <v>-0.04</v>
      </c>
      <c r="H440" s="21" t="n">
        <v>0.04</v>
      </c>
      <c r="I440" s="21" t="n">
        <v>0.03</v>
      </c>
      <c r="J440" s="21" t="n">
        <v>-0.03</v>
      </c>
      <c r="K440" s="21" t="n">
        <v>0</v>
      </c>
      <c r="L440" s="21" t="n">
        <v>0</v>
      </c>
      <c r="M440" s="21" t="n">
        <v>0.01</v>
      </c>
      <c r="N440" s="21" t="n">
        <v>-0.03</v>
      </c>
      <c r="O440" s="21" t="n">
        <v>0.03</v>
      </c>
      <c r="P440" s="21" t="n">
        <v>0.03</v>
      </c>
      <c r="Q440" s="21" t="n">
        <v>-0.03</v>
      </c>
      <c r="R440" s="18" t="n">
        <f aca="false">ABS(D440)+MAX(ABS(G440),ABS(H440))+MAX(ABS(I440),ABS(J440))</f>
        <v>0.07</v>
      </c>
      <c r="S440" s="18" t="n">
        <f aca="false">ABS(K440)+MAX(ABS(N440),ABS(O440))+MAX(ABS(P440),ABS(Q440))</f>
        <v>0.06</v>
      </c>
      <c r="T440" s="18" t="n">
        <f aca="false">MAX(ABS(E440),ABS(F440))</f>
        <v>0.01</v>
      </c>
      <c r="U440" s="18" t="n">
        <f aca="false">MAX(ABS(L440),ABS(M440))</f>
        <v>0.01</v>
      </c>
    </row>
    <row r="441" customFormat="false" ht="15" hidden="false" customHeight="false" outlineLevel="0" collapsed="false">
      <c r="A441" s="4" t="n">
        <v>312</v>
      </c>
      <c r="B441" s="4" t="n">
        <v>89</v>
      </c>
      <c r="C441" s="18" t="n">
        <v>0.25</v>
      </c>
      <c r="D441" s="21" t="n">
        <v>0</v>
      </c>
      <c r="E441" s="21" t="n">
        <v>0</v>
      </c>
      <c r="F441" s="21" t="n">
        <v>0.01</v>
      </c>
      <c r="G441" s="21" t="n">
        <v>-0.04</v>
      </c>
      <c r="H441" s="21" t="n">
        <v>0.04</v>
      </c>
      <c r="I441" s="21" t="n">
        <v>0.04</v>
      </c>
      <c r="J441" s="21" t="n">
        <v>-0.04</v>
      </c>
      <c r="K441" s="21" t="n">
        <v>0</v>
      </c>
      <c r="L441" s="21" t="n">
        <v>0</v>
      </c>
      <c r="M441" s="21" t="n">
        <v>0.01</v>
      </c>
      <c r="N441" s="21" t="n">
        <v>-0.03</v>
      </c>
      <c r="O441" s="21" t="n">
        <v>0.03</v>
      </c>
      <c r="P441" s="21" t="n">
        <v>0.04</v>
      </c>
      <c r="Q441" s="21" t="n">
        <v>-0.04</v>
      </c>
      <c r="R441" s="18" t="n">
        <f aca="false">ABS(D441)+MAX(ABS(G441),ABS(H441))+MAX(ABS(I441),ABS(J441))</f>
        <v>0.08</v>
      </c>
      <c r="S441" s="18" t="n">
        <f aca="false">ABS(K441)+MAX(ABS(N441),ABS(O441))+MAX(ABS(P441),ABS(Q441))</f>
        <v>0.07</v>
      </c>
      <c r="T441" s="18" t="n">
        <f aca="false">MAX(ABS(E441),ABS(F441))</f>
        <v>0.01</v>
      </c>
      <c r="U441" s="18" t="n">
        <f aca="false">MAX(ABS(L441),ABS(M441))</f>
        <v>0.01</v>
      </c>
    </row>
    <row r="442" customFormat="false" ht="15" hidden="false" customHeight="false" outlineLevel="0" collapsed="false">
      <c r="A442" s="4" t="n">
        <v>312</v>
      </c>
      <c r="B442" s="4" t="n">
        <v>89</v>
      </c>
      <c r="C442" s="18" t="n">
        <v>0.5</v>
      </c>
      <c r="D442" s="21" t="n">
        <v>0</v>
      </c>
      <c r="E442" s="21" t="n">
        <v>0</v>
      </c>
      <c r="F442" s="21" t="n">
        <v>0.01</v>
      </c>
      <c r="G442" s="21" t="n">
        <v>-0.04</v>
      </c>
      <c r="H442" s="21" t="n">
        <v>0.04</v>
      </c>
      <c r="I442" s="21" t="n">
        <v>0.05</v>
      </c>
      <c r="J442" s="21" t="n">
        <v>-0.05</v>
      </c>
      <c r="K442" s="21" t="n">
        <v>0</v>
      </c>
      <c r="L442" s="21" t="n">
        <v>0</v>
      </c>
      <c r="M442" s="21" t="n">
        <v>0.01</v>
      </c>
      <c r="N442" s="21" t="n">
        <v>-0.03</v>
      </c>
      <c r="O442" s="21" t="n">
        <v>0.03</v>
      </c>
      <c r="P442" s="21" t="n">
        <v>0.05</v>
      </c>
      <c r="Q442" s="21" t="n">
        <v>-0.05</v>
      </c>
      <c r="R442" s="18" t="n">
        <f aca="false">ABS(D442)+MAX(ABS(G442),ABS(H442))+MAX(ABS(I442),ABS(J442))</f>
        <v>0.09</v>
      </c>
      <c r="S442" s="18" t="n">
        <f aca="false">ABS(K442)+MAX(ABS(N442),ABS(O442))+MAX(ABS(P442),ABS(Q442))</f>
        <v>0.08</v>
      </c>
      <c r="T442" s="18" t="n">
        <f aca="false">MAX(ABS(E442),ABS(F442))</f>
        <v>0.01</v>
      </c>
      <c r="U442" s="18" t="n">
        <f aca="false">MAX(ABS(L442),ABS(M442))</f>
        <v>0.01</v>
      </c>
    </row>
    <row r="443" customFormat="false" ht="15" hidden="false" customHeight="false" outlineLevel="0" collapsed="false">
      <c r="A443" s="4" t="n">
        <v>312</v>
      </c>
      <c r="B443" s="4" t="n">
        <v>89</v>
      </c>
      <c r="C443" s="18" t="n">
        <v>0.75</v>
      </c>
      <c r="D443" s="21" t="n">
        <v>0</v>
      </c>
      <c r="E443" s="21" t="n">
        <v>0</v>
      </c>
      <c r="F443" s="21" t="n">
        <v>0.01</v>
      </c>
      <c r="G443" s="21" t="n">
        <v>-0.04</v>
      </c>
      <c r="H443" s="21" t="n">
        <v>0.04</v>
      </c>
      <c r="I443" s="21" t="n">
        <v>0.06</v>
      </c>
      <c r="J443" s="21" t="n">
        <v>-0.06</v>
      </c>
      <c r="K443" s="21" t="n">
        <v>0</v>
      </c>
      <c r="L443" s="21" t="n">
        <v>0</v>
      </c>
      <c r="M443" s="21" t="n">
        <v>0.01</v>
      </c>
      <c r="N443" s="21" t="n">
        <v>-0.03</v>
      </c>
      <c r="O443" s="21" t="n">
        <v>0.03</v>
      </c>
      <c r="P443" s="21" t="n">
        <v>0.05</v>
      </c>
      <c r="Q443" s="21" t="n">
        <v>-0.05</v>
      </c>
      <c r="R443" s="18" t="n">
        <f aca="false">ABS(D443)+MAX(ABS(G443),ABS(H443))+MAX(ABS(I443),ABS(J443))</f>
        <v>0.1</v>
      </c>
      <c r="S443" s="18" t="n">
        <f aca="false">ABS(K443)+MAX(ABS(N443),ABS(O443))+MAX(ABS(P443),ABS(Q443))</f>
        <v>0.08</v>
      </c>
      <c r="T443" s="18" t="n">
        <f aca="false">MAX(ABS(E443),ABS(F443))</f>
        <v>0.01</v>
      </c>
      <c r="U443" s="18" t="n">
        <f aca="false">MAX(ABS(L443),ABS(M443))</f>
        <v>0.01</v>
      </c>
    </row>
    <row r="444" customFormat="false" ht="15" hidden="false" customHeight="false" outlineLevel="0" collapsed="false">
      <c r="A444" s="4" t="n">
        <v>312</v>
      </c>
      <c r="B444" s="4" t="n">
        <v>89</v>
      </c>
      <c r="C444" s="18" t="n">
        <v>1</v>
      </c>
      <c r="D444" s="21" t="n">
        <v>0</v>
      </c>
      <c r="E444" s="21" t="n">
        <v>0</v>
      </c>
      <c r="F444" s="21" t="n">
        <v>0.01</v>
      </c>
      <c r="G444" s="21" t="n">
        <v>-0.04</v>
      </c>
      <c r="H444" s="21" t="n">
        <v>0.04</v>
      </c>
      <c r="I444" s="21" t="n">
        <v>0.07</v>
      </c>
      <c r="J444" s="21" t="n">
        <v>-0.07</v>
      </c>
      <c r="K444" s="21" t="n">
        <v>0</v>
      </c>
      <c r="L444" s="21" t="n">
        <v>0</v>
      </c>
      <c r="M444" s="21" t="n">
        <v>0.01</v>
      </c>
      <c r="N444" s="21" t="n">
        <v>-0.03</v>
      </c>
      <c r="O444" s="21" t="n">
        <v>0.03</v>
      </c>
      <c r="P444" s="21" t="n">
        <v>0.06</v>
      </c>
      <c r="Q444" s="21" t="n">
        <v>-0.06</v>
      </c>
      <c r="R444" s="18" t="n">
        <f aca="false">ABS(D444)+MAX(ABS(G444),ABS(H444))+MAX(ABS(I444),ABS(J444))</f>
        <v>0.11</v>
      </c>
      <c r="S444" s="18" t="n">
        <f aca="false">ABS(K444)+MAX(ABS(N444),ABS(O444))+MAX(ABS(P444),ABS(Q444))</f>
        <v>0.09</v>
      </c>
      <c r="T444" s="18" t="n">
        <f aca="false">MAX(ABS(E444),ABS(F444))</f>
        <v>0.01</v>
      </c>
      <c r="U444" s="18" t="n">
        <f aca="false">MAX(ABS(L444),ABS(M444))</f>
        <v>0.01</v>
      </c>
    </row>
    <row r="445" customFormat="false" ht="15" hidden="false" customHeight="false" outlineLevel="0" collapsed="false">
      <c r="A445" s="4" t="n">
        <v>313</v>
      </c>
      <c r="B445" s="4" t="n">
        <v>90</v>
      </c>
      <c r="C445" s="18" t="n">
        <v>0</v>
      </c>
      <c r="D445" s="21" t="n">
        <v>0</v>
      </c>
      <c r="E445" s="21" t="n">
        <v>0.03</v>
      </c>
      <c r="F445" s="21" t="n">
        <v>0.02</v>
      </c>
      <c r="G445" s="21" t="n">
        <v>-0.05</v>
      </c>
      <c r="H445" s="21" t="n">
        <v>0.05</v>
      </c>
      <c r="I445" s="21" t="n">
        <v>0.07</v>
      </c>
      <c r="J445" s="21" t="n">
        <v>-0.07</v>
      </c>
      <c r="K445" s="21" t="n">
        <v>0</v>
      </c>
      <c r="L445" s="21" t="n">
        <v>0.04</v>
      </c>
      <c r="M445" s="21" t="n">
        <v>0.02</v>
      </c>
      <c r="N445" s="21" t="n">
        <v>-0.06</v>
      </c>
      <c r="O445" s="21" t="n">
        <v>0.06</v>
      </c>
      <c r="P445" s="21" t="n">
        <v>0.1</v>
      </c>
      <c r="Q445" s="21" t="n">
        <v>-0.1</v>
      </c>
      <c r="R445" s="18" t="n">
        <f aca="false">ABS(D445)+MAX(ABS(G445),ABS(H445))+MAX(ABS(I445),ABS(J445))</f>
        <v>0.12</v>
      </c>
      <c r="S445" s="18" t="n">
        <f aca="false">ABS(K445)+MAX(ABS(N445),ABS(O445))+MAX(ABS(P445),ABS(Q445))</f>
        <v>0.16</v>
      </c>
      <c r="T445" s="18" t="n">
        <f aca="false">MAX(ABS(E445),ABS(F445))</f>
        <v>0.03</v>
      </c>
      <c r="U445" s="18" t="n">
        <f aca="false">MAX(ABS(L445),ABS(M445))</f>
        <v>0.04</v>
      </c>
    </row>
    <row r="446" customFormat="false" ht="15" hidden="false" customHeight="false" outlineLevel="0" collapsed="false">
      <c r="A446" s="4" t="n">
        <v>313</v>
      </c>
      <c r="B446" s="4" t="n">
        <v>90</v>
      </c>
      <c r="C446" s="18" t="n">
        <v>0.25</v>
      </c>
      <c r="D446" s="21" t="n">
        <v>0</v>
      </c>
      <c r="E446" s="21" t="n">
        <v>0.03</v>
      </c>
      <c r="F446" s="21" t="n">
        <v>0.02</v>
      </c>
      <c r="G446" s="21" t="n">
        <v>-0.02</v>
      </c>
      <c r="H446" s="21" t="n">
        <v>0.02</v>
      </c>
      <c r="I446" s="21" t="n">
        <v>0.03</v>
      </c>
      <c r="J446" s="21" t="n">
        <v>-0.03</v>
      </c>
      <c r="K446" s="21" t="n">
        <v>0</v>
      </c>
      <c r="L446" s="21" t="n">
        <v>0.04</v>
      </c>
      <c r="M446" s="21" t="n">
        <v>0.02</v>
      </c>
      <c r="N446" s="21" t="n">
        <v>-0.03</v>
      </c>
      <c r="O446" s="21" t="n">
        <v>0.03</v>
      </c>
      <c r="P446" s="21" t="n">
        <v>0.05</v>
      </c>
      <c r="Q446" s="21" t="n">
        <v>-0.05</v>
      </c>
      <c r="R446" s="18" t="n">
        <f aca="false">ABS(D446)+MAX(ABS(G446),ABS(H446))+MAX(ABS(I446),ABS(J446))</f>
        <v>0.05</v>
      </c>
      <c r="S446" s="18" t="n">
        <f aca="false">ABS(K446)+MAX(ABS(N446),ABS(O446))+MAX(ABS(P446),ABS(Q446))</f>
        <v>0.08</v>
      </c>
      <c r="T446" s="18" t="n">
        <f aca="false">MAX(ABS(E446),ABS(F446))</f>
        <v>0.03</v>
      </c>
      <c r="U446" s="18" t="n">
        <f aca="false">MAX(ABS(L446),ABS(M446))</f>
        <v>0.04</v>
      </c>
    </row>
    <row r="447" customFormat="false" ht="15" hidden="false" customHeight="false" outlineLevel="0" collapsed="false">
      <c r="A447" s="4" t="n">
        <v>313</v>
      </c>
      <c r="B447" s="4" t="n">
        <v>90</v>
      </c>
      <c r="C447" s="18" t="n">
        <v>0.5</v>
      </c>
      <c r="D447" s="21" t="n">
        <v>0</v>
      </c>
      <c r="E447" s="21" t="n">
        <v>0.03</v>
      </c>
      <c r="F447" s="21" t="n">
        <v>0.02</v>
      </c>
      <c r="G447" s="21" t="n">
        <v>0</v>
      </c>
      <c r="H447" s="21" t="n">
        <v>0</v>
      </c>
      <c r="I447" s="21" t="n">
        <v>-0.01</v>
      </c>
      <c r="J447" s="21" t="n">
        <v>0.01</v>
      </c>
      <c r="K447" s="21" t="n">
        <v>0</v>
      </c>
      <c r="L447" s="21" t="n">
        <v>0.04</v>
      </c>
      <c r="M447" s="21" t="n">
        <v>0.02</v>
      </c>
      <c r="N447" s="21" t="n">
        <v>0</v>
      </c>
      <c r="O447" s="21" t="n">
        <v>0</v>
      </c>
      <c r="P447" s="21" t="n">
        <v>0</v>
      </c>
      <c r="Q447" s="21" t="n">
        <v>0</v>
      </c>
      <c r="R447" s="18" t="n">
        <f aca="false">ABS(D447)+MAX(ABS(G447),ABS(H447))+MAX(ABS(I447),ABS(J447))</f>
        <v>0.01</v>
      </c>
      <c r="S447" s="18" t="n">
        <f aca="false">ABS(K447)+MAX(ABS(N447),ABS(O447))+MAX(ABS(P447),ABS(Q447))</f>
        <v>0</v>
      </c>
      <c r="T447" s="18" t="n">
        <f aca="false">MAX(ABS(E447),ABS(F447))</f>
        <v>0.03</v>
      </c>
      <c r="U447" s="18" t="n">
        <f aca="false">MAX(ABS(L447),ABS(M447))</f>
        <v>0.04</v>
      </c>
    </row>
    <row r="448" customFormat="false" ht="15" hidden="false" customHeight="false" outlineLevel="0" collapsed="false">
      <c r="A448" s="4" t="n">
        <v>313</v>
      </c>
      <c r="B448" s="4" t="n">
        <v>90</v>
      </c>
      <c r="C448" s="18" t="n">
        <v>0.75</v>
      </c>
      <c r="D448" s="21" t="n">
        <v>0</v>
      </c>
      <c r="E448" s="21" t="n">
        <v>0.03</v>
      </c>
      <c r="F448" s="21" t="n">
        <v>0.02</v>
      </c>
      <c r="G448" s="21" t="n">
        <v>0.03</v>
      </c>
      <c r="H448" s="21" t="n">
        <v>-0.03</v>
      </c>
      <c r="I448" s="21" t="n">
        <v>-0.05</v>
      </c>
      <c r="J448" s="21" t="n">
        <v>0.05</v>
      </c>
      <c r="K448" s="21" t="n">
        <v>0</v>
      </c>
      <c r="L448" s="21" t="n">
        <v>0.04</v>
      </c>
      <c r="M448" s="21" t="n">
        <v>0.02</v>
      </c>
      <c r="N448" s="21" t="n">
        <v>0.03</v>
      </c>
      <c r="O448" s="21" t="n">
        <v>-0.03</v>
      </c>
      <c r="P448" s="21" t="n">
        <v>-0.05</v>
      </c>
      <c r="Q448" s="21" t="n">
        <v>0.05</v>
      </c>
      <c r="R448" s="18" t="n">
        <f aca="false">ABS(D448)+MAX(ABS(G448),ABS(H448))+MAX(ABS(I448),ABS(J448))</f>
        <v>0.08</v>
      </c>
      <c r="S448" s="18" t="n">
        <f aca="false">ABS(K448)+MAX(ABS(N448),ABS(O448))+MAX(ABS(P448),ABS(Q448))</f>
        <v>0.08</v>
      </c>
      <c r="T448" s="18" t="n">
        <f aca="false">MAX(ABS(E448),ABS(F448))</f>
        <v>0.03</v>
      </c>
      <c r="U448" s="18" t="n">
        <f aca="false">MAX(ABS(L448),ABS(M448))</f>
        <v>0.04</v>
      </c>
    </row>
    <row r="449" customFormat="false" ht="15" hidden="false" customHeight="false" outlineLevel="0" collapsed="false">
      <c r="A449" s="4" t="n">
        <v>313</v>
      </c>
      <c r="B449" s="4" t="n">
        <v>90</v>
      </c>
      <c r="C449" s="18" t="n">
        <v>1</v>
      </c>
      <c r="D449" s="21" t="n">
        <v>0</v>
      </c>
      <c r="E449" s="21" t="n">
        <v>0.03</v>
      </c>
      <c r="F449" s="21" t="n">
        <v>0.02</v>
      </c>
      <c r="G449" s="21" t="n">
        <v>0.06</v>
      </c>
      <c r="H449" s="21" t="n">
        <v>-0.06</v>
      </c>
      <c r="I449" s="21" t="n">
        <v>-0.09</v>
      </c>
      <c r="J449" s="21" t="n">
        <v>0.09</v>
      </c>
      <c r="K449" s="21" t="n">
        <v>0</v>
      </c>
      <c r="L449" s="21" t="n">
        <v>0.04</v>
      </c>
      <c r="M449" s="21" t="n">
        <v>0.02</v>
      </c>
      <c r="N449" s="21" t="n">
        <v>0.06</v>
      </c>
      <c r="O449" s="21" t="n">
        <v>-0.06</v>
      </c>
      <c r="P449" s="21" t="n">
        <v>-0.1</v>
      </c>
      <c r="Q449" s="21" t="n">
        <v>0.1</v>
      </c>
      <c r="R449" s="18" t="n">
        <f aca="false">ABS(D449)+MAX(ABS(G449),ABS(H449))+MAX(ABS(I449),ABS(J449))</f>
        <v>0.15</v>
      </c>
      <c r="S449" s="18" t="n">
        <f aca="false">ABS(K449)+MAX(ABS(N449),ABS(O449))+MAX(ABS(P449),ABS(Q449))</f>
        <v>0.16</v>
      </c>
      <c r="T449" s="18" t="n">
        <f aca="false">MAX(ABS(E449),ABS(F449))</f>
        <v>0.03</v>
      </c>
      <c r="U449" s="18" t="n">
        <f aca="false">MAX(ABS(L449),ABS(M449))</f>
        <v>0.04</v>
      </c>
    </row>
    <row r="450" customFormat="false" ht="15" hidden="false" customHeight="false" outlineLevel="0" collapsed="false">
      <c r="A450" s="4" t="n">
        <v>314</v>
      </c>
      <c r="B450" s="4" t="n">
        <v>91</v>
      </c>
      <c r="C450" s="18" t="n">
        <v>0</v>
      </c>
      <c r="D450" s="21" t="n">
        <v>0</v>
      </c>
      <c r="E450" s="21" t="n">
        <v>0.07</v>
      </c>
      <c r="F450" s="21" t="n">
        <v>0.02</v>
      </c>
      <c r="G450" s="21" t="n">
        <v>0.05</v>
      </c>
      <c r="H450" s="21" t="n">
        <v>-0.05</v>
      </c>
      <c r="I450" s="21" t="n">
        <v>-0.09</v>
      </c>
      <c r="J450" s="21" t="n">
        <v>0.09</v>
      </c>
      <c r="K450" s="21" t="n">
        <v>0</v>
      </c>
      <c r="L450" s="21" t="n">
        <v>0.08</v>
      </c>
      <c r="M450" s="21" t="n">
        <v>0.02</v>
      </c>
      <c r="N450" s="21" t="n">
        <v>0.05</v>
      </c>
      <c r="O450" s="21" t="n">
        <v>-0.05</v>
      </c>
      <c r="P450" s="21" t="n">
        <v>-0.09</v>
      </c>
      <c r="Q450" s="21" t="n">
        <v>0.09</v>
      </c>
      <c r="R450" s="18" t="n">
        <f aca="false">ABS(D450)+MAX(ABS(G450),ABS(H450))+MAX(ABS(I450),ABS(J450))</f>
        <v>0.14</v>
      </c>
      <c r="S450" s="18" t="n">
        <f aca="false">ABS(K450)+MAX(ABS(N450),ABS(O450))+MAX(ABS(P450),ABS(Q450))</f>
        <v>0.14</v>
      </c>
      <c r="T450" s="18" t="n">
        <f aca="false">MAX(ABS(E450),ABS(F450))</f>
        <v>0.07</v>
      </c>
      <c r="U450" s="18" t="n">
        <f aca="false">MAX(ABS(L450),ABS(M450))</f>
        <v>0.08</v>
      </c>
    </row>
    <row r="451" customFormat="false" ht="15" hidden="false" customHeight="false" outlineLevel="0" collapsed="false">
      <c r="A451" s="4" t="n">
        <v>314</v>
      </c>
      <c r="B451" s="4" t="n">
        <v>91</v>
      </c>
      <c r="C451" s="18" t="n">
        <v>0.25</v>
      </c>
      <c r="D451" s="21" t="n">
        <v>0</v>
      </c>
      <c r="E451" s="21" t="n">
        <v>0.07</v>
      </c>
      <c r="F451" s="21" t="n">
        <v>0.02</v>
      </c>
      <c r="G451" s="21" t="n">
        <v>0.08</v>
      </c>
      <c r="H451" s="21" t="n">
        <v>-0.08</v>
      </c>
      <c r="I451" s="21" t="n">
        <v>-0.11</v>
      </c>
      <c r="J451" s="21" t="n">
        <v>0.11</v>
      </c>
      <c r="K451" s="21" t="n">
        <v>0</v>
      </c>
      <c r="L451" s="21" t="n">
        <v>0.08</v>
      </c>
      <c r="M451" s="21" t="n">
        <v>0.02</v>
      </c>
      <c r="N451" s="21" t="n">
        <v>0.08</v>
      </c>
      <c r="O451" s="21" t="n">
        <v>-0.08</v>
      </c>
      <c r="P451" s="21" t="n">
        <v>-0.12</v>
      </c>
      <c r="Q451" s="21" t="n">
        <v>0.12</v>
      </c>
      <c r="R451" s="18" t="n">
        <f aca="false">ABS(D451)+MAX(ABS(G451),ABS(H451))+MAX(ABS(I451),ABS(J451))</f>
        <v>0.19</v>
      </c>
      <c r="S451" s="18" t="n">
        <f aca="false">ABS(K451)+MAX(ABS(N451),ABS(O451))+MAX(ABS(P451),ABS(Q451))</f>
        <v>0.2</v>
      </c>
      <c r="T451" s="18" t="n">
        <f aca="false">MAX(ABS(E451),ABS(F451))</f>
        <v>0.07</v>
      </c>
      <c r="U451" s="18" t="n">
        <f aca="false">MAX(ABS(L451),ABS(M451))</f>
        <v>0.08</v>
      </c>
    </row>
    <row r="452" customFormat="false" ht="15" hidden="false" customHeight="false" outlineLevel="0" collapsed="false">
      <c r="A452" s="4" t="n">
        <v>314</v>
      </c>
      <c r="B452" s="4" t="n">
        <v>91</v>
      </c>
      <c r="C452" s="18" t="n">
        <v>0.5</v>
      </c>
      <c r="D452" s="21" t="n">
        <v>0</v>
      </c>
      <c r="E452" s="21" t="n">
        <v>0.07</v>
      </c>
      <c r="F452" s="21" t="n">
        <v>0.02</v>
      </c>
      <c r="G452" s="21" t="n">
        <v>0.11</v>
      </c>
      <c r="H452" s="21" t="n">
        <v>-0.11</v>
      </c>
      <c r="I452" s="21" t="n">
        <v>-0.13</v>
      </c>
      <c r="J452" s="21" t="n">
        <v>0.13</v>
      </c>
      <c r="K452" s="21" t="n">
        <v>0</v>
      </c>
      <c r="L452" s="21" t="n">
        <v>0.08</v>
      </c>
      <c r="M452" s="21" t="n">
        <v>0.02</v>
      </c>
      <c r="N452" s="21" t="n">
        <v>0.11</v>
      </c>
      <c r="O452" s="21" t="n">
        <v>-0.11</v>
      </c>
      <c r="P452" s="21" t="n">
        <v>-0.14</v>
      </c>
      <c r="Q452" s="21" t="n">
        <v>0.14</v>
      </c>
      <c r="R452" s="18" t="n">
        <f aca="false">ABS(D452)+MAX(ABS(G452),ABS(H452))+MAX(ABS(I452),ABS(J452))</f>
        <v>0.24</v>
      </c>
      <c r="S452" s="18" t="n">
        <f aca="false">ABS(K452)+MAX(ABS(N452),ABS(O452))+MAX(ABS(P452),ABS(Q452))</f>
        <v>0.25</v>
      </c>
      <c r="T452" s="18" t="n">
        <f aca="false">MAX(ABS(E452),ABS(F452))</f>
        <v>0.07</v>
      </c>
      <c r="U452" s="18" t="n">
        <f aca="false">MAX(ABS(L452),ABS(M452))</f>
        <v>0.08</v>
      </c>
    </row>
    <row r="453" customFormat="false" ht="15" hidden="false" customHeight="false" outlineLevel="0" collapsed="false">
      <c r="A453" s="4" t="n">
        <v>314</v>
      </c>
      <c r="B453" s="4" t="n">
        <v>91</v>
      </c>
      <c r="C453" s="18" t="n">
        <v>0.75</v>
      </c>
      <c r="D453" s="21" t="n">
        <v>0</v>
      </c>
      <c r="E453" s="21" t="n">
        <v>0.07</v>
      </c>
      <c r="F453" s="21" t="n">
        <v>0.02</v>
      </c>
      <c r="G453" s="21" t="n">
        <v>0.13</v>
      </c>
      <c r="H453" s="21" t="n">
        <v>-0.13</v>
      </c>
      <c r="I453" s="21" t="n">
        <v>-0.15</v>
      </c>
      <c r="J453" s="21" t="n">
        <v>0.15</v>
      </c>
      <c r="K453" s="21" t="n">
        <v>0</v>
      </c>
      <c r="L453" s="21" t="n">
        <v>0.08</v>
      </c>
      <c r="M453" s="21" t="n">
        <v>0.02</v>
      </c>
      <c r="N453" s="21" t="n">
        <v>0.14</v>
      </c>
      <c r="O453" s="21" t="n">
        <v>-0.14</v>
      </c>
      <c r="P453" s="21" t="n">
        <v>-0.16</v>
      </c>
      <c r="Q453" s="21" t="n">
        <v>0.16</v>
      </c>
      <c r="R453" s="18" t="n">
        <f aca="false">ABS(D453)+MAX(ABS(G453),ABS(H453))+MAX(ABS(I453),ABS(J453))</f>
        <v>0.28</v>
      </c>
      <c r="S453" s="18" t="n">
        <f aca="false">ABS(K453)+MAX(ABS(N453),ABS(O453))+MAX(ABS(P453),ABS(Q453))</f>
        <v>0.3</v>
      </c>
      <c r="T453" s="18" t="n">
        <f aca="false">MAX(ABS(E453),ABS(F453))</f>
        <v>0.07</v>
      </c>
      <c r="U453" s="18" t="n">
        <f aca="false">MAX(ABS(L453),ABS(M453))</f>
        <v>0.08</v>
      </c>
    </row>
    <row r="454" customFormat="false" ht="15" hidden="false" customHeight="false" outlineLevel="0" collapsed="false">
      <c r="A454" s="4" t="n">
        <v>314</v>
      </c>
      <c r="B454" s="4" t="n">
        <v>91</v>
      </c>
      <c r="C454" s="18" t="n">
        <v>1</v>
      </c>
      <c r="D454" s="21" t="n">
        <v>0</v>
      </c>
      <c r="E454" s="21" t="n">
        <v>0.07</v>
      </c>
      <c r="F454" s="21" t="n">
        <v>0.02</v>
      </c>
      <c r="G454" s="21" t="n">
        <v>0.16</v>
      </c>
      <c r="H454" s="21" t="n">
        <v>-0.16</v>
      </c>
      <c r="I454" s="21" t="n">
        <v>-0.17</v>
      </c>
      <c r="J454" s="21" t="n">
        <v>0.17</v>
      </c>
      <c r="K454" s="21" t="n">
        <v>0</v>
      </c>
      <c r="L454" s="21" t="n">
        <v>0.08</v>
      </c>
      <c r="M454" s="21" t="n">
        <v>0.02</v>
      </c>
      <c r="N454" s="21" t="n">
        <v>0.17</v>
      </c>
      <c r="O454" s="21" t="n">
        <v>-0.17</v>
      </c>
      <c r="P454" s="21" t="n">
        <v>-0.18</v>
      </c>
      <c r="Q454" s="21" t="n">
        <v>0.18</v>
      </c>
      <c r="R454" s="18" t="n">
        <f aca="false">ABS(D454)+MAX(ABS(G454),ABS(H454))+MAX(ABS(I454),ABS(J454))</f>
        <v>0.33</v>
      </c>
      <c r="S454" s="18" t="n">
        <f aca="false">ABS(K454)+MAX(ABS(N454),ABS(O454))+MAX(ABS(P454),ABS(Q454))</f>
        <v>0.35</v>
      </c>
      <c r="T454" s="18" t="n">
        <f aca="false">MAX(ABS(E454),ABS(F454))</f>
        <v>0.07</v>
      </c>
      <c r="U454" s="18" t="n">
        <f aca="false">MAX(ABS(L454),ABS(M454))</f>
        <v>0.08</v>
      </c>
    </row>
    <row r="455" customFormat="false" ht="15" hidden="false" customHeight="false" outlineLevel="0" collapsed="false">
      <c r="A455" s="4" t="n">
        <v>315</v>
      </c>
      <c r="B455" s="4" t="n">
        <v>92</v>
      </c>
      <c r="C455" s="18" t="n">
        <v>0</v>
      </c>
      <c r="D455" s="21" t="n">
        <v>0</v>
      </c>
      <c r="E455" s="21" t="n">
        <v>0</v>
      </c>
      <c r="F455" s="21" t="n">
        <v>0</v>
      </c>
      <c r="G455" s="21" t="n">
        <v>0</v>
      </c>
      <c r="H455" s="21" t="n">
        <v>0</v>
      </c>
      <c r="I455" s="21" t="n">
        <v>0</v>
      </c>
      <c r="J455" s="21" t="n">
        <v>0</v>
      </c>
      <c r="K455" s="21" t="n">
        <v>0</v>
      </c>
      <c r="L455" s="21" t="n">
        <v>0</v>
      </c>
      <c r="M455" s="21" t="n">
        <v>0</v>
      </c>
      <c r="N455" s="21" t="n">
        <v>0</v>
      </c>
      <c r="O455" s="21" t="n">
        <v>0</v>
      </c>
      <c r="P455" s="21" t="n">
        <v>0</v>
      </c>
      <c r="Q455" s="21" t="n">
        <v>0</v>
      </c>
      <c r="R455" s="18" t="n">
        <f aca="false">ABS(D455)+MAX(ABS(G455),ABS(H455))+MAX(ABS(I455),ABS(J455))</f>
        <v>0</v>
      </c>
      <c r="S455" s="18" t="n">
        <f aca="false">ABS(K455)+MAX(ABS(N455),ABS(O455))+MAX(ABS(P455),ABS(Q455))</f>
        <v>0</v>
      </c>
      <c r="T455" s="18" t="n">
        <f aca="false">MAX(ABS(E455),ABS(F455))</f>
        <v>0</v>
      </c>
      <c r="U455" s="18" t="n">
        <f aca="false">MAX(ABS(L455),ABS(M455))</f>
        <v>0</v>
      </c>
    </row>
    <row r="456" customFormat="false" ht="15" hidden="false" customHeight="false" outlineLevel="0" collapsed="false">
      <c r="A456" s="4" t="n">
        <v>315</v>
      </c>
      <c r="B456" s="4" t="n">
        <v>92</v>
      </c>
      <c r="C456" s="18" t="n">
        <v>0.25</v>
      </c>
      <c r="D456" s="21" t="n">
        <v>0</v>
      </c>
      <c r="E456" s="21" t="n">
        <v>0</v>
      </c>
      <c r="F456" s="21" t="n">
        <v>0</v>
      </c>
      <c r="G456" s="21" t="n">
        <v>0</v>
      </c>
      <c r="H456" s="21" t="n">
        <v>0</v>
      </c>
      <c r="I456" s="21" t="n">
        <v>0</v>
      </c>
      <c r="J456" s="21" t="n">
        <v>0</v>
      </c>
      <c r="K456" s="21" t="n">
        <v>0</v>
      </c>
      <c r="L456" s="21" t="n">
        <v>0</v>
      </c>
      <c r="M456" s="21" t="n">
        <v>0</v>
      </c>
      <c r="N456" s="21" t="n">
        <v>0</v>
      </c>
      <c r="O456" s="21" t="n">
        <v>0</v>
      </c>
      <c r="P456" s="21" t="n">
        <v>0</v>
      </c>
      <c r="Q456" s="21" t="n">
        <v>0</v>
      </c>
      <c r="R456" s="18" t="n">
        <f aca="false">ABS(D456)+MAX(ABS(G456),ABS(H456))+MAX(ABS(I456),ABS(J456))</f>
        <v>0</v>
      </c>
      <c r="S456" s="18" t="n">
        <f aca="false">ABS(K456)+MAX(ABS(N456),ABS(O456))+MAX(ABS(P456),ABS(Q456))</f>
        <v>0</v>
      </c>
      <c r="T456" s="18" t="n">
        <f aca="false">MAX(ABS(E456),ABS(F456))</f>
        <v>0</v>
      </c>
      <c r="U456" s="18" t="n">
        <f aca="false">MAX(ABS(L456),ABS(M456))</f>
        <v>0</v>
      </c>
    </row>
    <row r="457" customFormat="false" ht="15" hidden="false" customHeight="false" outlineLevel="0" collapsed="false">
      <c r="A457" s="4" t="n">
        <v>315</v>
      </c>
      <c r="B457" s="4" t="n">
        <v>92</v>
      </c>
      <c r="C457" s="18" t="n">
        <v>0.5</v>
      </c>
      <c r="D457" s="21" t="n">
        <v>0</v>
      </c>
      <c r="E457" s="21" t="n">
        <v>0</v>
      </c>
      <c r="F457" s="21" t="n">
        <v>0</v>
      </c>
      <c r="G457" s="21" t="n">
        <v>0</v>
      </c>
      <c r="H457" s="21" t="n">
        <v>0</v>
      </c>
      <c r="I457" s="21" t="n">
        <v>0</v>
      </c>
      <c r="J457" s="21" t="n">
        <v>0</v>
      </c>
      <c r="K457" s="21" t="n">
        <v>0</v>
      </c>
      <c r="L457" s="21" t="n">
        <v>0</v>
      </c>
      <c r="M457" s="21" t="n">
        <v>0</v>
      </c>
      <c r="N457" s="21" t="n">
        <v>0</v>
      </c>
      <c r="O457" s="21" t="n">
        <v>0</v>
      </c>
      <c r="P457" s="21" t="n">
        <v>0</v>
      </c>
      <c r="Q457" s="21" t="n">
        <v>0</v>
      </c>
      <c r="R457" s="18" t="n">
        <f aca="false">ABS(D457)+MAX(ABS(G457),ABS(H457))+MAX(ABS(I457),ABS(J457))</f>
        <v>0</v>
      </c>
      <c r="S457" s="18" t="n">
        <f aca="false">ABS(K457)+MAX(ABS(N457),ABS(O457))+MAX(ABS(P457),ABS(Q457))</f>
        <v>0</v>
      </c>
      <c r="T457" s="18" t="n">
        <f aca="false">MAX(ABS(E457),ABS(F457))</f>
        <v>0</v>
      </c>
      <c r="U457" s="18" t="n">
        <f aca="false">MAX(ABS(L457),ABS(M457))</f>
        <v>0</v>
      </c>
    </row>
    <row r="458" customFormat="false" ht="15" hidden="false" customHeight="false" outlineLevel="0" collapsed="false">
      <c r="A458" s="4" t="n">
        <v>315</v>
      </c>
      <c r="B458" s="4" t="n">
        <v>92</v>
      </c>
      <c r="C458" s="18" t="n">
        <v>0.75</v>
      </c>
      <c r="D458" s="21" t="n">
        <v>0</v>
      </c>
      <c r="E458" s="21" t="n">
        <v>0</v>
      </c>
      <c r="F458" s="21" t="n">
        <v>0</v>
      </c>
      <c r="G458" s="21" t="n">
        <v>0</v>
      </c>
      <c r="H458" s="21" t="n">
        <v>0</v>
      </c>
      <c r="I458" s="21" t="n">
        <v>0</v>
      </c>
      <c r="J458" s="21" t="n">
        <v>0</v>
      </c>
      <c r="K458" s="21" t="n">
        <v>0</v>
      </c>
      <c r="L458" s="21" t="n">
        <v>0</v>
      </c>
      <c r="M458" s="21" t="n">
        <v>0</v>
      </c>
      <c r="N458" s="21" t="n">
        <v>0</v>
      </c>
      <c r="O458" s="21" t="n">
        <v>0</v>
      </c>
      <c r="P458" s="21" t="n">
        <v>0</v>
      </c>
      <c r="Q458" s="21" t="n">
        <v>0</v>
      </c>
      <c r="R458" s="18" t="n">
        <f aca="false">ABS(D458)+MAX(ABS(G458),ABS(H458))+MAX(ABS(I458),ABS(J458))</f>
        <v>0</v>
      </c>
      <c r="S458" s="18" t="n">
        <f aca="false">ABS(K458)+MAX(ABS(N458),ABS(O458))+MAX(ABS(P458),ABS(Q458))</f>
        <v>0</v>
      </c>
      <c r="T458" s="18" t="n">
        <f aca="false">MAX(ABS(E458),ABS(F458))</f>
        <v>0</v>
      </c>
      <c r="U458" s="18" t="n">
        <f aca="false">MAX(ABS(L458),ABS(M458))</f>
        <v>0</v>
      </c>
    </row>
    <row r="459" customFormat="false" ht="15" hidden="false" customHeight="false" outlineLevel="0" collapsed="false">
      <c r="A459" s="4" t="n">
        <v>315</v>
      </c>
      <c r="B459" s="4" t="n">
        <v>92</v>
      </c>
      <c r="C459" s="18" t="n">
        <v>1</v>
      </c>
      <c r="D459" s="21" t="n">
        <v>0</v>
      </c>
      <c r="E459" s="21" t="n">
        <v>0</v>
      </c>
      <c r="F459" s="21" t="n">
        <v>0</v>
      </c>
      <c r="G459" s="21" t="n">
        <v>0</v>
      </c>
      <c r="H459" s="21" t="n">
        <v>0</v>
      </c>
      <c r="I459" s="21" t="n">
        <v>0</v>
      </c>
      <c r="J459" s="21" t="n">
        <v>0</v>
      </c>
      <c r="K459" s="21" t="n">
        <v>0</v>
      </c>
      <c r="L459" s="21" t="n">
        <v>0</v>
      </c>
      <c r="M459" s="21" t="n">
        <v>0</v>
      </c>
      <c r="N459" s="21" t="n">
        <v>0</v>
      </c>
      <c r="O459" s="21" t="n">
        <v>0</v>
      </c>
      <c r="P459" s="21" t="n">
        <v>0</v>
      </c>
      <c r="Q459" s="21" t="n">
        <v>0</v>
      </c>
      <c r="R459" s="18" t="n">
        <f aca="false">ABS(D459)+MAX(ABS(G459),ABS(H459))+MAX(ABS(I459),ABS(J459))</f>
        <v>0</v>
      </c>
      <c r="S459" s="18" t="n">
        <f aca="false">ABS(K459)+MAX(ABS(N459),ABS(O459))+MAX(ABS(P459),ABS(Q459))</f>
        <v>0</v>
      </c>
      <c r="T459" s="18" t="n">
        <f aca="false">MAX(ABS(E459),ABS(F459))</f>
        <v>0</v>
      </c>
      <c r="U459" s="18" t="n">
        <f aca="false">MAX(ABS(L459),ABS(M459))</f>
        <v>0</v>
      </c>
    </row>
    <row r="460" customFormat="false" ht="15" hidden="false" customHeight="false" outlineLevel="0" collapsed="false">
      <c r="A460" s="4" t="n">
        <v>316</v>
      </c>
      <c r="B460" s="4" t="n">
        <v>93</v>
      </c>
      <c r="C460" s="18" t="n">
        <v>0</v>
      </c>
      <c r="D460" s="21" t="n">
        <v>0</v>
      </c>
      <c r="E460" s="21" t="n">
        <v>0</v>
      </c>
      <c r="F460" s="21" t="n">
        <v>0</v>
      </c>
      <c r="G460" s="21" t="n">
        <v>0</v>
      </c>
      <c r="H460" s="21" t="n">
        <v>0</v>
      </c>
      <c r="I460" s="21" t="n">
        <v>0</v>
      </c>
      <c r="J460" s="21" t="n">
        <v>0</v>
      </c>
      <c r="K460" s="21" t="n">
        <v>0</v>
      </c>
      <c r="L460" s="21" t="n">
        <v>0</v>
      </c>
      <c r="M460" s="21" t="n">
        <v>0</v>
      </c>
      <c r="N460" s="21" t="n">
        <v>0</v>
      </c>
      <c r="O460" s="21" t="n">
        <v>0</v>
      </c>
      <c r="P460" s="21" t="n">
        <v>0</v>
      </c>
      <c r="Q460" s="21" t="n">
        <v>0</v>
      </c>
      <c r="R460" s="18" t="n">
        <f aca="false">ABS(D460)+MAX(ABS(G460),ABS(H460))+MAX(ABS(I460),ABS(J460))</f>
        <v>0</v>
      </c>
      <c r="S460" s="18" t="n">
        <f aca="false">ABS(K460)+MAX(ABS(N460),ABS(O460))+MAX(ABS(P460),ABS(Q460))</f>
        <v>0</v>
      </c>
      <c r="T460" s="18" t="n">
        <f aca="false">MAX(ABS(E460),ABS(F460))</f>
        <v>0</v>
      </c>
      <c r="U460" s="18" t="n">
        <f aca="false">MAX(ABS(L460),ABS(M460))</f>
        <v>0</v>
      </c>
    </row>
    <row r="461" customFormat="false" ht="15" hidden="false" customHeight="false" outlineLevel="0" collapsed="false">
      <c r="A461" s="4" t="n">
        <v>316</v>
      </c>
      <c r="B461" s="4" t="n">
        <v>93</v>
      </c>
      <c r="C461" s="18" t="n">
        <v>0.25</v>
      </c>
      <c r="D461" s="21" t="n">
        <v>0</v>
      </c>
      <c r="E461" s="21" t="n">
        <v>0</v>
      </c>
      <c r="F461" s="21" t="n">
        <v>0</v>
      </c>
      <c r="G461" s="21" t="n">
        <v>0</v>
      </c>
      <c r="H461" s="21" t="n">
        <v>0</v>
      </c>
      <c r="I461" s="21" t="n">
        <v>0</v>
      </c>
      <c r="J461" s="21" t="n">
        <v>0</v>
      </c>
      <c r="K461" s="21" t="n">
        <v>0</v>
      </c>
      <c r="L461" s="21" t="n">
        <v>0</v>
      </c>
      <c r="M461" s="21" t="n">
        <v>0</v>
      </c>
      <c r="N461" s="21" t="n">
        <v>0</v>
      </c>
      <c r="O461" s="21" t="n">
        <v>0</v>
      </c>
      <c r="P461" s="21" t="n">
        <v>0</v>
      </c>
      <c r="Q461" s="21" t="n">
        <v>0</v>
      </c>
      <c r="R461" s="18" t="n">
        <f aca="false">ABS(D461)+MAX(ABS(G461),ABS(H461))+MAX(ABS(I461),ABS(J461))</f>
        <v>0</v>
      </c>
      <c r="S461" s="18" t="n">
        <f aca="false">ABS(K461)+MAX(ABS(N461),ABS(O461))+MAX(ABS(P461),ABS(Q461))</f>
        <v>0</v>
      </c>
      <c r="T461" s="18" t="n">
        <f aca="false">MAX(ABS(E461),ABS(F461))</f>
        <v>0</v>
      </c>
      <c r="U461" s="18" t="n">
        <f aca="false">MAX(ABS(L461),ABS(M461))</f>
        <v>0</v>
      </c>
    </row>
    <row r="462" customFormat="false" ht="15" hidden="false" customHeight="false" outlineLevel="0" collapsed="false">
      <c r="A462" s="4" t="n">
        <v>316</v>
      </c>
      <c r="B462" s="4" t="n">
        <v>93</v>
      </c>
      <c r="C462" s="18" t="n">
        <v>0.5</v>
      </c>
      <c r="D462" s="21" t="n">
        <v>0</v>
      </c>
      <c r="E462" s="21" t="n">
        <v>0</v>
      </c>
      <c r="F462" s="21" t="n">
        <v>0</v>
      </c>
      <c r="G462" s="21" t="n">
        <v>0</v>
      </c>
      <c r="H462" s="21" t="n">
        <v>0</v>
      </c>
      <c r="I462" s="21" t="n">
        <v>0</v>
      </c>
      <c r="J462" s="21" t="n">
        <v>0</v>
      </c>
      <c r="K462" s="21" t="n">
        <v>0</v>
      </c>
      <c r="L462" s="21" t="n">
        <v>0</v>
      </c>
      <c r="M462" s="21" t="n">
        <v>0</v>
      </c>
      <c r="N462" s="21" t="n">
        <v>0</v>
      </c>
      <c r="O462" s="21" t="n">
        <v>0</v>
      </c>
      <c r="P462" s="21" t="n">
        <v>0</v>
      </c>
      <c r="Q462" s="21" t="n">
        <v>0</v>
      </c>
      <c r="R462" s="18" t="n">
        <f aca="false">ABS(D462)+MAX(ABS(G462),ABS(H462))+MAX(ABS(I462),ABS(J462))</f>
        <v>0</v>
      </c>
      <c r="S462" s="18" t="n">
        <f aca="false">ABS(K462)+MAX(ABS(N462),ABS(O462))+MAX(ABS(P462),ABS(Q462))</f>
        <v>0</v>
      </c>
      <c r="T462" s="18" t="n">
        <f aca="false">MAX(ABS(E462),ABS(F462))</f>
        <v>0</v>
      </c>
      <c r="U462" s="18" t="n">
        <f aca="false">MAX(ABS(L462),ABS(M462))</f>
        <v>0</v>
      </c>
    </row>
    <row r="463" customFormat="false" ht="15" hidden="false" customHeight="false" outlineLevel="0" collapsed="false">
      <c r="A463" s="4" t="n">
        <v>316</v>
      </c>
      <c r="B463" s="4" t="n">
        <v>93</v>
      </c>
      <c r="C463" s="18" t="n">
        <v>0.75</v>
      </c>
      <c r="D463" s="21" t="n">
        <v>0</v>
      </c>
      <c r="E463" s="21" t="n">
        <v>0</v>
      </c>
      <c r="F463" s="21" t="n">
        <v>0</v>
      </c>
      <c r="G463" s="21" t="n">
        <v>0</v>
      </c>
      <c r="H463" s="21" t="n">
        <v>0</v>
      </c>
      <c r="I463" s="21" t="n">
        <v>0</v>
      </c>
      <c r="J463" s="21" t="n">
        <v>0</v>
      </c>
      <c r="K463" s="21" t="n">
        <v>0</v>
      </c>
      <c r="L463" s="21" t="n">
        <v>0</v>
      </c>
      <c r="M463" s="21" t="n">
        <v>0</v>
      </c>
      <c r="N463" s="21" t="n">
        <v>0</v>
      </c>
      <c r="O463" s="21" t="n">
        <v>0</v>
      </c>
      <c r="P463" s="21" t="n">
        <v>0</v>
      </c>
      <c r="Q463" s="21" t="n">
        <v>0</v>
      </c>
      <c r="R463" s="18" t="n">
        <f aca="false">ABS(D463)+MAX(ABS(G463),ABS(H463))+MAX(ABS(I463),ABS(J463))</f>
        <v>0</v>
      </c>
      <c r="S463" s="18" t="n">
        <f aca="false">ABS(K463)+MAX(ABS(N463),ABS(O463))+MAX(ABS(P463),ABS(Q463))</f>
        <v>0</v>
      </c>
      <c r="T463" s="18" t="n">
        <f aca="false">MAX(ABS(E463),ABS(F463))</f>
        <v>0</v>
      </c>
      <c r="U463" s="18" t="n">
        <f aca="false">MAX(ABS(L463),ABS(M463))</f>
        <v>0</v>
      </c>
    </row>
    <row r="464" customFormat="false" ht="15" hidden="false" customHeight="false" outlineLevel="0" collapsed="false">
      <c r="A464" s="4" t="n">
        <v>316</v>
      </c>
      <c r="B464" s="4" t="n">
        <v>93</v>
      </c>
      <c r="C464" s="18" t="n">
        <v>1</v>
      </c>
      <c r="D464" s="21" t="n">
        <v>0</v>
      </c>
      <c r="E464" s="21" t="n">
        <v>0</v>
      </c>
      <c r="F464" s="21" t="n">
        <v>0</v>
      </c>
      <c r="G464" s="21" t="n">
        <v>0</v>
      </c>
      <c r="H464" s="21" t="n">
        <v>0</v>
      </c>
      <c r="I464" s="21" t="n">
        <v>0</v>
      </c>
      <c r="J464" s="21" t="n">
        <v>0</v>
      </c>
      <c r="K464" s="21" t="n">
        <v>0</v>
      </c>
      <c r="L464" s="21" t="n">
        <v>0</v>
      </c>
      <c r="M464" s="21" t="n">
        <v>0</v>
      </c>
      <c r="N464" s="21" t="n">
        <v>0</v>
      </c>
      <c r="O464" s="21" t="n">
        <v>0</v>
      </c>
      <c r="P464" s="21" t="n">
        <v>0</v>
      </c>
      <c r="Q464" s="21" t="n">
        <v>0</v>
      </c>
      <c r="R464" s="18" t="n">
        <f aca="false">ABS(D464)+MAX(ABS(G464),ABS(H464))+MAX(ABS(I464),ABS(J464))</f>
        <v>0</v>
      </c>
      <c r="S464" s="18" t="n">
        <f aca="false">ABS(K464)+MAX(ABS(N464),ABS(O464))+MAX(ABS(P464),ABS(Q464))</f>
        <v>0</v>
      </c>
      <c r="T464" s="18" t="n">
        <f aca="false">MAX(ABS(E464),ABS(F464))</f>
        <v>0</v>
      </c>
      <c r="U464" s="18" t="n">
        <f aca="false">MAX(ABS(L464),ABS(M464))</f>
        <v>0</v>
      </c>
    </row>
    <row r="465" customFormat="false" ht="15" hidden="false" customHeight="false" outlineLevel="0" collapsed="false">
      <c r="A465" s="4" t="n">
        <v>317</v>
      </c>
      <c r="B465" s="4" t="n">
        <v>94</v>
      </c>
      <c r="C465" s="18" t="n">
        <v>0</v>
      </c>
      <c r="D465" s="21" t="n">
        <v>0</v>
      </c>
      <c r="E465" s="21" t="n">
        <v>0</v>
      </c>
      <c r="F465" s="21" t="n">
        <v>0</v>
      </c>
      <c r="G465" s="21" t="n">
        <v>0</v>
      </c>
      <c r="H465" s="21" t="n">
        <v>0</v>
      </c>
      <c r="I465" s="21" t="n">
        <v>0</v>
      </c>
      <c r="J465" s="21" t="n">
        <v>0</v>
      </c>
      <c r="K465" s="21" t="n">
        <v>0</v>
      </c>
      <c r="L465" s="21" t="n">
        <v>0</v>
      </c>
      <c r="M465" s="21" t="n">
        <v>0</v>
      </c>
      <c r="N465" s="21" t="n">
        <v>0</v>
      </c>
      <c r="O465" s="21" t="n">
        <v>0</v>
      </c>
      <c r="P465" s="21" t="n">
        <v>0</v>
      </c>
      <c r="Q465" s="21" t="n">
        <v>0</v>
      </c>
      <c r="R465" s="18" t="n">
        <f aca="false">ABS(D465)+MAX(ABS(G465),ABS(H465))+MAX(ABS(I465),ABS(J465))</f>
        <v>0</v>
      </c>
      <c r="S465" s="18" t="n">
        <f aca="false">ABS(K465)+MAX(ABS(N465),ABS(O465))+MAX(ABS(P465),ABS(Q465))</f>
        <v>0</v>
      </c>
      <c r="T465" s="18" t="n">
        <f aca="false">MAX(ABS(E465),ABS(F465))</f>
        <v>0</v>
      </c>
      <c r="U465" s="18" t="n">
        <f aca="false">MAX(ABS(L465),ABS(M465))</f>
        <v>0</v>
      </c>
    </row>
    <row r="466" customFormat="false" ht="15" hidden="false" customHeight="false" outlineLevel="0" collapsed="false">
      <c r="A466" s="4" t="n">
        <v>317</v>
      </c>
      <c r="B466" s="4" t="n">
        <v>94</v>
      </c>
      <c r="C466" s="18" t="n">
        <v>0.25</v>
      </c>
      <c r="D466" s="21" t="n">
        <v>0</v>
      </c>
      <c r="E466" s="21" t="n">
        <v>0</v>
      </c>
      <c r="F466" s="21" t="n">
        <v>0</v>
      </c>
      <c r="G466" s="21" t="n">
        <v>0</v>
      </c>
      <c r="H466" s="21" t="n">
        <v>0</v>
      </c>
      <c r="I466" s="21" t="n">
        <v>0</v>
      </c>
      <c r="J466" s="21" t="n">
        <v>0</v>
      </c>
      <c r="K466" s="21" t="n">
        <v>0</v>
      </c>
      <c r="L466" s="21" t="n">
        <v>0</v>
      </c>
      <c r="M466" s="21" t="n">
        <v>0</v>
      </c>
      <c r="N466" s="21" t="n">
        <v>0</v>
      </c>
      <c r="O466" s="21" t="n">
        <v>0</v>
      </c>
      <c r="P466" s="21" t="n">
        <v>0</v>
      </c>
      <c r="Q466" s="21" t="n">
        <v>0</v>
      </c>
      <c r="R466" s="18" t="n">
        <f aca="false">ABS(D466)+MAX(ABS(G466),ABS(H466))+MAX(ABS(I466),ABS(J466))</f>
        <v>0</v>
      </c>
      <c r="S466" s="18" t="n">
        <f aca="false">ABS(K466)+MAX(ABS(N466),ABS(O466))+MAX(ABS(P466),ABS(Q466))</f>
        <v>0</v>
      </c>
      <c r="T466" s="18" t="n">
        <f aca="false">MAX(ABS(E466),ABS(F466))</f>
        <v>0</v>
      </c>
      <c r="U466" s="18" t="n">
        <f aca="false">MAX(ABS(L466),ABS(M466))</f>
        <v>0</v>
      </c>
    </row>
    <row r="467" customFormat="false" ht="15" hidden="false" customHeight="false" outlineLevel="0" collapsed="false">
      <c r="A467" s="4" t="n">
        <v>317</v>
      </c>
      <c r="B467" s="4" t="n">
        <v>94</v>
      </c>
      <c r="C467" s="18" t="n">
        <v>0.5</v>
      </c>
      <c r="D467" s="21" t="n">
        <v>0</v>
      </c>
      <c r="E467" s="21" t="n">
        <v>0</v>
      </c>
      <c r="F467" s="21" t="n">
        <v>0</v>
      </c>
      <c r="G467" s="21" t="n">
        <v>0</v>
      </c>
      <c r="H467" s="21" t="n">
        <v>0</v>
      </c>
      <c r="I467" s="21" t="n">
        <v>0</v>
      </c>
      <c r="J467" s="21" t="n">
        <v>0</v>
      </c>
      <c r="K467" s="21" t="n">
        <v>0</v>
      </c>
      <c r="L467" s="21" t="n">
        <v>0</v>
      </c>
      <c r="M467" s="21" t="n">
        <v>0</v>
      </c>
      <c r="N467" s="21" t="n">
        <v>0</v>
      </c>
      <c r="O467" s="21" t="n">
        <v>0</v>
      </c>
      <c r="P467" s="21" t="n">
        <v>0</v>
      </c>
      <c r="Q467" s="21" t="n">
        <v>0</v>
      </c>
      <c r="R467" s="18" t="n">
        <f aca="false">ABS(D467)+MAX(ABS(G467),ABS(H467))+MAX(ABS(I467),ABS(J467))</f>
        <v>0</v>
      </c>
      <c r="S467" s="18" t="n">
        <f aca="false">ABS(K467)+MAX(ABS(N467),ABS(O467))+MAX(ABS(P467),ABS(Q467))</f>
        <v>0</v>
      </c>
      <c r="T467" s="18" t="n">
        <f aca="false">MAX(ABS(E467),ABS(F467))</f>
        <v>0</v>
      </c>
      <c r="U467" s="18" t="n">
        <f aca="false">MAX(ABS(L467),ABS(M467))</f>
        <v>0</v>
      </c>
    </row>
    <row r="468" customFormat="false" ht="15" hidden="false" customHeight="false" outlineLevel="0" collapsed="false">
      <c r="A468" s="4" t="n">
        <v>317</v>
      </c>
      <c r="B468" s="4" t="n">
        <v>94</v>
      </c>
      <c r="C468" s="18" t="n">
        <v>0.75</v>
      </c>
      <c r="D468" s="21" t="n">
        <v>0</v>
      </c>
      <c r="E468" s="21" t="n">
        <v>0</v>
      </c>
      <c r="F468" s="21" t="n">
        <v>0</v>
      </c>
      <c r="G468" s="21" t="n">
        <v>0</v>
      </c>
      <c r="H468" s="21" t="n">
        <v>0</v>
      </c>
      <c r="I468" s="21" t="n">
        <v>0</v>
      </c>
      <c r="J468" s="21" t="n">
        <v>0</v>
      </c>
      <c r="K468" s="21" t="n">
        <v>0</v>
      </c>
      <c r="L468" s="21" t="n">
        <v>0</v>
      </c>
      <c r="M468" s="21" t="n">
        <v>0</v>
      </c>
      <c r="N468" s="21" t="n">
        <v>0</v>
      </c>
      <c r="O468" s="21" t="n">
        <v>0</v>
      </c>
      <c r="P468" s="21" t="n">
        <v>0</v>
      </c>
      <c r="Q468" s="21" t="n">
        <v>0</v>
      </c>
      <c r="R468" s="18" t="n">
        <f aca="false">ABS(D468)+MAX(ABS(G468),ABS(H468))+MAX(ABS(I468),ABS(J468))</f>
        <v>0</v>
      </c>
      <c r="S468" s="18" t="n">
        <f aca="false">ABS(K468)+MAX(ABS(N468),ABS(O468))+MAX(ABS(P468),ABS(Q468))</f>
        <v>0</v>
      </c>
      <c r="T468" s="18" t="n">
        <f aca="false">MAX(ABS(E468),ABS(F468))</f>
        <v>0</v>
      </c>
      <c r="U468" s="18" t="n">
        <f aca="false">MAX(ABS(L468),ABS(M468))</f>
        <v>0</v>
      </c>
    </row>
    <row r="469" customFormat="false" ht="15" hidden="false" customHeight="false" outlineLevel="0" collapsed="false">
      <c r="A469" s="4" t="n">
        <v>317</v>
      </c>
      <c r="B469" s="4" t="n">
        <v>94</v>
      </c>
      <c r="C469" s="18" t="n">
        <v>1</v>
      </c>
      <c r="D469" s="21" t="n">
        <v>0</v>
      </c>
      <c r="E469" s="21" t="n">
        <v>0</v>
      </c>
      <c r="F469" s="21" t="n">
        <v>0</v>
      </c>
      <c r="G469" s="21" t="n">
        <v>0</v>
      </c>
      <c r="H469" s="21" t="n">
        <v>0</v>
      </c>
      <c r="I469" s="21" t="n">
        <v>0</v>
      </c>
      <c r="J469" s="21" t="n">
        <v>0</v>
      </c>
      <c r="K469" s="21" t="n">
        <v>0</v>
      </c>
      <c r="L469" s="21" t="n">
        <v>0</v>
      </c>
      <c r="M469" s="21" t="n">
        <v>0</v>
      </c>
      <c r="N469" s="21" t="n">
        <v>0</v>
      </c>
      <c r="O469" s="21" t="n">
        <v>0</v>
      </c>
      <c r="P469" s="21" t="n">
        <v>0</v>
      </c>
      <c r="Q469" s="21" t="n">
        <v>0</v>
      </c>
      <c r="R469" s="18" t="n">
        <f aca="false">ABS(D469)+MAX(ABS(G469),ABS(H469))+MAX(ABS(I469),ABS(J469))</f>
        <v>0</v>
      </c>
      <c r="S469" s="18" t="n">
        <f aca="false">ABS(K469)+MAX(ABS(N469),ABS(O469))+MAX(ABS(P469),ABS(Q469))</f>
        <v>0</v>
      </c>
      <c r="T469" s="18" t="n">
        <f aca="false">MAX(ABS(E469),ABS(F469))</f>
        <v>0</v>
      </c>
      <c r="U469" s="18" t="n">
        <f aca="false">MAX(ABS(L469),ABS(M469))</f>
        <v>0</v>
      </c>
    </row>
    <row r="470" customFormat="false" ht="15" hidden="false" customHeight="false" outlineLevel="0" collapsed="false">
      <c r="A470" s="4" t="n">
        <v>318</v>
      </c>
      <c r="B470" s="4" t="n">
        <v>95</v>
      </c>
      <c r="C470" s="18" t="n">
        <v>0</v>
      </c>
      <c r="D470" s="21" t="n">
        <v>0</v>
      </c>
      <c r="E470" s="21" t="n">
        <v>0</v>
      </c>
      <c r="F470" s="21" t="n">
        <v>0</v>
      </c>
      <c r="G470" s="21" t="n">
        <v>0</v>
      </c>
      <c r="H470" s="21" t="n">
        <v>0</v>
      </c>
      <c r="I470" s="21" t="n">
        <v>0</v>
      </c>
      <c r="J470" s="21" t="n">
        <v>0</v>
      </c>
      <c r="K470" s="21" t="n">
        <v>0</v>
      </c>
      <c r="L470" s="21" t="n">
        <v>0</v>
      </c>
      <c r="M470" s="21" t="n">
        <v>0</v>
      </c>
      <c r="N470" s="21" t="n">
        <v>0</v>
      </c>
      <c r="O470" s="21" t="n">
        <v>0</v>
      </c>
      <c r="P470" s="21" t="n">
        <v>0</v>
      </c>
      <c r="Q470" s="21" t="n">
        <v>0</v>
      </c>
      <c r="R470" s="18" t="n">
        <f aca="false">ABS(D470)+MAX(ABS(G470),ABS(H470))+MAX(ABS(I470),ABS(J470))</f>
        <v>0</v>
      </c>
      <c r="S470" s="18" t="n">
        <f aca="false">ABS(K470)+MAX(ABS(N470),ABS(O470))+MAX(ABS(P470),ABS(Q470))</f>
        <v>0</v>
      </c>
      <c r="T470" s="18" t="n">
        <f aca="false">MAX(ABS(E470),ABS(F470))</f>
        <v>0</v>
      </c>
      <c r="U470" s="18" t="n">
        <f aca="false">MAX(ABS(L470),ABS(M470))</f>
        <v>0</v>
      </c>
    </row>
    <row r="471" customFormat="false" ht="15" hidden="false" customHeight="false" outlineLevel="0" collapsed="false">
      <c r="A471" s="4" t="n">
        <v>318</v>
      </c>
      <c r="B471" s="4" t="n">
        <v>95</v>
      </c>
      <c r="C471" s="18" t="n">
        <v>0.25</v>
      </c>
      <c r="D471" s="21" t="n">
        <v>0</v>
      </c>
      <c r="E471" s="21" t="n">
        <v>0</v>
      </c>
      <c r="F471" s="21" t="n">
        <v>0</v>
      </c>
      <c r="G471" s="21" t="n">
        <v>0</v>
      </c>
      <c r="H471" s="21" t="n">
        <v>0</v>
      </c>
      <c r="I471" s="21" t="n">
        <v>0</v>
      </c>
      <c r="J471" s="21" t="n">
        <v>0</v>
      </c>
      <c r="K471" s="21" t="n">
        <v>0</v>
      </c>
      <c r="L471" s="21" t="n">
        <v>0</v>
      </c>
      <c r="M471" s="21" t="n">
        <v>0</v>
      </c>
      <c r="N471" s="21" t="n">
        <v>0</v>
      </c>
      <c r="O471" s="21" t="n">
        <v>0</v>
      </c>
      <c r="P471" s="21" t="n">
        <v>0</v>
      </c>
      <c r="Q471" s="21" t="n">
        <v>0</v>
      </c>
      <c r="R471" s="18" t="n">
        <f aca="false">ABS(D471)+MAX(ABS(G471),ABS(H471))+MAX(ABS(I471),ABS(J471))</f>
        <v>0</v>
      </c>
      <c r="S471" s="18" t="n">
        <f aca="false">ABS(K471)+MAX(ABS(N471),ABS(O471))+MAX(ABS(P471),ABS(Q471))</f>
        <v>0</v>
      </c>
      <c r="T471" s="18" t="n">
        <f aca="false">MAX(ABS(E471),ABS(F471))</f>
        <v>0</v>
      </c>
      <c r="U471" s="18" t="n">
        <f aca="false">MAX(ABS(L471),ABS(M471))</f>
        <v>0</v>
      </c>
    </row>
    <row r="472" customFormat="false" ht="15" hidden="false" customHeight="false" outlineLevel="0" collapsed="false">
      <c r="A472" s="4" t="n">
        <v>318</v>
      </c>
      <c r="B472" s="4" t="n">
        <v>95</v>
      </c>
      <c r="C472" s="18" t="n">
        <v>0.5</v>
      </c>
      <c r="D472" s="21" t="n">
        <v>0</v>
      </c>
      <c r="E472" s="21" t="n">
        <v>0</v>
      </c>
      <c r="F472" s="21" t="n">
        <v>0</v>
      </c>
      <c r="G472" s="21" t="n">
        <v>0</v>
      </c>
      <c r="H472" s="21" t="n">
        <v>0</v>
      </c>
      <c r="I472" s="21" t="n">
        <v>0</v>
      </c>
      <c r="J472" s="21" t="n">
        <v>0</v>
      </c>
      <c r="K472" s="21" t="n">
        <v>0</v>
      </c>
      <c r="L472" s="21" t="n">
        <v>0</v>
      </c>
      <c r="M472" s="21" t="n">
        <v>0</v>
      </c>
      <c r="N472" s="21" t="n">
        <v>0</v>
      </c>
      <c r="O472" s="21" t="n">
        <v>0</v>
      </c>
      <c r="P472" s="21" t="n">
        <v>0</v>
      </c>
      <c r="Q472" s="21" t="n">
        <v>0</v>
      </c>
      <c r="R472" s="18" t="n">
        <f aca="false">ABS(D472)+MAX(ABS(G472),ABS(H472))+MAX(ABS(I472),ABS(J472))</f>
        <v>0</v>
      </c>
      <c r="S472" s="18" t="n">
        <f aca="false">ABS(K472)+MAX(ABS(N472),ABS(O472))+MAX(ABS(P472),ABS(Q472))</f>
        <v>0</v>
      </c>
      <c r="T472" s="18" t="n">
        <f aca="false">MAX(ABS(E472),ABS(F472))</f>
        <v>0</v>
      </c>
      <c r="U472" s="18" t="n">
        <f aca="false">MAX(ABS(L472),ABS(M472))</f>
        <v>0</v>
      </c>
    </row>
    <row r="473" customFormat="false" ht="15" hidden="false" customHeight="false" outlineLevel="0" collapsed="false">
      <c r="A473" s="4" t="n">
        <v>318</v>
      </c>
      <c r="B473" s="4" t="n">
        <v>95</v>
      </c>
      <c r="C473" s="18" t="n">
        <v>0.75</v>
      </c>
      <c r="D473" s="21" t="n">
        <v>0</v>
      </c>
      <c r="E473" s="21" t="n">
        <v>0</v>
      </c>
      <c r="F473" s="21" t="n">
        <v>0</v>
      </c>
      <c r="G473" s="21" t="n">
        <v>0</v>
      </c>
      <c r="H473" s="21" t="n">
        <v>0</v>
      </c>
      <c r="I473" s="21" t="n">
        <v>0</v>
      </c>
      <c r="J473" s="21" t="n">
        <v>0</v>
      </c>
      <c r="K473" s="21" t="n">
        <v>0</v>
      </c>
      <c r="L473" s="21" t="n">
        <v>0</v>
      </c>
      <c r="M473" s="21" t="n">
        <v>0</v>
      </c>
      <c r="N473" s="21" t="n">
        <v>0</v>
      </c>
      <c r="O473" s="21" t="n">
        <v>0</v>
      </c>
      <c r="P473" s="21" t="n">
        <v>0</v>
      </c>
      <c r="Q473" s="21" t="n">
        <v>0</v>
      </c>
      <c r="R473" s="18" t="n">
        <f aca="false">ABS(D473)+MAX(ABS(G473),ABS(H473))+MAX(ABS(I473),ABS(J473))</f>
        <v>0</v>
      </c>
      <c r="S473" s="18" t="n">
        <f aca="false">ABS(K473)+MAX(ABS(N473),ABS(O473))+MAX(ABS(P473),ABS(Q473))</f>
        <v>0</v>
      </c>
      <c r="T473" s="18" t="n">
        <f aca="false">MAX(ABS(E473),ABS(F473))</f>
        <v>0</v>
      </c>
      <c r="U473" s="18" t="n">
        <f aca="false">MAX(ABS(L473),ABS(M473))</f>
        <v>0</v>
      </c>
    </row>
    <row r="474" customFormat="false" ht="15" hidden="false" customHeight="false" outlineLevel="0" collapsed="false">
      <c r="A474" s="4" t="n">
        <v>318</v>
      </c>
      <c r="B474" s="4" t="n">
        <v>95</v>
      </c>
      <c r="C474" s="18" t="n">
        <v>1</v>
      </c>
      <c r="D474" s="21" t="n">
        <v>0</v>
      </c>
      <c r="E474" s="21" t="n">
        <v>0</v>
      </c>
      <c r="F474" s="21" t="n">
        <v>0</v>
      </c>
      <c r="G474" s="21" t="n">
        <v>0</v>
      </c>
      <c r="H474" s="21" t="n">
        <v>0</v>
      </c>
      <c r="I474" s="21" t="n">
        <v>0</v>
      </c>
      <c r="J474" s="21" t="n">
        <v>0</v>
      </c>
      <c r="K474" s="21" t="n">
        <v>0</v>
      </c>
      <c r="L474" s="21" t="n">
        <v>0</v>
      </c>
      <c r="M474" s="21" t="n">
        <v>0</v>
      </c>
      <c r="N474" s="21" t="n">
        <v>0</v>
      </c>
      <c r="O474" s="21" t="n">
        <v>0</v>
      </c>
      <c r="P474" s="21" t="n">
        <v>0</v>
      </c>
      <c r="Q474" s="21" t="n">
        <v>0</v>
      </c>
      <c r="R474" s="18" t="n">
        <f aca="false">ABS(D474)+MAX(ABS(G474),ABS(H474))+MAX(ABS(I474),ABS(J474))</f>
        <v>0</v>
      </c>
      <c r="S474" s="18" t="n">
        <f aca="false">ABS(K474)+MAX(ABS(N474),ABS(O474))+MAX(ABS(P474),ABS(Q474))</f>
        <v>0</v>
      </c>
      <c r="T474" s="18" t="n">
        <f aca="false">MAX(ABS(E474),ABS(F474))</f>
        <v>0</v>
      </c>
      <c r="U474" s="18" t="n">
        <f aca="false">MAX(ABS(L474),ABS(M474))</f>
        <v>0</v>
      </c>
    </row>
    <row r="475" customFormat="false" ht="15" hidden="false" customHeight="false" outlineLevel="0" collapsed="false">
      <c r="A475" s="4" t="n">
        <v>319</v>
      </c>
      <c r="B475" s="4" t="n">
        <v>96</v>
      </c>
      <c r="C475" s="18" t="n">
        <v>0</v>
      </c>
      <c r="D475" s="21" t="n">
        <v>0</v>
      </c>
      <c r="E475" s="21" t="n">
        <v>0</v>
      </c>
      <c r="F475" s="21" t="n">
        <v>0</v>
      </c>
      <c r="G475" s="21" t="n">
        <v>0</v>
      </c>
      <c r="H475" s="21" t="n">
        <v>0</v>
      </c>
      <c r="I475" s="21" t="n">
        <v>0</v>
      </c>
      <c r="J475" s="21" t="n">
        <v>0</v>
      </c>
      <c r="K475" s="21" t="n">
        <v>0</v>
      </c>
      <c r="L475" s="21" t="n">
        <v>0</v>
      </c>
      <c r="M475" s="21" t="n">
        <v>0</v>
      </c>
      <c r="N475" s="21" t="n">
        <v>0</v>
      </c>
      <c r="O475" s="21" t="n">
        <v>0</v>
      </c>
      <c r="P475" s="21" t="n">
        <v>0</v>
      </c>
      <c r="Q475" s="21" t="n">
        <v>0</v>
      </c>
      <c r="R475" s="18" t="n">
        <f aca="false">ABS(D475)+MAX(ABS(G475),ABS(H475))+MAX(ABS(I475),ABS(J475))</f>
        <v>0</v>
      </c>
      <c r="S475" s="18" t="n">
        <f aca="false">ABS(K475)+MAX(ABS(N475),ABS(O475))+MAX(ABS(P475),ABS(Q475))</f>
        <v>0</v>
      </c>
      <c r="T475" s="18" t="n">
        <f aca="false">MAX(ABS(E475),ABS(F475))</f>
        <v>0</v>
      </c>
      <c r="U475" s="18" t="n">
        <f aca="false">MAX(ABS(L475),ABS(M475))</f>
        <v>0</v>
      </c>
    </row>
    <row r="476" customFormat="false" ht="15" hidden="false" customHeight="false" outlineLevel="0" collapsed="false">
      <c r="A476" s="4" t="n">
        <v>319</v>
      </c>
      <c r="B476" s="4" t="n">
        <v>96</v>
      </c>
      <c r="C476" s="18" t="n">
        <v>0.25</v>
      </c>
      <c r="D476" s="21" t="n">
        <v>0</v>
      </c>
      <c r="E476" s="21" t="n">
        <v>0</v>
      </c>
      <c r="F476" s="21" t="n">
        <v>0</v>
      </c>
      <c r="G476" s="21" t="n">
        <v>0</v>
      </c>
      <c r="H476" s="21" t="n">
        <v>0</v>
      </c>
      <c r="I476" s="21" t="n">
        <v>0</v>
      </c>
      <c r="J476" s="21" t="n">
        <v>0</v>
      </c>
      <c r="K476" s="21" t="n">
        <v>0</v>
      </c>
      <c r="L476" s="21" t="n">
        <v>0</v>
      </c>
      <c r="M476" s="21" t="n">
        <v>0</v>
      </c>
      <c r="N476" s="21" t="n">
        <v>0</v>
      </c>
      <c r="O476" s="21" t="n">
        <v>0</v>
      </c>
      <c r="P476" s="21" t="n">
        <v>0</v>
      </c>
      <c r="Q476" s="21" t="n">
        <v>0</v>
      </c>
      <c r="R476" s="18" t="n">
        <f aca="false">ABS(D476)+MAX(ABS(G476),ABS(H476))+MAX(ABS(I476),ABS(J476))</f>
        <v>0</v>
      </c>
      <c r="S476" s="18" t="n">
        <f aca="false">ABS(K476)+MAX(ABS(N476),ABS(O476))+MAX(ABS(P476),ABS(Q476))</f>
        <v>0</v>
      </c>
      <c r="T476" s="18" t="n">
        <f aca="false">MAX(ABS(E476),ABS(F476))</f>
        <v>0</v>
      </c>
      <c r="U476" s="18" t="n">
        <f aca="false">MAX(ABS(L476),ABS(M476))</f>
        <v>0</v>
      </c>
    </row>
    <row r="477" customFormat="false" ht="15" hidden="false" customHeight="false" outlineLevel="0" collapsed="false">
      <c r="A477" s="4" t="n">
        <v>319</v>
      </c>
      <c r="B477" s="4" t="n">
        <v>96</v>
      </c>
      <c r="C477" s="18" t="n">
        <v>0.5</v>
      </c>
      <c r="D477" s="21" t="n">
        <v>0</v>
      </c>
      <c r="E477" s="21" t="n">
        <v>0</v>
      </c>
      <c r="F477" s="21" t="n">
        <v>0</v>
      </c>
      <c r="G477" s="21" t="n">
        <v>0</v>
      </c>
      <c r="H477" s="21" t="n">
        <v>0</v>
      </c>
      <c r="I477" s="21" t="n">
        <v>0</v>
      </c>
      <c r="J477" s="21" t="n">
        <v>0</v>
      </c>
      <c r="K477" s="21" t="n">
        <v>0</v>
      </c>
      <c r="L477" s="21" t="n">
        <v>0</v>
      </c>
      <c r="M477" s="21" t="n">
        <v>0</v>
      </c>
      <c r="N477" s="21" t="n">
        <v>0</v>
      </c>
      <c r="O477" s="21" t="n">
        <v>0</v>
      </c>
      <c r="P477" s="21" t="n">
        <v>0</v>
      </c>
      <c r="Q477" s="21" t="n">
        <v>0</v>
      </c>
      <c r="R477" s="18" t="n">
        <f aca="false">ABS(D477)+MAX(ABS(G477),ABS(H477))+MAX(ABS(I477),ABS(J477))</f>
        <v>0</v>
      </c>
      <c r="S477" s="18" t="n">
        <f aca="false">ABS(K477)+MAX(ABS(N477),ABS(O477))+MAX(ABS(P477),ABS(Q477))</f>
        <v>0</v>
      </c>
      <c r="T477" s="18" t="n">
        <f aca="false">MAX(ABS(E477),ABS(F477))</f>
        <v>0</v>
      </c>
      <c r="U477" s="18" t="n">
        <f aca="false">MAX(ABS(L477),ABS(M477))</f>
        <v>0</v>
      </c>
    </row>
    <row r="478" customFormat="false" ht="15" hidden="false" customHeight="false" outlineLevel="0" collapsed="false">
      <c r="A478" s="4" t="n">
        <v>319</v>
      </c>
      <c r="B478" s="4" t="n">
        <v>96</v>
      </c>
      <c r="C478" s="18" t="n">
        <v>0.75</v>
      </c>
      <c r="D478" s="21" t="n">
        <v>0</v>
      </c>
      <c r="E478" s="21" t="n">
        <v>0</v>
      </c>
      <c r="F478" s="21" t="n">
        <v>0</v>
      </c>
      <c r="G478" s="21" t="n">
        <v>0</v>
      </c>
      <c r="H478" s="21" t="n">
        <v>0</v>
      </c>
      <c r="I478" s="21" t="n">
        <v>0</v>
      </c>
      <c r="J478" s="21" t="n">
        <v>0</v>
      </c>
      <c r="K478" s="21" t="n">
        <v>0</v>
      </c>
      <c r="L478" s="21" t="n">
        <v>0</v>
      </c>
      <c r="M478" s="21" t="n">
        <v>0</v>
      </c>
      <c r="N478" s="21" t="n">
        <v>0</v>
      </c>
      <c r="O478" s="21" t="n">
        <v>0</v>
      </c>
      <c r="P478" s="21" t="n">
        <v>0</v>
      </c>
      <c r="Q478" s="21" t="n">
        <v>0</v>
      </c>
      <c r="R478" s="18" t="n">
        <f aca="false">ABS(D478)+MAX(ABS(G478),ABS(H478))+MAX(ABS(I478),ABS(J478))</f>
        <v>0</v>
      </c>
      <c r="S478" s="18" t="n">
        <f aca="false">ABS(K478)+MAX(ABS(N478),ABS(O478))+MAX(ABS(P478),ABS(Q478))</f>
        <v>0</v>
      </c>
      <c r="T478" s="18" t="n">
        <f aca="false">MAX(ABS(E478),ABS(F478))</f>
        <v>0</v>
      </c>
      <c r="U478" s="18" t="n">
        <f aca="false">MAX(ABS(L478),ABS(M478))</f>
        <v>0</v>
      </c>
    </row>
    <row r="479" customFormat="false" ht="15" hidden="false" customHeight="false" outlineLevel="0" collapsed="false">
      <c r="A479" s="4" t="n">
        <v>319</v>
      </c>
      <c r="B479" s="4" t="n">
        <v>96</v>
      </c>
      <c r="C479" s="18" t="n">
        <v>1</v>
      </c>
      <c r="D479" s="21" t="n">
        <v>0</v>
      </c>
      <c r="E479" s="21" t="n">
        <v>0</v>
      </c>
      <c r="F479" s="21" t="n">
        <v>0</v>
      </c>
      <c r="G479" s="21" t="n">
        <v>0</v>
      </c>
      <c r="H479" s="21" t="n">
        <v>0</v>
      </c>
      <c r="I479" s="21" t="n">
        <v>0</v>
      </c>
      <c r="J479" s="21" t="n">
        <v>0</v>
      </c>
      <c r="K479" s="21" t="n">
        <v>0</v>
      </c>
      <c r="L479" s="21" t="n">
        <v>0</v>
      </c>
      <c r="M479" s="21" t="n">
        <v>0</v>
      </c>
      <c r="N479" s="21" t="n">
        <v>0</v>
      </c>
      <c r="O479" s="21" t="n">
        <v>0</v>
      </c>
      <c r="P479" s="21" t="n">
        <v>0</v>
      </c>
      <c r="Q479" s="21" t="n">
        <v>0</v>
      </c>
      <c r="R479" s="18" t="n">
        <f aca="false">ABS(D479)+MAX(ABS(G479),ABS(H479))+MAX(ABS(I479),ABS(J479))</f>
        <v>0</v>
      </c>
      <c r="S479" s="18" t="n">
        <f aca="false">ABS(K479)+MAX(ABS(N479),ABS(O479))+MAX(ABS(P479),ABS(Q479))</f>
        <v>0</v>
      </c>
      <c r="T479" s="18" t="n">
        <f aca="false">MAX(ABS(E479),ABS(F479))</f>
        <v>0</v>
      </c>
      <c r="U479" s="18" t="n">
        <f aca="false">MAX(ABS(L479),ABS(M479))</f>
        <v>0</v>
      </c>
    </row>
    <row r="480" customFormat="false" ht="15" hidden="false" customHeight="false" outlineLevel="0" collapsed="false">
      <c r="A480" s="4" t="n">
        <v>320</v>
      </c>
      <c r="B480" s="4" t="n">
        <v>97</v>
      </c>
      <c r="C480" s="18" t="n">
        <v>0</v>
      </c>
      <c r="D480" s="21" t="n">
        <v>0</v>
      </c>
      <c r="E480" s="21" t="n">
        <v>0</v>
      </c>
      <c r="F480" s="21" t="n">
        <v>0</v>
      </c>
      <c r="G480" s="21" t="n">
        <v>0</v>
      </c>
      <c r="H480" s="21" t="n">
        <v>0</v>
      </c>
      <c r="I480" s="21" t="n">
        <v>0</v>
      </c>
      <c r="J480" s="21" t="n">
        <v>0</v>
      </c>
      <c r="K480" s="21" t="n">
        <v>0</v>
      </c>
      <c r="L480" s="21" t="n">
        <v>0</v>
      </c>
      <c r="M480" s="21" t="n">
        <v>0</v>
      </c>
      <c r="N480" s="21" t="n">
        <v>0</v>
      </c>
      <c r="O480" s="21" t="n">
        <v>0</v>
      </c>
      <c r="P480" s="21" t="n">
        <v>0</v>
      </c>
      <c r="Q480" s="21" t="n">
        <v>0</v>
      </c>
      <c r="R480" s="18" t="n">
        <f aca="false">ABS(D480)+MAX(ABS(G480),ABS(H480))+MAX(ABS(I480),ABS(J480))</f>
        <v>0</v>
      </c>
      <c r="S480" s="18" t="n">
        <f aca="false">ABS(K480)+MAX(ABS(N480),ABS(O480))+MAX(ABS(P480),ABS(Q480))</f>
        <v>0</v>
      </c>
      <c r="T480" s="18" t="n">
        <f aca="false">MAX(ABS(E480),ABS(F480))</f>
        <v>0</v>
      </c>
      <c r="U480" s="18" t="n">
        <f aca="false">MAX(ABS(L480),ABS(M480))</f>
        <v>0</v>
      </c>
    </row>
    <row r="481" customFormat="false" ht="15" hidden="false" customHeight="false" outlineLevel="0" collapsed="false">
      <c r="A481" s="4" t="n">
        <v>320</v>
      </c>
      <c r="B481" s="4" t="n">
        <v>97</v>
      </c>
      <c r="C481" s="18" t="n">
        <v>0.25</v>
      </c>
      <c r="D481" s="21" t="n">
        <v>0</v>
      </c>
      <c r="E481" s="21" t="n">
        <v>0</v>
      </c>
      <c r="F481" s="21" t="n">
        <v>0</v>
      </c>
      <c r="G481" s="21" t="n">
        <v>0</v>
      </c>
      <c r="H481" s="21" t="n">
        <v>0</v>
      </c>
      <c r="I481" s="21" t="n">
        <v>0</v>
      </c>
      <c r="J481" s="21" t="n">
        <v>0</v>
      </c>
      <c r="K481" s="21" t="n">
        <v>0</v>
      </c>
      <c r="L481" s="21" t="n">
        <v>0</v>
      </c>
      <c r="M481" s="21" t="n">
        <v>0</v>
      </c>
      <c r="N481" s="21" t="n">
        <v>0</v>
      </c>
      <c r="O481" s="21" t="n">
        <v>0</v>
      </c>
      <c r="P481" s="21" t="n">
        <v>0</v>
      </c>
      <c r="Q481" s="21" t="n">
        <v>0</v>
      </c>
      <c r="R481" s="18" t="n">
        <f aca="false">ABS(D481)+MAX(ABS(G481),ABS(H481))+MAX(ABS(I481),ABS(J481))</f>
        <v>0</v>
      </c>
      <c r="S481" s="18" t="n">
        <f aca="false">ABS(K481)+MAX(ABS(N481),ABS(O481))+MAX(ABS(P481),ABS(Q481))</f>
        <v>0</v>
      </c>
      <c r="T481" s="18" t="n">
        <f aca="false">MAX(ABS(E481),ABS(F481))</f>
        <v>0</v>
      </c>
      <c r="U481" s="18" t="n">
        <f aca="false">MAX(ABS(L481),ABS(M481))</f>
        <v>0</v>
      </c>
    </row>
    <row r="482" customFormat="false" ht="15" hidden="false" customHeight="false" outlineLevel="0" collapsed="false">
      <c r="A482" s="4" t="n">
        <v>320</v>
      </c>
      <c r="B482" s="4" t="n">
        <v>97</v>
      </c>
      <c r="C482" s="18" t="n">
        <v>0.5</v>
      </c>
      <c r="D482" s="21" t="n">
        <v>0</v>
      </c>
      <c r="E482" s="21" t="n">
        <v>0</v>
      </c>
      <c r="F482" s="21" t="n">
        <v>0</v>
      </c>
      <c r="G482" s="21" t="n">
        <v>0</v>
      </c>
      <c r="H482" s="21" t="n">
        <v>0</v>
      </c>
      <c r="I482" s="21" t="n">
        <v>0</v>
      </c>
      <c r="J482" s="21" t="n">
        <v>0</v>
      </c>
      <c r="K482" s="21" t="n">
        <v>0</v>
      </c>
      <c r="L482" s="21" t="n">
        <v>0</v>
      </c>
      <c r="M482" s="21" t="n">
        <v>0</v>
      </c>
      <c r="N482" s="21" t="n">
        <v>0</v>
      </c>
      <c r="O482" s="21" t="n">
        <v>0</v>
      </c>
      <c r="P482" s="21" t="n">
        <v>0</v>
      </c>
      <c r="Q482" s="21" t="n">
        <v>0</v>
      </c>
      <c r="R482" s="18" t="n">
        <f aca="false">ABS(D482)+MAX(ABS(G482),ABS(H482))+MAX(ABS(I482),ABS(J482))</f>
        <v>0</v>
      </c>
      <c r="S482" s="18" t="n">
        <f aca="false">ABS(K482)+MAX(ABS(N482),ABS(O482))+MAX(ABS(P482),ABS(Q482))</f>
        <v>0</v>
      </c>
      <c r="T482" s="18" t="n">
        <f aca="false">MAX(ABS(E482),ABS(F482))</f>
        <v>0</v>
      </c>
      <c r="U482" s="18" t="n">
        <f aca="false">MAX(ABS(L482),ABS(M482))</f>
        <v>0</v>
      </c>
    </row>
    <row r="483" customFormat="false" ht="15" hidden="false" customHeight="false" outlineLevel="0" collapsed="false">
      <c r="A483" s="4" t="n">
        <v>320</v>
      </c>
      <c r="B483" s="4" t="n">
        <v>97</v>
      </c>
      <c r="C483" s="18" t="n">
        <v>0.75</v>
      </c>
      <c r="D483" s="21" t="n">
        <v>0</v>
      </c>
      <c r="E483" s="21" t="n">
        <v>0</v>
      </c>
      <c r="F483" s="21" t="n">
        <v>0</v>
      </c>
      <c r="G483" s="21" t="n">
        <v>0</v>
      </c>
      <c r="H483" s="21" t="n">
        <v>0</v>
      </c>
      <c r="I483" s="21" t="n">
        <v>0</v>
      </c>
      <c r="J483" s="21" t="n">
        <v>0</v>
      </c>
      <c r="K483" s="21" t="n">
        <v>0</v>
      </c>
      <c r="L483" s="21" t="n">
        <v>0</v>
      </c>
      <c r="M483" s="21" t="n">
        <v>0</v>
      </c>
      <c r="N483" s="21" t="n">
        <v>0</v>
      </c>
      <c r="O483" s="21" t="n">
        <v>0</v>
      </c>
      <c r="P483" s="21" t="n">
        <v>0</v>
      </c>
      <c r="Q483" s="21" t="n">
        <v>0</v>
      </c>
      <c r="R483" s="18" t="n">
        <f aca="false">ABS(D483)+MAX(ABS(G483),ABS(H483))+MAX(ABS(I483),ABS(J483))</f>
        <v>0</v>
      </c>
      <c r="S483" s="18" t="n">
        <f aca="false">ABS(K483)+MAX(ABS(N483),ABS(O483))+MAX(ABS(P483),ABS(Q483))</f>
        <v>0</v>
      </c>
      <c r="T483" s="18" t="n">
        <f aca="false">MAX(ABS(E483),ABS(F483))</f>
        <v>0</v>
      </c>
      <c r="U483" s="18" t="n">
        <f aca="false">MAX(ABS(L483),ABS(M483))</f>
        <v>0</v>
      </c>
    </row>
    <row r="484" customFormat="false" ht="15" hidden="false" customHeight="false" outlineLevel="0" collapsed="false">
      <c r="A484" s="4" t="n">
        <v>320</v>
      </c>
      <c r="B484" s="4" t="n">
        <v>97</v>
      </c>
      <c r="C484" s="18" t="n">
        <v>1</v>
      </c>
      <c r="D484" s="21" t="n">
        <v>0</v>
      </c>
      <c r="E484" s="21" t="n">
        <v>0</v>
      </c>
      <c r="F484" s="21" t="n">
        <v>0</v>
      </c>
      <c r="G484" s="21" t="n">
        <v>0</v>
      </c>
      <c r="H484" s="21" t="n">
        <v>0</v>
      </c>
      <c r="I484" s="21" t="n">
        <v>0</v>
      </c>
      <c r="J484" s="21" t="n">
        <v>0</v>
      </c>
      <c r="K484" s="21" t="n">
        <v>0</v>
      </c>
      <c r="L484" s="21" t="n">
        <v>0</v>
      </c>
      <c r="M484" s="21" t="n">
        <v>0</v>
      </c>
      <c r="N484" s="21" t="n">
        <v>0</v>
      </c>
      <c r="O484" s="21" t="n">
        <v>0</v>
      </c>
      <c r="P484" s="21" t="n">
        <v>0</v>
      </c>
      <c r="Q484" s="21" t="n">
        <v>0</v>
      </c>
      <c r="R484" s="18" t="n">
        <f aca="false">ABS(D484)+MAX(ABS(G484),ABS(H484))+MAX(ABS(I484),ABS(J484))</f>
        <v>0</v>
      </c>
      <c r="S484" s="18" t="n">
        <f aca="false">ABS(K484)+MAX(ABS(N484),ABS(O484))+MAX(ABS(P484),ABS(Q484))</f>
        <v>0</v>
      </c>
      <c r="T484" s="18" t="n">
        <f aca="false">MAX(ABS(E484),ABS(F484))</f>
        <v>0</v>
      </c>
      <c r="U484" s="18" t="n">
        <f aca="false">MAX(ABS(L484),ABS(M484))</f>
        <v>0</v>
      </c>
    </row>
    <row r="485" customFormat="false" ht="15" hidden="false" customHeight="false" outlineLevel="0" collapsed="false">
      <c r="A485" s="4" t="n">
        <v>321</v>
      </c>
      <c r="B485" s="4" t="n">
        <v>98</v>
      </c>
      <c r="C485" s="18" t="n">
        <v>0</v>
      </c>
      <c r="D485" s="21" t="n">
        <v>0</v>
      </c>
      <c r="E485" s="21" t="n">
        <v>0</v>
      </c>
      <c r="F485" s="21" t="n">
        <v>0</v>
      </c>
      <c r="G485" s="21" t="n">
        <v>0</v>
      </c>
      <c r="H485" s="21" t="n">
        <v>0</v>
      </c>
      <c r="I485" s="21" t="n">
        <v>0</v>
      </c>
      <c r="J485" s="21" t="n">
        <v>0</v>
      </c>
      <c r="K485" s="21" t="n">
        <v>0</v>
      </c>
      <c r="L485" s="21" t="n">
        <v>0</v>
      </c>
      <c r="M485" s="21" t="n">
        <v>0</v>
      </c>
      <c r="N485" s="21" t="n">
        <v>0</v>
      </c>
      <c r="O485" s="21" t="n">
        <v>0</v>
      </c>
      <c r="P485" s="21" t="n">
        <v>0</v>
      </c>
      <c r="Q485" s="21" t="n">
        <v>0</v>
      </c>
      <c r="R485" s="18" t="n">
        <f aca="false">ABS(D485)+MAX(ABS(G485),ABS(H485))+MAX(ABS(I485),ABS(J485))</f>
        <v>0</v>
      </c>
      <c r="S485" s="18" t="n">
        <f aca="false">ABS(K485)+MAX(ABS(N485),ABS(O485))+MAX(ABS(P485),ABS(Q485))</f>
        <v>0</v>
      </c>
      <c r="T485" s="18" t="n">
        <f aca="false">MAX(ABS(E485),ABS(F485))</f>
        <v>0</v>
      </c>
      <c r="U485" s="18" t="n">
        <f aca="false">MAX(ABS(L485),ABS(M485))</f>
        <v>0</v>
      </c>
    </row>
    <row r="486" customFormat="false" ht="15" hidden="false" customHeight="false" outlineLevel="0" collapsed="false">
      <c r="A486" s="4" t="n">
        <v>321</v>
      </c>
      <c r="B486" s="4" t="n">
        <v>98</v>
      </c>
      <c r="C486" s="18" t="n">
        <v>0.25</v>
      </c>
      <c r="D486" s="21" t="n">
        <v>0</v>
      </c>
      <c r="E486" s="21" t="n">
        <v>0</v>
      </c>
      <c r="F486" s="21" t="n">
        <v>0</v>
      </c>
      <c r="G486" s="21" t="n">
        <v>0</v>
      </c>
      <c r="H486" s="21" t="n">
        <v>0</v>
      </c>
      <c r="I486" s="21" t="n">
        <v>0</v>
      </c>
      <c r="J486" s="21" t="n">
        <v>0</v>
      </c>
      <c r="K486" s="21" t="n">
        <v>0</v>
      </c>
      <c r="L486" s="21" t="n">
        <v>0</v>
      </c>
      <c r="M486" s="21" t="n">
        <v>0</v>
      </c>
      <c r="N486" s="21" t="n">
        <v>0</v>
      </c>
      <c r="O486" s="21" t="n">
        <v>0</v>
      </c>
      <c r="P486" s="21" t="n">
        <v>0</v>
      </c>
      <c r="Q486" s="21" t="n">
        <v>0</v>
      </c>
      <c r="R486" s="18" t="n">
        <f aca="false">ABS(D486)+MAX(ABS(G486),ABS(H486))+MAX(ABS(I486),ABS(J486))</f>
        <v>0</v>
      </c>
      <c r="S486" s="18" t="n">
        <f aca="false">ABS(K486)+MAX(ABS(N486),ABS(O486))+MAX(ABS(P486),ABS(Q486))</f>
        <v>0</v>
      </c>
      <c r="T486" s="18" t="n">
        <f aca="false">MAX(ABS(E486),ABS(F486))</f>
        <v>0</v>
      </c>
      <c r="U486" s="18" t="n">
        <f aca="false">MAX(ABS(L486),ABS(M486))</f>
        <v>0</v>
      </c>
    </row>
    <row r="487" customFormat="false" ht="15" hidden="false" customHeight="false" outlineLevel="0" collapsed="false">
      <c r="A487" s="4" t="n">
        <v>321</v>
      </c>
      <c r="B487" s="4" t="n">
        <v>98</v>
      </c>
      <c r="C487" s="18" t="n">
        <v>0.5</v>
      </c>
      <c r="D487" s="21" t="n">
        <v>0</v>
      </c>
      <c r="E487" s="21" t="n">
        <v>0</v>
      </c>
      <c r="F487" s="21" t="n">
        <v>0</v>
      </c>
      <c r="G487" s="21" t="n">
        <v>0</v>
      </c>
      <c r="H487" s="21" t="n">
        <v>0</v>
      </c>
      <c r="I487" s="21" t="n">
        <v>0</v>
      </c>
      <c r="J487" s="21" t="n">
        <v>0</v>
      </c>
      <c r="K487" s="21" t="n">
        <v>0</v>
      </c>
      <c r="L487" s="21" t="n">
        <v>0</v>
      </c>
      <c r="M487" s="21" t="n">
        <v>0</v>
      </c>
      <c r="N487" s="21" t="n">
        <v>0</v>
      </c>
      <c r="O487" s="21" t="n">
        <v>0</v>
      </c>
      <c r="P487" s="21" t="n">
        <v>0</v>
      </c>
      <c r="Q487" s="21" t="n">
        <v>0</v>
      </c>
      <c r="R487" s="18" t="n">
        <f aca="false">ABS(D487)+MAX(ABS(G487),ABS(H487))+MAX(ABS(I487),ABS(J487))</f>
        <v>0</v>
      </c>
      <c r="S487" s="18" t="n">
        <f aca="false">ABS(K487)+MAX(ABS(N487),ABS(O487))+MAX(ABS(P487),ABS(Q487))</f>
        <v>0</v>
      </c>
      <c r="T487" s="18" t="n">
        <f aca="false">MAX(ABS(E487),ABS(F487))</f>
        <v>0</v>
      </c>
      <c r="U487" s="18" t="n">
        <f aca="false">MAX(ABS(L487),ABS(M487))</f>
        <v>0</v>
      </c>
    </row>
    <row r="488" customFormat="false" ht="15" hidden="false" customHeight="false" outlineLevel="0" collapsed="false">
      <c r="A488" s="4" t="n">
        <v>321</v>
      </c>
      <c r="B488" s="4" t="n">
        <v>98</v>
      </c>
      <c r="C488" s="18" t="n">
        <v>0.75</v>
      </c>
      <c r="D488" s="21" t="n">
        <v>0</v>
      </c>
      <c r="E488" s="21" t="n">
        <v>0</v>
      </c>
      <c r="F488" s="21" t="n">
        <v>0</v>
      </c>
      <c r="G488" s="21" t="n">
        <v>0</v>
      </c>
      <c r="H488" s="21" t="n">
        <v>0</v>
      </c>
      <c r="I488" s="21" t="n">
        <v>0</v>
      </c>
      <c r="J488" s="21" t="n">
        <v>0</v>
      </c>
      <c r="K488" s="21" t="n">
        <v>0</v>
      </c>
      <c r="L488" s="21" t="n">
        <v>0</v>
      </c>
      <c r="M488" s="21" t="n">
        <v>0</v>
      </c>
      <c r="N488" s="21" t="n">
        <v>0</v>
      </c>
      <c r="O488" s="21" t="n">
        <v>0</v>
      </c>
      <c r="P488" s="21" t="n">
        <v>0</v>
      </c>
      <c r="Q488" s="21" t="n">
        <v>0</v>
      </c>
      <c r="R488" s="18" t="n">
        <f aca="false">ABS(D488)+MAX(ABS(G488),ABS(H488))+MAX(ABS(I488),ABS(J488))</f>
        <v>0</v>
      </c>
      <c r="S488" s="18" t="n">
        <f aca="false">ABS(K488)+MAX(ABS(N488),ABS(O488))+MAX(ABS(P488),ABS(Q488))</f>
        <v>0</v>
      </c>
      <c r="T488" s="18" t="n">
        <f aca="false">MAX(ABS(E488),ABS(F488))</f>
        <v>0</v>
      </c>
      <c r="U488" s="18" t="n">
        <f aca="false">MAX(ABS(L488),ABS(M488))</f>
        <v>0</v>
      </c>
    </row>
    <row r="489" customFormat="false" ht="15" hidden="false" customHeight="false" outlineLevel="0" collapsed="false">
      <c r="A489" s="4" t="n">
        <v>321</v>
      </c>
      <c r="B489" s="4" t="n">
        <v>98</v>
      </c>
      <c r="C489" s="18" t="n">
        <v>1</v>
      </c>
      <c r="D489" s="21" t="n">
        <v>0</v>
      </c>
      <c r="E489" s="21" t="n">
        <v>0</v>
      </c>
      <c r="F489" s="21" t="n">
        <v>0</v>
      </c>
      <c r="G489" s="21" t="n">
        <v>0</v>
      </c>
      <c r="H489" s="21" t="n">
        <v>0</v>
      </c>
      <c r="I489" s="21" t="n">
        <v>0</v>
      </c>
      <c r="J489" s="21" t="n">
        <v>0</v>
      </c>
      <c r="K489" s="21" t="n">
        <v>0</v>
      </c>
      <c r="L489" s="21" t="n">
        <v>0</v>
      </c>
      <c r="M489" s="21" t="n">
        <v>0</v>
      </c>
      <c r="N489" s="21" t="n">
        <v>0</v>
      </c>
      <c r="O489" s="21" t="n">
        <v>0</v>
      </c>
      <c r="P489" s="21" t="n">
        <v>0</v>
      </c>
      <c r="Q489" s="21" t="n">
        <v>0</v>
      </c>
      <c r="R489" s="18" t="n">
        <f aca="false">ABS(D489)+MAX(ABS(G489),ABS(H489))+MAX(ABS(I489),ABS(J489))</f>
        <v>0</v>
      </c>
      <c r="S489" s="18" t="n">
        <f aca="false">ABS(K489)+MAX(ABS(N489),ABS(O489))+MAX(ABS(P489),ABS(Q489))</f>
        <v>0</v>
      </c>
      <c r="T489" s="18" t="n">
        <f aca="false">MAX(ABS(E489),ABS(F489))</f>
        <v>0</v>
      </c>
      <c r="U489" s="18" t="n">
        <f aca="false">MAX(ABS(L489),ABS(M489))</f>
        <v>0</v>
      </c>
    </row>
    <row r="490" customFormat="false" ht="15" hidden="false" customHeight="false" outlineLevel="0" collapsed="false">
      <c r="A490" s="4" t="n">
        <v>322</v>
      </c>
      <c r="B490" s="4" t="n">
        <v>99</v>
      </c>
      <c r="C490" s="18" t="n">
        <v>0</v>
      </c>
      <c r="D490" s="21" t="n">
        <v>0</v>
      </c>
      <c r="E490" s="21" t="n">
        <v>0</v>
      </c>
      <c r="F490" s="21" t="n">
        <v>0</v>
      </c>
      <c r="G490" s="21" t="n">
        <v>0</v>
      </c>
      <c r="H490" s="21" t="n">
        <v>0</v>
      </c>
      <c r="I490" s="21" t="n">
        <v>0</v>
      </c>
      <c r="J490" s="21" t="n">
        <v>0</v>
      </c>
      <c r="K490" s="21" t="n">
        <v>0</v>
      </c>
      <c r="L490" s="21" t="n">
        <v>0</v>
      </c>
      <c r="M490" s="21" t="n">
        <v>0</v>
      </c>
      <c r="N490" s="21" t="n">
        <v>0</v>
      </c>
      <c r="O490" s="21" t="n">
        <v>0</v>
      </c>
      <c r="P490" s="21" t="n">
        <v>0</v>
      </c>
      <c r="Q490" s="21" t="n">
        <v>0</v>
      </c>
      <c r="R490" s="18" t="n">
        <f aca="false">ABS(D490)+MAX(ABS(G490),ABS(H490))+MAX(ABS(I490),ABS(J490))</f>
        <v>0</v>
      </c>
      <c r="S490" s="18" t="n">
        <f aca="false">ABS(K490)+MAX(ABS(N490),ABS(O490))+MAX(ABS(P490),ABS(Q490))</f>
        <v>0</v>
      </c>
      <c r="T490" s="18" t="n">
        <f aca="false">MAX(ABS(E490),ABS(F490))</f>
        <v>0</v>
      </c>
      <c r="U490" s="18" t="n">
        <f aca="false">MAX(ABS(L490),ABS(M490))</f>
        <v>0</v>
      </c>
    </row>
    <row r="491" customFormat="false" ht="15" hidden="false" customHeight="false" outlineLevel="0" collapsed="false">
      <c r="A491" s="4" t="n">
        <v>322</v>
      </c>
      <c r="B491" s="4" t="n">
        <v>99</v>
      </c>
      <c r="C491" s="18" t="n">
        <v>0.25</v>
      </c>
      <c r="D491" s="21" t="n">
        <v>0</v>
      </c>
      <c r="E491" s="21" t="n">
        <v>0</v>
      </c>
      <c r="F491" s="21" t="n">
        <v>0</v>
      </c>
      <c r="G491" s="21" t="n">
        <v>0</v>
      </c>
      <c r="H491" s="21" t="n">
        <v>0</v>
      </c>
      <c r="I491" s="21" t="n">
        <v>0</v>
      </c>
      <c r="J491" s="21" t="n">
        <v>0</v>
      </c>
      <c r="K491" s="21" t="n">
        <v>0</v>
      </c>
      <c r="L491" s="21" t="n">
        <v>0</v>
      </c>
      <c r="M491" s="21" t="n">
        <v>0</v>
      </c>
      <c r="N491" s="21" t="n">
        <v>0</v>
      </c>
      <c r="O491" s="21" t="n">
        <v>0</v>
      </c>
      <c r="P491" s="21" t="n">
        <v>0</v>
      </c>
      <c r="Q491" s="21" t="n">
        <v>0</v>
      </c>
      <c r="R491" s="18" t="n">
        <f aca="false">ABS(D491)+MAX(ABS(G491),ABS(H491))+MAX(ABS(I491),ABS(J491))</f>
        <v>0</v>
      </c>
      <c r="S491" s="18" t="n">
        <f aca="false">ABS(K491)+MAX(ABS(N491),ABS(O491))+MAX(ABS(P491),ABS(Q491))</f>
        <v>0</v>
      </c>
      <c r="T491" s="18" t="n">
        <f aca="false">MAX(ABS(E491),ABS(F491))</f>
        <v>0</v>
      </c>
      <c r="U491" s="18" t="n">
        <f aca="false">MAX(ABS(L491),ABS(M491))</f>
        <v>0</v>
      </c>
    </row>
    <row r="492" customFormat="false" ht="15" hidden="false" customHeight="false" outlineLevel="0" collapsed="false">
      <c r="A492" s="4" t="n">
        <v>322</v>
      </c>
      <c r="B492" s="4" t="n">
        <v>99</v>
      </c>
      <c r="C492" s="18" t="n">
        <v>0.5</v>
      </c>
      <c r="D492" s="21" t="n">
        <v>0</v>
      </c>
      <c r="E492" s="21" t="n">
        <v>0</v>
      </c>
      <c r="F492" s="21" t="n">
        <v>0</v>
      </c>
      <c r="G492" s="21" t="n">
        <v>0</v>
      </c>
      <c r="H492" s="21" t="n">
        <v>0</v>
      </c>
      <c r="I492" s="21" t="n">
        <v>0</v>
      </c>
      <c r="J492" s="21" t="n">
        <v>0</v>
      </c>
      <c r="K492" s="21" t="n">
        <v>0</v>
      </c>
      <c r="L492" s="21" t="n">
        <v>0</v>
      </c>
      <c r="M492" s="21" t="n">
        <v>0</v>
      </c>
      <c r="N492" s="21" t="n">
        <v>0</v>
      </c>
      <c r="O492" s="21" t="n">
        <v>0</v>
      </c>
      <c r="P492" s="21" t="n">
        <v>0</v>
      </c>
      <c r="Q492" s="21" t="n">
        <v>0</v>
      </c>
      <c r="R492" s="18" t="n">
        <f aca="false">ABS(D492)+MAX(ABS(G492),ABS(H492))+MAX(ABS(I492),ABS(J492))</f>
        <v>0</v>
      </c>
      <c r="S492" s="18" t="n">
        <f aca="false">ABS(K492)+MAX(ABS(N492),ABS(O492))+MAX(ABS(P492),ABS(Q492))</f>
        <v>0</v>
      </c>
      <c r="T492" s="18" t="n">
        <f aca="false">MAX(ABS(E492),ABS(F492))</f>
        <v>0</v>
      </c>
      <c r="U492" s="18" t="n">
        <f aca="false">MAX(ABS(L492),ABS(M492))</f>
        <v>0</v>
      </c>
    </row>
    <row r="493" customFormat="false" ht="15" hidden="false" customHeight="false" outlineLevel="0" collapsed="false">
      <c r="A493" s="4" t="n">
        <v>322</v>
      </c>
      <c r="B493" s="4" t="n">
        <v>99</v>
      </c>
      <c r="C493" s="18" t="n">
        <v>0.75</v>
      </c>
      <c r="D493" s="21" t="n">
        <v>0</v>
      </c>
      <c r="E493" s="21" t="n">
        <v>0</v>
      </c>
      <c r="F493" s="21" t="n">
        <v>0</v>
      </c>
      <c r="G493" s="21" t="n">
        <v>0</v>
      </c>
      <c r="H493" s="21" t="n">
        <v>0</v>
      </c>
      <c r="I493" s="21" t="n">
        <v>0</v>
      </c>
      <c r="J493" s="21" t="n">
        <v>0</v>
      </c>
      <c r="K493" s="21" t="n">
        <v>0</v>
      </c>
      <c r="L493" s="21" t="n">
        <v>0</v>
      </c>
      <c r="M493" s="21" t="n">
        <v>0</v>
      </c>
      <c r="N493" s="21" t="n">
        <v>0</v>
      </c>
      <c r="O493" s="21" t="n">
        <v>0</v>
      </c>
      <c r="P493" s="21" t="n">
        <v>0</v>
      </c>
      <c r="Q493" s="21" t="n">
        <v>0</v>
      </c>
      <c r="R493" s="18" t="n">
        <f aca="false">ABS(D493)+MAX(ABS(G493),ABS(H493))+MAX(ABS(I493),ABS(J493))</f>
        <v>0</v>
      </c>
      <c r="S493" s="18" t="n">
        <f aca="false">ABS(K493)+MAX(ABS(N493),ABS(O493))+MAX(ABS(P493),ABS(Q493))</f>
        <v>0</v>
      </c>
      <c r="T493" s="18" t="n">
        <f aca="false">MAX(ABS(E493),ABS(F493))</f>
        <v>0</v>
      </c>
      <c r="U493" s="18" t="n">
        <f aca="false">MAX(ABS(L493),ABS(M493))</f>
        <v>0</v>
      </c>
    </row>
    <row r="494" customFormat="false" ht="15" hidden="false" customHeight="false" outlineLevel="0" collapsed="false">
      <c r="A494" s="4" t="n">
        <v>322</v>
      </c>
      <c r="B494" s="4" t="n">
        <v>99</v>
      </c>
      <c r="C494" s="18" t="n">
        <v>1</v>
      </c>
      <c r="D494" s="21" t="n">
        <v>0</v>
      </c>
      <c r="E494" s="21" t="n">
        <v>0</v>
      </c>
      <c r="F494" s="21" t="n">
        <v>0</v>
      </c>
      <c r="G494" s="21" t="n">
        <v>0</v>
      </c>
      <c r="H494" s="21" t="n">
        <v>0</v>
      </c>
      <c r="I494" s="21" t="n">
        <v>0</v>
      </c>
      <c r="J494" s="21" t="n">
        <v>0</v>
      </c>
      <c r="K494" s="21" t="n">
        <v>0</v>
      </c>
      <c r="L494" s="21" t="n">
        <v>0</v>
      </c>
      <c r="M494" s="21" t="n">
        <v>0</v>
      </c>
      <c r="N494" s="21" t="n">
        <v>0</v>
      </c>
      <c r="O494" s="21" t="n">
        <v>0</v>
      </c>
      <c r="P494" s="21" t="n">
        <v>0</v>
      </c>
      <c r="Q494" s="21" t="n">
        <v>0</v>
      </c>
      <c r="R494" s="18" t="n">
        <f aca="false">ABS(D494)+MAX(ABS(G494),ABS(H494))+MAX(ABS(I494),ABS(J494))</f>
        <v>0</v>
      </c>
      <c r="S494" s="18" t="n">
        <f aca="false">ABS(K494)+MAX(ABS(N494),ABS(O494))+MAX(ABS(P494),ABS(Q494))</f>
        <v>0</v>
      </c>
      <c r="T494" s="18" t="n">
        <f aca="false">MAX(ABS(E494),ABS(F494))</f>
        <v>0</v>
      </c>
      <c r="U494" s="18" t="n">
        <f aca="false">MAX(ABS(L494),ABS(M494))</f>
        <v>0</v>
      </c>
    </row>
    <row r="495" customFormat="false" ht="15" hidden="false" customHeight="false" outlineLevel="0" collapsed="false">
      <c r="A495" s="4" t="n">
        <v>323</v>
      </c>
      <c r="B495" s="4" t="n">
        <v>100</v>
      </c>
      <c r="C495" s="18" t="n">
        <v>0</v>
      </c>
      <c r="D495" s="21" t="n">
        <v>0</v>
      </c>
      <c r="E495" s="21" t="n">
        <v>0.01</v>
      </c>
      <c r="F495" s="21" t="n">
        <v>0</v>
      </c>
      <c r="G495" s="21" t="n">
        <v>0</v>
      </c>
      <c r="H495" s="21" t="n">
        <v>0</v>
      </c>
      <c r="I495" s="21" t="n">
        <v>0</v>
      </c>
      <c r="J495" s="21" t="n">
        <v>0</v>
      </c>
      <c r="K495" s="21" t="n">
        <v>0</v>
      </c>
      <c r="L495" s="21" t="n">
        <v>0.01</v>
      </c>
      <c r="M495" s="21" t="n">
        <v>0</v>
      </c>
      <c r="N495" s="21" t="n">
        <v>0</v>
      </c>
      <c r="O495" s="21" t="n">
        <v>0</v>
      </c>
      <c r="P495" s="21" t="n">
        <v>0</v>
      </c>
      <c r="Q495" s="21" t="n">
        <v>0</v>
      </c>
      <c r="R495" s="18" t="n">
        <f aca="false">ABS(D495)+MAX(ABS(G495),ABS(H495))+MAX(ABS(I495),ABS(J495))</f>
        <v>0</v>
      </c>
      <c r="S495" s="18" t="n">
        <f aca="false">ABS(K495)+MAX(ABS(N495),ABS(O495))+MAX(ABS(P495),ABS(Q495))</f>
        <v>0</v>
      </c>
      <c r="T495" s="18" t="n">
        <f aca="false">MAX(ABS(E495),ABS(F495))</f>
        <v>0.01</v>
      </c>
      <c r="U495" s="18" t="n">
        <f aca="false">MAX(ABS(L495),ABS(M495))</f>
        <v>0.01</v>
      </c>
    </row>
    <row r="496" customFormat="false" ht="15" hidden="false" customHeight="false" outlineLevel="0" collapsed="false">
      <c r="A496" s="4" t="n">
        <v>323</v>
      </c>
      <c r="B496" s="4" t="n">
        <v>100</v>
      </c>
      <c r="C496" s="18" t="n">
        <v>0.25</v>
      </c>
      <c r="D496" s="21" t="n">
        <v>0</v>
      </c>
      <c r="E496" s="21" t="n">
        <v>0.01</v>
      </c>
      <c r="F496" s="21" t="n">
        <v>0</v>
      </c>
      <c r="G496" s="21" t="n">
        <v>0</v>
      </c>
      <c r="H496" s="21" t="n">
        <v>0</v>
      </c>
      <c r="I496" s="21" t="n">
        <v>0</v>
      </c>
      <c r="J496" s="21" t="n">
        <v>0</v>
      </c>
      <c r="K496" s="21" t="n">
        <v>0</v>
      </c>
      <c r="L496" s="21" t="n">
        <v>0.01</v>
      </c>
      <c r="M496" s="21" t="n">
        <v>0</v>
      </c>
      <c r="N496" s="21" t="n">
        <v>0</v>
      </c>
      <c r="O496" s="21" t="n">
        <v>0</v>
      </c>
      <c r="P496" s="21" t="n">
        <v>0</v>
      </c>
      <c r="Q496" s="21" t="n">
        <v>0</v>
      </c>
      <c r="R496" s="18" t="n">
        <f aca="false">ABS(D496)+MAX(ABS(G496),ABS(H496))+MAX(ABS(I496),ABS(J496))</f>
        <v>0</v>
      </c>
      <c r="S496" s="18" t="n">
        <f aca="false">ABS(K496)+MAX(ABS(N496),ABS(O496))+MAX(ABS(P496),ABS(Q496))</f>
        <v>0</v>
      </c>
      <c r="T496" s="18" t="n">
        <f aca="false">MAX(ABS(E496),ABS(F496))</f>
        <v>0.01</v>
      </c>
      <c r="U496" s="18" t="n">
        <f aca="false">MAX(ABS(L496),ABS(M496))</f>
        <v>0.01</v>
      </c>
    </row>
    <row r="497" customFormat="false" ht="15" hidden="false" customHeight="false" outlineLevel="0" collapsed="false">
      <c r="A497" s="4" t="n">
        <v>323</v>
      </c>
      <c r="B497" s="4" t="n">
        <v>100</v>
      </c>
      <c r="C497" s="18" t="n">
        <v>0.5</v>
      </c>
      <c r="D497" s="21" t="n">
        <v>0</v>
      </c>
      <c r="E497" s="21" t="n">
        <v>0.01</v>
      </c>
      <c r="F497" s="21" t="n">
        <v>0</v>
      </c>
      <c r="G497" s="21" t="n">
        <v>0</v>
      </c>
      <c r="H497" s="21" t="n">
        <v>0</v>
      </c>
      <c r="I497" s="21" t="n">
        <v>0</v>
      </c>
      <c r="J497" s="21" t="n">
        <v>0</v>
      </c>
      <c r="K497" s="21" t="n">
        <v>0</v>
      </c>
      <c r="L497" s="21" t="n">
        <v>0.01</v>
      </c>
      <c r="M497" s="21" t="n">
        <v>0.01</v>
      </c>
      <c r="N497" s="21" t="n">
        <v>0</v>
      </c>
      <c r="O497" s="21" t="n">
        <v>0</v>
      </c>
      <c r="P497" s="21" t="n">
        <v>0</v>
      </c>
      <c r="Q497" s="21" t="n">
        <v>0</v>
      </c>
      <c r="R497" s="18" t="n">
        <f aca="false">ABS(D497)+MAX(ABS(G497),ABS(H497))+MAX(ABS(I497),ABS(J497))</f>
        <v>0</v>
      </c>
      <c r="S497" s="18" t="n">
        <f aca="false">ABS(K497)+MAX(ABS(N497),ABS(O497))+MAX(ABS(P497),ABS(Q497))</f>
        <v>0</v>
      </c>
      <c r="T497" s="18" t="n">
        <f aca="false">MAX(ABS(E497),ABS(F497))</f>
        <v>0.01</v>
      </c>
      <c r="U497" s="18" t="n">
        <f aca="false">MAX(ABS(L497),ABS(M497))</f>
        <v>0.01</v>
      </c>
    </row>
    <row r="498" customFormat="false" ht="15" hidden="false" customHeight="false" outlineLevel="0" collapsed="false">
      <c r="A498" s="4" t="n">
        <v>323</v>
      </c>
      <c r="B498" s="4" t="n">
        <v>100</v>
      </c>
      <c r="C498" s="18" t="n">
        <v>0.75</v>
      </c>
      <c r="D498" s="21" t="n">
        <v>0</v>
      </c>
      <c r="E498" s="21" t="n">
        <v>0.01</v>
      </c>
      <c r="F498" s="21" t="n">
        <v>0.01</v>
      </c>
      <c r="G498" s="21" t="n">
        <v>0</v>
      </c>
      <c r="H498" s="21" t="n">
        <v>0</v>
      </c>
      <c r="I498" s="21" t="n">
        <v>0</v>
      </c>
      <c r="J498" s="21" t="n">
        <v>0</v>
      </c>
      <c r="K498" s="21" t="n">
        <v>0</v>
      </c>
      <c r="L498" s="21" t="n">
        <v>0.01</v>
      </c>
      <c r="M498" s="21" t="n">
        <v>0.01</v>
      </c>
      <c r="N498" s="21" t="n">
        <v>0</v>
      </c>
      <c r="O498" s="21" t="n">
        <v>0</v>
      </c>
      <c r="P498" s="21" t="n">
        <v>0</v>
      </c>
      <c r="Q498" s="21" t="n">
        <v>0</v>
      </c>
      <c r="R498" s="18" t="n">
        <f aca="false">ABS(D498)+MAX(ABS(G498),ABS(H498))+MAX(ABS(I498),ABS(J498))</f>
        <v>0</v>
      </c>
      <c r="S498" s="18" t="n">
        <f aca="false">ABS(K498)+MAX(ABS(N498),ABS(O498))+MAX(ABS(P498),ABS(Q498))</f>
        <v>0</v>
      </c>
      <c r="T498" s="18" t="n">
        <f aca="false">MAX(ABS(E498),ABS(F498))</f>
        <v>0.01</v>
      </c>
      <c r="U498" s="18" t="n">
        <f aca="false">MAX(ABS(L498),ABS(M498))</f>
        <v>0.01</v>
      </c>
    </row>
    <row r="499" customFormat="false" ht="15" hidden="false" customHeight="false" outlineLevel="0" collapsed="false">
      <c r="A499" s="4" t="n">
        <v>323</v>
      </c>
      <c r="B499" s="4" t="n">
        <v>100</v>
      </c>
      <c r="C499" s="18" t="n">
        <v>1</v>
      </c>
      <c r="D499" s="21" t="n">
        <v>0</v>
      </c>
      <c r="E499" s="21" t="n">
        <v>0.01</v>
      </c>
      <c r="F499" s="21" t="n">
        <v>0.01</v>
      </c>
      <c r="G499" s="21" t="n">
        <v>0</v>
      </c>
      <c r="H499" s="21" t="n">
        <v>0</v>
      </c>
      <c r="I499" s="21" t="n">
        <v>-0.01</v>
      </c>
      <c r="J499" s="21" t="n">
        <v>0.01</v>
      </c>
      <c r="K499" s="21" t="n">
        <v>0</v>
      </c>
      <c r="L499" s="21" t="n">
        <v>0.01</v>
      </c>
      <c r="M499" s="21" t="n">
        <v>0.01</v>
      </c>
      <c r="N499" s="21" t="n">
        <v>0</v>
      </c>
      <c r="O499" s="21" t="n">
        <v>0</v>
      </c>
      <c r="P499" s="21" t="n">
        <v>-0.01</v>
      </c>
      <c r="Q499" s="21" t="n">
        <v>0.01</v>
      </c>
      <c r="R499" s="18" t="n">
        <f aca="false">ABS(D499)+MAX(ABS(G499),ABS(H499))+MAX(ABS(I499),ABS(J499))</f>
        <v>0.01</v>
      </c>
      <c r="S499" s="18" t="n">
        <f aca="false">ABS(K499)+MAX(ABS(N499),ABS(O499))+MAX(ABS(P499),ABS(Q499))</f>
        <v>0.01</v>
      </c>
      <c r="T499" s="18" t="n">
        <f aca="false">MAX(ABS(E499),ABS(F499))</f>
        <v>0.01</v>
      </c>
      <c r="U499" s="18" t="n">
        <f aca="false">MAX(ABS(L499),ABS(M499))</f>
        <v>0.01</v>
      </c>
    </row>
    <row r="500" customFormat="false" ht="15" hidden="false" customHeight="false" outlineLevel="0" collapsed="false">
      <c r="A500" s="4" t="n">
        <v>324</v>
      </c>
      <c r="B500" s="4" t="n">
        <v>101</v>
      </c>
      <c r="C500" s="18" t="n">
        <v>0</v>
      </c>
      <c r="D500" s="21" t="n">
        <v>0</v>
      </c>
      <c r="E500" s="21" t="n">
        <v>0</v>
      </c>
      <c r="F500" s="21" t="n">
        <v>0</v>
      </c>
      <c r="G500" s="21" t="n">
        <v>-0.01</v>
      </c>
      <c r="H500" s="21" t="n">
        <v>0.01</v>
      </c>
      <c r="I500" s="21" t="n">
        <v>0</v>
      </c>
      <c r="J500" s="21" t="n">
        <v>0</v>
      </c>
      <c r="K500" s="21" t="n">
        <v>0</v>
      </c>
      <c r="L500" s="21" t="n">
        <v>0.01</v>
      </c>
      <c r="M500" s="21" t="n">
        <v>0</v>
      </c>
      <c r="N500" s="21" t="n">
        <v>-0.01</v>
      </c>
      <c r="O500" s="21" t="n">
        <v>0.01</v>
      </c>
      <c r="P500" s="21" t="n">
        <v>0</v>
      </c>
      <c r="Q500" s="21" t="n">
        <v>0</v>
      </c>
      <c r="R500" s="18" t="n">
        <f aca="false">ABS(D500)+MAX(ABS(G500),ABS(H500))+MAX(ABS(I500),ABS(J500))</f>
        <v>0.01</v>
      </c>
      <c r="S500" s="18" t="n">
        <f aca="false">ABS(K500)+MAX(ABS(N500),ABS(O500))+MAX(ABS(P500),ABS(Q500))</f>
        <v>0.01</v>
      </c>
      <c r="T500" s="18" t="n">
        <f aca="false">MAX(ABS(E500),ABS(F500))</f>
        <v>0</v>
      </c>
      <c r="U500" s="18" t="n">
        <f aca="false">MAX(ABS(L500),ABS(M500))</f>
        <v>0.01</v>
      </c>
    </row>
    <row r="501" customFormat="false" ht="15" hidden="false" customHeight="false" outlineLevel="0" collapsed="false">
      <c r="A501" s="4" t="n">
        <v>324</v>
      </c>
      <c r="B501" s="4" t="n">
        <v>101</v>
      </c>
      <c r="C501" s="18" t="n">
        <v>0.25</v>
      </c>
      <c r="D501" s="21" t="n">
        <v>0</v>
      </c>
      <c r="E501" s="21" t="n">
        <v>0</v>
      </c>
      <c r="F501" s="21" t="n">
        <v>0</v>
      </c>
      <c r="G501" s="21" t="n">
        <v>-0.01</v>
      </c>
      <c r="H501" s="21" t="n">
        <v>0.01</v>
      </c>
      <c r="I501" s="21" t="n">
        <v>0</v>
      </c>
      <c r="J501" s="21" t="n">
        <v>0</v>
      </c>
      <c r="K501" s="21" t="n">
        <v>0</v>
      </c>
      <c r="L501" s="21" t="n">
        <v>0.01</v>
      </c>
      <c r="M501" s="21" t="n">
        <v>0</v>
      </c>
      <c r="N501" s="21" t="n">
        <v>-0.01</v>
      </c>
      <c r="O501" s="21" t="n">
        <v>0.01</v>
      </c>
      <c r="P501" s="21" t="n">
        <v>0</v>
      </c>
      <c r="Q501" s="21" t="n">
        <v>0</v>
      </c>
      <c r="R501" s="18" t="n">
        <f aca="false">ABS(D501)+MAX(ABS(G501),ABS(H501))+MAX(ABS(I501),ABS(J501))</f>
        <v>0.01</v>
      </c>
      <c r="S501" s="18" t="n">
        <f aca="false">ABS(K501)+MAX(ABS(N501),ABS(O501))+MAX(ABS(P501),ABS(Q501))</f>
        <v>0.01</v>
      </c>
      <c r="T501" s="18" t="n">
        <f aca="false">MAX(ABS(E501),ABS(F501))</f>
        <v>0</v>
      </c>
      <c r="U501" s="18" t="n">
        <f aca="false">MAX(ABS(L501),ABS(M501))</f>
        <v>0.01</v>
      </c>
    </row>
    <row r="502" customFormat="false" ht="15" hidden="false" customHeight="false" outlineLevel="0" collapsed="false">
      <c r="A502" s="4" t="n">
        <v>324</v>
      </c>
      <c r="B502" s="4" t="n">
        <v>101</v>
      </c>
      <c r="C502" s="18" t="n">
        <v>0.5</v>
      </c>
      <c r="D502" s="21" t="n">
        <v>0</v>
      </c>
      <c r="E502" s="21" t="n">
        <v>0</v>
      </c>
      <c r="F502" s="21" t="n">
        <v>0</v>
      </c>
      <c r="G502" s="21" t="n">
        <v>0</v>
      </c>
      <c r="H502" s="21" t="n">
        <v>0</v>
      </c>
      <c r="I502" s="21" t="n">
        <v>0</v>
      </c>
      <c r="J502" s="21" t="n">
        <v>0</v>
      </c>
      <c r="K502" s="21" t="n">
        <v>0</v>
      </c>
      <c r="L502" s="21" t="n">
        <v>0.01</v>
      </c>
      <c r="M502" s="21" t="n">
        <v>0</v>
      </c>
      <c r="N502" s="21" t="n">
        <v>0</v>
      </c>
      <c r="O502" s="21" t="n">
        <v>0</v>
      </c>
      <c r="P502" s="21" t="n">
        <v>0</v>
      </c>
      <c r="Q502" s="21" t="n">
        <v>0</v>
      </c>
      <c r="R502" s="18" t="n">
        <f aca="false">ABS(D502)+MAX(ABS(G502),ABS(H502))+MAX(ABS(I502),ABS(J502))</f>
        <v>0</v>
      </c>
      <c r="S502" s="18" t="n">
        <f aca="false">ABS(K502)+MAX(ABS(N502),ABS(O502))+MAX(ABS(P502),ABS(Q502))</f>
        <v>0</v>
      </c>
      <c r="T502" s="18" t="n">
        <f aca="false">MAX(ABS(E502),ABS(F502))</f>
        <v>0</v>
      </c>
      <c r="U502" s="18" t="n">
        <f aca="false">MAX(ABS(L502),ABS(M502))</f>
        <v>0.01</v>
      </c>
    </row>
    <row r="503" customFormat="false" ht="15" hidden="false" customHeight="false" outlineLevel="0" collapsed="false">
      <c r="A503" s="4" t="n">
        <v>324</v>
      </c>
      <c r="B503" s="4" t="n">
        <v>101</v>
      </c>
      <c r="C503" s="18" t="n">
        <v>0.75</v>
      </c>
      <c r="D503" s="21" t="n">
        <v>0</v>
      </c>
      <c r="E503" s="21" t="n">
        <v>0</v>
      </c>
      <c r="F503" s="21" t="n">
        <v>0</v>
      </c>
      <c r="G503" s="21" t="n">
        <v>0</v>
      </c>
      <c r="H503" s="21" t="n">
        <v>0</v>
      </c>
      <c r="I503" s="21" t="n">
        <v>0.01</v>
      </c>
      <c r="J503" s="21" t="n">
        <v>-0.01</v>
      </c>
      <c r="K503" s="21" t="n">
        <v>0</v>
      </c>
      <c r="L503" s="21" t="n">
        <v>0.01</v>
      </c>
      <c r="M503" s="21" t="n">
        <v>0</v>
      </c>
      <c r="N503" s="21" t="n">
        <v>0</v>
      </c>
      <c r="O503" s="21" t="n">
        <v>0</v>
      </c>
      <c r="P503" s="21" t="n">
        <v>0.01</v>
      </c>
      <c r="Q503" s="21" t="n">
        <v>-0.01</v>
      </c>
      <c r="R503" s="18" t="n">
        <f aca="false">ABS(D503)+MAX(ABS(G503),ABS(H503))+MAX(ABS(I503),ABS(J503))</f>
        <v>0.01</v>
      </c>
      <c r="S503" s="18" t="n">
        <f aca="false">ABS(K503)+MAX(ABS(N503),ABS(O503))+MAX(ABS(P503),ABS(Q503))</f>
        <v>0.01</v>
      </c>
      <c r="T503" s="18" t="n">
        <f aca="false">MAX(ABS(E503),ABS(F503))</f>
        <v>0</v>
      </c>
      <c r="U503" s="18" t="n">
        <f aca="false">MAX(ABS(L503),ABS(M503))</f>
        <v>0.01</v>
      </c>
    </row>
    <row r="504" customFormat="false" ht="15" hidden="false" customHeight="false" outlineLevel="0" collapsed="false">
      <c r="A504" s="4" t="n">
        <v>324</v>
      </c>
      <c r="B504" s="4" t="n">
        <v>101</v>
      </c>
      <c r="C504" s="18" t="n">
        <v>1</v>
      </c>
      <c r="D504" s="21" t="n">
        <v>0</v>
      </c>
      <c r="E504" s="21" t="n">
        <v>0</v>
      </c>
      <c r="F504" s="21" t="n">
        <v>0</v>
      </c>
      <c r="G504" s="21" t="n">
        <v>0</v>
      </c>
      <c r="H504" s="21" t="n">
        <v>0</v>
      </c>
      <c r="I504" s="21" t="n">
        <v>0.01</v>
      </c>
      <c r="J504" s="21" t="n">
        <v>-0.01</v>
      </c>
      <c r="K504" s="21" t="n">
        <v>0</v>
      </c>
      <c r="L504" s="21" t="n">
        <v>0.01</v>
      </c>
      <c r="M504" s="21" t="n">
        <v>0</v>
      </c>
      <c r="N504" s="21" t="n">
        <v>0</v>
      </c>
      <c r="O504" s="21" t="n">
        <v>0</v>
      </c>
      <c r="P504" s="21" t="n">
        <v>0.01</v>
      </c>
      <c r="Q504" s="21" t="n">
        <v>-0.01</v>
      </c>
      <c r="R504" s="18" t="n">
        <f aca="false">ABS(D504)+MAX(ABS(G504),ABS(H504))+MAX(ABS(I504),ABS(J504))</f>
        <v>0.01</v>
      </c>
      <c r="S504" s="18" t="n">
        <f aca="false">ABS(K504)+MAX(ABS(N504),ABS(O504))+MAX(ABS(P504),ABS(Q504))</f>
        <v>0.01</v>
      </c>
      <c r="T504" s="18" t="n">
        <f aca="false">MAX(ABS(E504),ABS(F504))</f>
        <v>0</v>
      </c>
      <c r="U504" s="18" t="n">
        <f aca="false">MAX(ABS(L504),ABS(M504))</f>
        <v>0.01</v>
      </c>
    </row>
    <row r="505" customFormat="false" ht="15" hidden="false" customHeight="false" outlineLevel="0" collapsed="false">
      <c r="A505" s="4" t="n">
        <v>325</v>
      </c>
      <c r="B505" s="4" t="n">
        <v>102</v>
      </c>
      <c r="C505" s="18" t="n">
        <v>0</v>
      </c>
      <c r="D505" s="21" t="n">
        <v>0</v>
      </c>
      <c r="E505" s="21" t="n">
        <v>0.05</v>
      </c>
      <c r="F505" s="21" t="n">
        <v>0.03</v>
      </c>
      <c r="G505" s="21" t="n">
        <v>-0.11</v>
      </c>
      <c r="H505" s="21" t="n">
        <v>0.11</v>
      </c>
      <c r="I505" s="21" t="n">
        <v>-0.23</v>
      </c>
      <c r="J505" s="21" t="n">
        <v>0.23</v>
      </c>
      <c r="K505" s="21" t="n">
        <v>0</v>
      </c>
      <c r="L505" s="21" t="n">
        <v>0.06</v>
      </c>
      <c r="M505" s="21" t="n">
        <v>0.03</v>
      </c>
      <c r="N505" s="21" t="n">
        <v>-0.12</v>
      </c>
      <c r="O505" s="21" t="n">
        <v>0.12</v>
      </c>
      <c r="P505" s="21" t="n">
        <v>-0.25</v>
      </c>
      <c r="Q505" s="21" t="n">
        <v>0.25</v>
      </c>
      <c r="R505" s="18" t="n">
        <f aca="false">ABS(D505)+MAX(ABS(G505),ABS(H505))+MAX(ABS(I505),ABS(J505))</f>
        <v>0.34</v>
      </c>
      <c r="S505" s="18" t="n">
        <f aca="false">ABS(K505)+MAX(ABS(N505),ABS(O505))+MAX(ABS(P505),ABS(Q505))</f>
        <v>0.37</v>
      </c>
      <c r="T505" s="18" t="n">
        <f aca="false">MAX(ABS(E505),ABS(F505))</f>
        <v>0.05</v>
      </c>
      <c r="U505" s="18" t="n">
        <f aca="false">MAX(ABS(L505),ABS(M505))</f>
        <v>0.06</v>
      </c>
    </row>
    <row r="506" customFormat="false" ht="15" hidden="false" customHeight="false" outlineLevel="0" collapsed="false">
      <c r="A506" s="4" t="n">
        <v>325</v>
      </c>
      <c r="B506" s="4" t="n">
        <v>102</v>
      </c>
      <c r="C506" s="18" t="n">
        <v>0.25</v>
      </c>
      <c r="D506" s="21" t="n">
        <v>0</v>
      </c>
      <c r="E506" s="21" t="n">
        <v>0.05</v>
      </c>
      <c r="F506" s="21" t="n">
        <v>0.03</v>
      </c>
      <c r="G506" s="21" t="n">
        <v>-0.09</v>
      </c>
      <c r="H506" s="21" t="n">
        <v>0.09</v>
      </c>
      <c r="I506" s="21" t="n">
        <v>-0.2</v>
      </c>
      <c r="J506" s="21" t="n">
        <v>0.2</v>
      </c>
      <c r="K506" s="21" t="n">
        <v>0</v>
      </c>
      <c r="L506" s="21" t="n">
        <v>0.06</v>
      </c>
      <c r="M506" s="21" t="n">
        <v>0.03</v>
      </c>
      <c r="N506" s="21" t="n">
        <v>-0.09</v>
      </c>
      <c r="O506" s="21" t="n">
        <v>0.09</v>
      </c>
      <c r="P506" s="21" t="n">
        <v>-0.22</v>
      </c>
      <c r="Q506" s="21" t="n">
        <v>0.22</v>
      </c>
      <c r="R506" s="18" t="n">
        <f aca="false">ABS(D506)+MAX(ABS(G506),ABS(H506))+MAX(ABS(I506),ABS(J506))</f>
        <v>0.29</v>
      </c>
      <c r="S506" s="18" t="n">
        <f aca="false">ABS(K506)+MAX(ABS(N506),ABS(O506))+MAX(ABS(P506),ABS(Q506))</f>
        <v>0.31</v>
      </c>
      <c r="T506" s="18" t="n">
        <f aca="false">MAX(ABS(E506),ABS(F506))</f>
        <v>0.05</v>
      </c>
      <c r="U506" s="18" t="n">
        <f aca="false">MAX(ABS(L506),ABS(M506))</f>
        <v>0.06</v>
      </c>
    </row>
    <row r="507" customFormat="false" ht="15" hidden="false" customHeight="false" outlineLevel="0" collapsed="false">
      <c r="A507" s="4" t="n">
        <v>325</v>
      </c>
      <c r="B507" s="4" t="n">
        <v>102</v>
      </c>
      <c r="C507" s="18" t="n">
        <v>0.5</v>
      </c>
      <c r="D507" s="21" t="n">
        <v>0</v>
      </c>
      <c r="E507" s="21" t="n">
        <v>0.05</v>
      </c>
      <c r="F507" s="21" t="n">
        <v>0.03</v>
      </c>
      <c r="G507" s="21" t="n">
        <v>-0.07</v>
      </c>
      <c r="H507" s="21" t="n">
        <v>0.07</v>
      </c>
      <c r="I507" s="21" t="n">
        <v>-0.18</v>
      </c>
      <c r="J507" s="21" t="n">
        <v>0.18</v>
      </c>
      <c r="K507" s="21" t="n">
        <v>0</v>
      </c>
      <c r="L507" s="21" t="n">
        <v>0.06</v>
      </c>
      <c r="M507" s="21" t="n">
        <v>0.03</v>
      </c>
      <c r="N507" s="21" t="n">
        <v>-0.07</v>
      </c>
      <c r="O507" s="21" t="n">
        <v>0.07</v>
      </c>
      <c r="P507" s="21" t="n">
        <v>-0.19</v>
      </c>
      <c r="Q507" s="21" t="n">
        <v>0.19</v>
      </c>
      <c r="R507" s="18" t="n">
        <f aca="false">ABS(D507)+MAX(ABS(G507),ABS(H507))+MAX(ABS(I507),ABS(J507))</f>
        <v>0.25</v>
      </c>
      <c r="S507" s="18" t="n">
        <f aca="false">ABS(K507)+MAX(ABS(N507),ABS(O507))+MAX(ABS(P507),ABS(Q507))</f>
        <v>0.26</v>
      </c>
      <c r="T507" s="18" t="n">
        <f aca="false">MAX(ABS(E507),ABS(F507))</f>
        <v>0.05</v>
      </c>
      <c r="U507" s="18" t="n">
        <f aca="false">MAX(ABS(L507),ABS(M507))</f>
        <v>0.06</v>
      </c>
    </row>
    <row r="508" customFormat="false" ht="15" hidden="false" customHeight="false" outlineLevel="0" collapsed="false">
      <c r="A508" s="4" t="n">
        <v>325</v>
      </c>
      <c r="B508" s="4" t="n">
        <v>102</v>
      </c>
      <c r="C508" s="18" t="n">
        <v>0.75</v>
      </c>
      <c r="D508" s="21" t="n">
        <v>0</v>
      </c>
      <c r="E508" s="21" t="n">
        <v>0.05</v>
      </c>
      <c r="F508" s="21" t="n">
        <v>0.03</v>
      </c>
      <c r="G508" s="21" t="n">
        <v>-0.05</v>
      </c>
      <c r="H508" s="21" t="n">
        <v>0.05</v>
      </c>
      <c r="I508" s="21" t="n">
        <v>-0.15</v>
      </c>
      <c r="J508" s="21" t="n">
        <v>0.15</v>
      </c>
      <c r="K508" s="21" t="n">
        <v>0</v>
      </c>
      <c r="L508" s="21" t="n">
        <v>0.06</v>
      </c>
      <c r="M508" s="21" t="n">
        <v>0.03</v>
      </c>
      <c r="N508" s="21" t="n">
        <v>-0.05</v>
      </c>
      <c r="O508" s="21" t="n">
        <v>0.05</v>
      </c>
      <c r="P508" s="21" t="n">
        <v>-0.16</v>
      </c>
      <c r="Q508" s="21" t="n">
        <v>0.16</v>
      </c>
      <c r="R508" s="18" t="n">
        <f aca="false">ABS(D508)+MAX(ABS(G508),ABS(H508))+MAX(ABS(I508),ABS(J508))</f>
        <v>0.2</v>
      </c>
      <c r="S508" s="18" t="n">
        <f aca="false">ABS(K508)+MAX(ABS(N508),ABS(O508))+MAX(ABS(P508),ABS(Q508))</f>
        <v>0.21</v>
      </c>
      <c r="T508" s="18" t="n">
        <f aca="false">MAX(ABS(E508),ABS(F508))</f>
        <v>0.05</v>
      </c>
      <c r="U508" s="18" t="n">
        <f aca="false">MAX(ABS(L508),ABS(M508))</f>
        <v>0.06</v>
      </c>
    </row>
    <row r="509" customFormat="false" ht="15" hidden="false" customHeight="false" outlineLevel="0" collapsed="false">
      <c r="A509" s="4" t="n">
        <v>325</v>
      </c>
      <c r="B509" s="4" t="n">
        <v>102</v>
      </c>
      <c r="C509" s="18" t="n">
        <v>1</v>
      </c>
      <c r="D509" s="21" t="n">
        <v>0</v>
      </c>
      <c r="E509" s="21" t="n">
        <v>0.05</v>
      </c>
      <c r="F509" s="21" t="n">
        <v>0.03</v>
      </c>
      <c r="G509" s="21" t="n">
        <v>-0.03</v>
      </c>
      <c r="H509" s="21" t="n">
        <v>0.03</v>
      </c>
      <c r="I509" s="21" t="n">
        <v>-0.13</v>
      </c>
      <c r="J509" s="21" t="n">
        <v>0.13</v>
      </c>
      <c r="K509" s="21" t="n">
        <v>0</v>
      </c>
      <c r="L509" s="21" t="n">
        <v>0.06</v>
      </c>
      <c r="M509" s="21" t="n">
        <v>0.03</v>
      </c>
      <c r="N509" s="21" t="n">
        <v>-0.03</v>
      </c>
      <c r="O509" s="21" t="n">
        <v>0.03</v>
      </c>
      <c r="P509" s="21" t="n">
        <v>-0.13</v>
      </c>
      <c r="Q509" s="21" t="n">
        <v>0.13</v>
      </c>
      <c r="R509" s="18" t="n">
        <f aca="false">ABS(D509)+MAX(ABS(G509),ABS(H509))+MAX(ABS(I509),ABS(J509))</f>
        <v>0.16</v>
      </c>
      <c r="S509" s="18" t="n">
        <f aca="false">ABS(K509)+MAX(ABS(N509),ABS(O509))+MAX(ABS(P509),ABS(Q509))</f>
        <v>0.16</v>
      </c>
      <c r="T509" s="18" t="n">
        <f aca="false">MAX(ABS(E509),ABS(F509))</f>
        <v>0.05</v>
      </c>
      <c r="U509" s="18" t="n">
        <f aca="false">MAX(ABS(L509),ABS(M509))</f>
        <v>0.06</v>
      </c>
    </row>
    <row r="510" customFormat="false" ht="15" hidden="false" customHeight="false" outlineLevel="0" collapsed="false">
      <c r="A510" s="4" t="n">
        <v>326</v>
      </c>
      <c r="B510" s="4" t="n">
        <v>103</v>
      </c>
      <c r="C510" s="18" t="n">
        <v>0</v>
      </c>
      <c r="D510" s="21" t="n">
        <v>0.01</v>
      </c>
      <c r="E510" s="21" t="n">
        <v>0</v>
      </c>
      <c r="F510" s="21" t="n">
        <v>0</v>
      </c>
      <c r="G510" s="21" t="n">
        <v>0</v>
      </c>
      <c r="H510" s="21" t="n">
        <v>0</v>
      </c>
      <c r="I510" s="21" t="n">
        <v>0.06</v>
      </c>
      <c r="J510" s="21" t="n">
        <v>-0.02</v>
      </c>
      <c r="K510" s="21" t="n">
        <v>0.01</v>
      </c>
      <c r="L510" s="21" t="n">
        <v>0</v>
      </c>
      <c r="M510" s="21" t="n">
        <v>0</v>
      </c>
      <c r="N510" s="21" t="n">
        <v>0</v>
      </c>
      <c r="O510" s="21" t="n">
        <v>0</v>
      </c>
      <c r="P510" s="21" t="n">
        <v>0.06</v>
      </c>
      <c r="Q510" s="21" t="n">
        <v>-0.02</v>
      </c>
      <c r="R510" s="18" t="n">
        <f aca="false">ABS(D510)+MAX(ABS(G510),ABS(H510))+MAX(ABS(I510),ABS(J510))</f>
        <v>0.07</v>
      </c>
      <c r="S510" s="18" t="n">
        <f aca="false">ABS(K510)+MAX(ABS(N510),ABS(O510))+MAX(ABS(P510),ABS(Q510))</f>
        <v>0.07</v>
      </c>
      <c r="T510" s="18" t="n">
        <f aca="false">MAX(ABS(E510),ABS(F510))</f>
        <v>0</v>
      </c>
      <c r="U510" s="18" t="n">
        <f aca="false">MAX(ABS(L510),ABS(M510))</f>
        <v>0</v>
      </c>
    </row>
    <row r="511" customFormat="false" ht="15" hidden="false" customHeight="false" outlineLevel="0" collapsed="false">
      <c r="A511" s="4" t="n">
        <v>326</v>
      </c>
      <c r="B511" s="4" t="n">
        <v>103</v>
      </c>
      <c r="C511" s="18" t="n">
        <v>0.25</v>
      </c>
      <c r="D511" s="21" t="n">
        <v>0.01</v>
      </c>
      <c r="E511" s="21" t="n">
        <v>0</v>
      </c>
      <c r="F511" s="21" t="n">
        <v>0</v>
      </c>
      <c r="G511" s="21" t="n">
        <v>0</v>
      </c>
      <c r="H511" s="21" t="n">
        <v>0</v>
      </c>
      <c r="I511" s="21" t="n">
        <v>0.03</v>
      </c>
      <c r="J511" s="21" t="n">
        <v>-0.01</v>
      </c>
      <c r="K511" s="21" t="n">
        <v>0.01</v>
      </c>
      <c r="L511" s="21" t="n">
        <v>0</v>
      </c>
      <c r="M511" s="21" t="n">
        <v>0</v>
      </c>
      <c r="N511" s="21" t="n">
        <v>0</v>
      </c>
      <c r="O511" s="21" t="n">
        <v>0</v>
      </c>
      <c r="P511" s="21" t="n">
        <v>0.03</v>
      </c>
      <c r="Q511" s="21" t="n">
        <v>-0.01</v>
      </c>
      <c r="R511" s="18" t="n">
        <f aca="false">ABS(D511)+MAX(ABS(G511),ABS(H511))+MAX(ABS(I511),ABS(J511))</f>
        <v>0.04</v>
      </c>
      <c r="S511" s="18" t="n">
        <f aca="false">ABS(K511)+MAX(ABS(N511),ABS(O511))+MAX(ABS(P511),ABS(Q511))</f>
        <v>0.04</v>
      </c>
      <c r="T511" s="18" t="n">
        <f aca="false">MAX(ABS(E511),ABS(F511))</f>
        <v>0</v>
      </c>
      <c r="U511" s="18" t="n">
        <f aca="false">MAX(ABS(L511),ABS(M511))</f>
        <v>0</v>
      </c>
    </row>
    <row r="512" customFormat="false" ht="15" hidden="false" customHeight="false" outlineLevel="0" collapsed="false">
      <c r="A512" s="4" t="n">
        <v>326</v>
      </c>
      <c r="B512" s="4" t="n">
        <v>103</v>
      </c>
      <c r="C512" s="18" t="n">
        <v>0.5</v>
      </c>
      <c r="D512" s="21" t="n">
        <v>0.01</v>
      </c>
      <c r="E512" s="21" t="n">
        <v>0</v>
      </c>
      <c r="F512" s="21" t="n">
        <v>0</v>
      </c>
      <c r="G512" s="21" t="n">
        <v>0</v>
      </c>
      <c r="H512" s="21" t="n">
        <v>0</v>
      </c>
      <c r="I512" s="21" t="n">
        <v>0</v>
      </c>
      <c r="J512" s="21" t="n">
        <v>0</v>
      </c>
      <c r="K512" s="21" t="n">
        <v>0.01</v>
      </c>
      <c r="L512" s="21" t="n">
        <v>0</v>
      </c>
      <c r="M512" s="21" t="n">
        <v>0</v>
      </c>
      <c r="N512" s="21" t="n">
        <v>0</v>
      </c>
      <c r="O512" s="21" t="n">
        <v>0</v>
      </c>
      <c r="P512" s="21" t="n">
        <v>0</v>
      </c>
      <c r="Q512" s="21" t="n">
        <v>0</v>
      </c>
      <c r="R512" s="18" t="n">
        <f aca="false">ABS(D512)+MAX(ABS(G512),ABS(H512))+MAX(ABS(I512),ABS(J512))</f>
        <v>0.01</v>
      </c>
      <c r="S512" s="18" t="n">
        <f aca="false">ABS(K512)+MAX(ABS(N512),ABS(O512))+MAX(ABS(P512),ABS(Q512))</f>
        <v>0.01</v>
      </c>
      <c r="T512" s="18" t="n">
        <f aca="false">MAX(ABS(E512),ABS(F512))</f>
        <v>0</v>
      </c>
      <c r="U512" s="18" t="n">
        <f aca="false">MAX(ABS(L512),ABS(M512))</f>
        <v>0</v>
      </c>
    </row>
    <row r="513" customFormat="false" ht="15" hidden="false" customHeight="false" outlineLevel="0" collapsed="false">
      <c r="A513" s="4" t="n">
        <v>326</v>
      </c>
      <c r="B513" s="4" t="n">
        <v>103</v>
      </c>
      <c r="C513" s="18" t="n">
        <v>0.75</v>
      </c>
      <c r="D513" s="21" t="n">
        <v>0.01</v>
      </c>
      <c r="E513" s="21" t="n">
        <v>0</v>
      </c>
      <c r="F513" s="21" t="n">
        <v>0</v>
      </c>
      <c r="G513" s="21" t="n">
        <v>-0.01</v>
      </c>
      <c r="H513" s="21" t="n">
        <v>0.01</v>
      </c>
      <c r="I513" s="21" t="n">
        <v>-0.03</v>
      </c>
      <c r="J513" s="21" t="n">
        <v>0.01</v>
      </c>
      <c r="K513" s="21" t="n">
        <v>0.01</v>
      </c>
      <c r="L513" s="21" t="n">
        <v>0</v>
      </c>
      <c r="M513" s="21" t="n">
        <v>0</v>
      </c>
      <c r="N513" s="21" t="n">
        <v>-0.01</v>
      </c>
      <c r="O513" s="21" t="n">
        <v>0.01</v>
      </c>
      <c r="P513" s="21" t="n">
        <v>-0.03</v>
      </c>
      <c r="Q513" s="21" t="n">
        <v>0.01</v>
      </c>
      <c r="R513" s="18" t="n">
        <f aca="false">ABS(D513)+MAX(ABS(G513),ABS(H513))+MAX(ABS(I513),ABS(J513))</f>
        <v>0.05</v>
      </c>
      <c r="S513" s="18" t="n">
        <f aca="false">ABS(K513)+MAX(ABS(N513),ABS(O513))+MAX(ABS(P513),ABS(Q513))</f>
        <v>0.05</v>
      </c>
      <c r="T513" s="18" t="n">
        <f aca="false">MAX(ABS(E513),ABS(F513))</f>
        <v>0</v>
      </c>
      <c r="U513" s="18" t="n">
        <f aca="false">MAX(ABS(L513),ABS(M513))</f>
        <v>0</v>
      </c>
    </row>
    <row r="514" customFormat="false" ht="15" hidden="false" customHeight="false" outlineLevel="0" collapsed="false">
      <c r="A514" s="4" t="n">
        <v>326</v>
      </c>
      <c r="B514" s="4" t="n">
        <v>103</v>
      </c>
      <c r="C514" s="18" t="n">
        <v>1</v>
      </c>
      <c r="D514" s="21" t="n">
        <v>0.01</v>
      </c>
      <c r="E514" s="21" t="n">
        <v>0</v>
      </c>
      <c r="F514" s="21" t="n">
        <v>0</v>
      </c>
      <c r="G514" s="21" t="n">
        <v>-0.01</v>
      </c>
      <c r="H514" s="21" t="n">
        <v>0.01</v>
      </c>
      <c r="I514" s="21" t="n">
        <v>-0.05</v>
      </c>
      <c r="J514" s="21" t="n">
        <v>0.02</v>
      </c>
      <c r="K514" s="21" t="n">
        <v>0.01</v>
      </c>
      <c r="L514" s="21" t="n">
        <v>0</v>
      </c>
      <c r="M514" s="21" t="n">
        <v>0</v>
      </c>
      <c r="N514" s="21" t="n">
        <v>-0.01</v>
      </c>
      <c r="O514" s="21" t="n">
        <v>0.01</v>
      </c>
      <c r="P514" s="21" t="n">
        <v>-0.05</v>
      </c>
      <c r="Q514" s="21" t="n">
        <v>0.02</v>
      </c>
      <c r="R514" s="18" t="n">
        <f aca="false">ABS(D514)+MAX(ABS(G514),ABS(H514))+MAX(ABS(I514),ABS(J514))</f>
        <v>0.07</v>
      </c>
      <c r="S514" s="18" t="n">
        <f aca="false">ABS(K514)+MAX(ABS(N514),ABS(O514))+MAX(ABS(P514),ABS(Q514))</f>
        <v>0.07</v>
      </c>
      <c r="T514" s="18" t="n">
        <f aca="false">MAX(ABS(E514),ABS(F514))</f>
        <v>0</v>
      </c>
      <c r="U514" s="18" t="n">
        <f aca="false">MAX(ABS(L514),ABS(M514))</f>
        <v>0</v>
      </c>
    </row>
    <row r="515" customFormat="false" ht="15" hidden="false" customHeight="false" outlineLevel="0" collapsed="false">
      <c r="A515" s="4" t="n">
        <v>327</v>
      </c>
      <c r="B515" s="4" t="n">
        <v>104</v>
      </c>
      <c r="C515" s="18" t="n">
        <v>0</v>
      </c>
      <c r="D515" s="21" t="n">
        <v>0.01</v>
      </c>
      <c r="E515" s="21" t="n">
        <v>0</v>
      </c>
      <c r="F515" s="21" t="n">
        <v>0</v>
      </c>
      <c r="G515" s="21" t="n">
        <v>-0.01</v>
      </c>
      <c r="H515" s="21" t="n">
        <v>0.01</v>
      </c>
      <c r="I515" s="21" t="n">
        <v>0.03</v>
      </c>
      <c r="J515" s="21" t="n">
        <v>-0.01</v>
      </c>
      <c r="K515" s="21" t="n">
        <v>0.01</v>
      </c>
      <c r="L515" s="21" t="n">
        <v>0</v>
      </c>
      <c r="M515" s="21" t="n">
        <v>0</v>
      </c>
      <c r="N515" s="21" t="n">
        <v>-0.01</v>
      </c>
      <c r="O515" s="21" t="n">
        <v>0.01</v>
      </c>
      <c r="P515" s="21" t="n">
        <v>0.03</v>
      </c>
      <c r="Q515" s="21" t="n">
        <v>-0.01</v>
      </c>
      <c r="R515" s="18" t="n">
        <f aca="false">ABS(D515)+MAX(ABS(G515),ABS(H515))+MAX(ABS(I515),ABS(J515))</f>
        <v>0.05</v>
      </c>
      <c r="S515" s="18" t="n">
        <f aca="false">ABS(K515)+MAX(ABS(N515),ABS(O515))+MAX(ABS(P515),ABS(Q515))</f>
        <v>0.05</v>
      </c>
      <c r="T515" s="18" t="n">
        <f aca="false">MAX(ABS(E515),ABS(F515))</f>
        <v>0</v>
      </c>
      <c r="U515" s="18" t="n">
        <f aca="false">MAX(ABS(L515),ABS(M515))</f>
        <v>0</v>
      </c>
    </row>
    <row r="516" customFormat="false" ht="15" hidden="false" customHeight="false" outlineLevel="0" collapsed="false">
      <c r="A516" s="4" t="n">
        <v>327</v>
      </c>
      <c r="B516" s="4" t="n">
        <v>104</v>
      </c>
      <c r="C516" s="18" t="n">
        <v>0.25</v>
      </c>
      <c r="D516" s="21" t="n">
        <v>0.01</v>
      </c>
      <c r="E516" s="21" t="n">
        <v>0</v>
      </c>
      <c r="F516" s="21" t="n">
        <v>0</v>
      </c>
      <c r="G516" s="21" t="n">
        <v>0</v>
      </c>
      <c r="H516" s="21" t="n">
        <v>0</v>
      </c>
      <c r="I516" s="21" t="n">
        <v>0.02</v>
      </c>
      <c r="J516" s="21" t="n">
        <v>-0.01</v>
      </c>
      <c r="K516" s="21" t="n">
        <v>0.01</v>
      </c>
      <c r="L516" s="21" t="n">
        <v>0</v>
      </c>
      <c r="M516" s="21" t="n">
        <v>0</v>
      </c>
      <c r="N516" s="21" t="n">
        <v>0</v>
      </c>
      <c r="O516" s="21" t="n">
        <v>0</v>
      </c>
      <c r="P516" s="21" t="n">
        <v>0.02</v>
      </c>
      <c r="Q516" s="21" t="n">
        <v>-0.01</v>
      </c>
      <c r="R516" s="18" t="n">
        <f aca="false">ABS(D516)+MAX(ABS(G516),ABS(H516))+MAX(ABS(I516),ABS(J516))</f>
        <v>0.03</v>
      </c>
      <c r="S516" s="18" t="n">
        <f aca="false">ABS(K516)+MAX(ABS(N516),ABS(O516))+MAX(ABS(P516),ABS(Q516))</f>
        <v>0.03</v>
      </c>
      <c r="T516" s="18" t="n">
        <f aca="false">MAX(ABS(E516),ABS(F516))</f>
        <v>0</v>
      </c>
      <c r="U516" s="18" t="n">
        <f aca="false">MAX(ABS(L516),ABS(M516))</f>
        <v>0</v>
      </c>
    </row>
    <row r="517" customFormat="false" ht="15" hidden="false" customHeight="false" outlineLevel="0" collapsed="false">
      <c r="A517" s="4" t="n">
        <v>327</v>
      </c>
      <c r="B517" s="4" t="n">
        <v>104</v>
      </c>
      <c r="C517" s="18" t="n">
        <v>0.5</v>
      </c>
      <c r="D517" s="21" t="n">
        <v>0.01</v>
      </c>
      <c r="E517" s="21" t="n">
        <v>0</v>
      </c>
      <c r="F517" s="21" t="n">
        <v>0</v>
      </c>
      <c r="G517" s="21" t="n">
        <v>0.01</v>
      </c>
      <c r="H517" s="21" t="n">
        <v>-0.01</v>
      </c>
      <c r="I517" s="21" t="n">
        <v>0.01</v>
      </c>
      <c r="J517" s="21" t="n">
        <v>0</v>
      </c>
      <c r="K517" s="21" t="n">
        <v>0.01</v>
      </c>
      <c r="L517" s="21" t="n">
        <v>0</v>
      </c>
      <c r="M517" s="21" t="n">
        <v>0</v>
      </c>
      <c r="N517" s="21" t="n">
        <v>0.01</v>
      </c>
      <c r="O517" s="21" t="n">
        <v>-0.01</v>
      </c>
      <c r="P517" s="21" t="n">
        <v>0.01</v>
      </c>
      <c r="Q517" s="21" t="n">
        <v>0</v>
      </c>
      <c r="R517" s="18" t="n">
        <f aca="false">ABS(D517)+MAX(ABS(G517),ABS(H517))+MAX(ABS(I517),ABS(J517))</f>
        <v>0.03</v>
      </c>
      <c r="S517" s="18" t="n">
        <f aca="false">ABS(K517)+MAX(ABS(N517),ABS(O517))+MAX(ABS(P517),ABS(Q517))</f>
        <v>0.03</v>
      </c>
      <c r="T517" s="18" t="n">
        <f aca="false">MAX(ABS(E517),ABS(F517))</f>
        <v>0</v>
      </c>
      <c r="U517" s="18" t="n">
        <f aca="false">MAX(ABS(L517),ABS(M517))</f>
        <v>0</v>
      </c>
    </row>
    <row r="518" customFormat="false" ht="15" hidden="false" customHeight="false" outlineLevel="0" collapsed="false">
      <c r="A518" s="4" t="n">
        <v>327</v>
      </c>
      <c r="B518" s="4" t="n">
        <v>104</v>
      </c>
      <c r="C518" s="18" t="n">
        <v>0.75</v>
      </c>
      <c r="D518" s="21" t="n">
        <v>0.01</v>
      </c>
      <c r="E518" s="21" t="n">
        <v>0</v>
      </c>
      <c r="F518" s="21" t="n">
        <v>0</v>
      </c>
      <c r="G518" s="21" t="n">
        <v>0.01</v>
      </c>
      <c r="H518" s="21" t="n">
        <v>-0.01</v>
      </c>
      <c r="I518" s="21" t="n">
        <v>0</v>
      </c>
      <c r="J518" s="21" t="n">
        <v>0</v>
      </c>
      <c r="K518" s="21" t="n">
        <v>0.01</v>
      </c>
      <c r="L518" s="21" t="n">
        <v>0</v>
      </c>
      <c r="M518" s="21" t="n">
        <v>0</v>
      </c>
      <c r="N518" s="21" t="n">
        <v>0.01</v>
      </c>
      <c r="O518" s="21" t="n">
        <v>-0.01</v>
      </c>
      <c r="P518" s="21" t="n">
        <v>0</v>
      </c>
      <c r="Q518" s="21" t="n">
        <v>0</v>
      </c>
      <c r="R518" s="18" t="n">
        <f aca="false">ABS(D518)+MAX(ABS(G518),ABS(H518))+MAX(ABS(I518),ABS(J518))</f>
        <v>0.02</v>
      </c>
      <c r="S518" s="18" t="n">
        <f aca="false">ABS(K518)+MAX(ABS(N518),ABS(O518))+MAX(ABS(P518),ABS(Q518))</f>
        <v>0.02</v>
      </c>
      <c r="T518" s="18" t="n">
        <f aca="false">MAX(ABS(E518),ABS(F518))</f>
        <v>0</v>
      </c>
      <c r="U518" s="18" t="n">
        <f aca="false">MAX(ABS(L518),ABS(M518))</f>
        <v>0</v>
      </c>
    </row>
    <row r="519" customFormat="false" ht="15" hidden="false" customHeight="false" outlineLevel="0" collapsed="false">
      <c r="A519" s="4" t="n">
        <v>327</v>
      </c>
      <c r="B519" s="4" t="n">
        <v>104</v>
      </c>
      <c r="C519" s="18" t="n">
        <v>1</v>
      </c>
      <c r="D519" s="21" t="n">
        <v>0.01</v>
      </c>
      <c r="E519" s="21" t="n">
        <v>0</v>
      </c>
      <c r="F519" s="21" t="n">
        <v>0</v>
      </c>
      <c r="G519" s="21" t="n">
        <v>0.02</v>
      </c>
      <c r="H519" s="21" t="n">
        <v>-0.02</v>
      </c>
      <c r="I519" s="21" t="n">
        <v>-0.01</v>
      </c>
      <c r="J519" s="21" t="n">
        <v>0.01</v>
      </c>
      <c r="K519" s="21" t="n">
        <v>0.01</v>
      </c>
      <c r="L519" s="21" t="n">
        <v>0</v>
      </c>
      <c r="M519" s="21" t="n">
        <v>0</v>
      </c>
      <c r="N519" s="21" t="n">
        <v>0.02</v>
      </c>
      <c r="O519" s="21" t="n">
        <v>-0.02</v>
      </c>
      <c r="P519" s="21" t="n">
        <v>-0.01</v>
      </c>
      <c r="Q519" s="21" t="n">
        <v>0.01</v>
      </c>
      <c r="R519" s="18" t="n">
        <f aca="false">ABS(D519)+MAX(ABS(G519),ABS(H519))+MAX(ABS(I519),ABS(J519))</f>
        <v>0.04</v>
      </c>
      <c r="S519" s="18" t="n">
        <f aca="false">ABS(K519)+MAX(ABS(N519),ABS(O519))+MAX(ABS(P519),ABS(Q519))</f>
        <v>0.04</v>
      </c>
      <c r="T519" s="18" t="n">
        <f aca="false">MAX(ABS(E519),ABS(F519))</f>
        <v>0</v>
      </c>
      <c r="U519" s="18" t="n">
        <f aca="false">MAX(ABS(L519),ABS(M519))</f>
        <v>0</v>
      </c>
    </row>
    <row r="520" customFormat="false" ht="15" hidden="false" customHeight="false" outlineLevel="0" collapsed="false">
      <c r="A520" s="4" t="n">
        <v>328</v>
      </c>
      <c r="B520" s="4" t="n">
        <v>105</v>
      </c>
      <c r="C520" s="18" t="n">
        <v>0</v>
      </c>
      <c r="D520" s="21" t="n">
        <v>0.01</v>
      </c>
      <c r="E520" s="21" t="n">
        <v>0</v>
      </c>
      <c r="F520" s="21" t="n">
        <v>0</v>
      </c>
      <c r="G520" s="21" t="n">
        <v>0</v>
      </c>
      <c r="H520" s="21" t="n">
        <v>0</v>
      </c>
      <c r="I520" s="21" t="n">
        <v>-0.05</v>
      </c>
      <c r="J520" s="21" t="n">
        <v>0.02</v>
      </c>
      <c r="K520" s="21" t="n">
        <v>0.01</v>
      </c>
      <c r="L520" s="21" t="n">
        <v>0</v>
      </c>
      <c r="M520" s="21" t="n">
        <v>0</v>
      </c>
      <c r="N520" s="21" t="n">
        <v>0</v>
      </c>
      <c r="O520" s="21" t="n">
        <v>0</v>
      </c>
      <c r="P520" s="21" t="n">
        <v>-0.06</v>
      </c>
      <c r="Q520" s="21" t="n">
        <v>0.02</v>
      </c>
      <c r="R520" s="18" t="n">
        <f aca="false">ABS(D520)+MAX(ABS(G520),ABS(H520))+MAX(ABS(I520),ABS(J520))</f>
        <v>0.06</v>
      </c>
      <c r="S520" s="18" t="n">
        <f aca="false">ABS(K520)+MAX(ABS(N520),ABS(O520))+MAX(ABS(P520),ABS(Q520))</f>
        <v>0.07</v>
      </c>
      <c r="T520" s="18" t="n">
        <f aca="false">MAX(ABS(E520),ABS(F520))</f>
        <v>0</v>
      </c>
      <c r="U520" s="18" t="n">
        <f aca="false">MAX(ABS(L520),ABS(M520))</f>
        <v>0</v>
      </c>
    </row>
    <row r="521" customFormat="false" ht="15" hidden="false" customHeight="false" outlineLevel="0" collapsed="false">
      <c r="A521" s="4" t="n">
        <v>328</v>
      </c>
      <c r="B521" s="4" t="n">
        <v>105</v>
      </c>
      <c r="C521" s="18" t="n">
        <v>0.25</v>
      </c>
      <c r="D521" s="21" t="n">
        <v>0.01</v>
      </c>
      <c r="E521" s="21" t="n">
        <v>0</v>
      </c>
      <c r="F521" s="21" t="n">
        <v>0</v>
      </c>
      <c r="G521" s="21" t="n">
        <v>0</v>
      </c>
      <c r="H521" s="21" t="n">
        <v>0</v>
      </c>
      <c r="I521" s="21" t="n">
        <v>-0.03</v>
      </c>
      <c r="J521" s="21" t="n">
        <v>0.01</v>
      </c>
      <c r="K521" s="21" t="n">
        <v>0.01</v>
      </c>
      <c r="L521" s="21" t="n">
        <v>0</v>
      </c>
      <c r="M521" s="21" t="n">
        <v>0</v>
      </c>
      <c r="N521" s="21" t="n">
        <v>0</v>
      </c>
      <c r="O521" s="21" t="n">
        <v>0</v>
      </c>
      <c r="P521" s="21" t="n">
        <v>-0.03</v>
      </c>
      <c r="Q521" s="21" t="n">
        <v>0.01</v>
      </c>
      <c r="R521" s="18" t="n">
        <f aca="false">ABS(D521)+MAX(ABS(G521),ABS(H521))+MAX(ABS(I521),ABS(J521))</f>
        <v>0.04</v>
      </c>
      <c r="S521" s="18" t="n">
        <f aca="false">ABS(K521)+MAX(ABS(N521),ABS(O521))+MAX(ABS(P521),ABS(Q521))</f>
        <v>0.04</v>
      </c>
      <c r="T521" s="18" t="n">
        <f aca="false">MAX(ABS(E521),ABS(F521))</f>
        <v>0</v>
      </c>
      <c r="U521" s="18" t="n">
        <f aca="false">MAX(ABS(L521),ABS(M521))</f>
        <v>0</v>
      </c>
    </row>
    <row r="522" customFormat="false" ht="15" hidden="false" customHeight="false" outlineLevel="0" collapsed="false">
      <c r="A522" s="4" t="n">
        <v>328</v>
      </c>
      <c r="B522" s="4" t="n">
        <v>105</v>
      </c>
      <c r="C522" s="18" t="n">
        <v>0.5</v>
      </c>
      <c r="D522" s="21" t="n">
        <v>0.01</v>
      </c>
      <c r="E522" s="21" t="n">
        <v>0</v>
      </c>
      <c r="F522" s="21" t="n">
        <v>0</v>
      </c>
      <c r="G522" s="21" t="n">
        <v>0.01</v>
      </c>
      <c r="H522" s="21" t="n">
        <v>-0.01</v>
      </c>
      <c r="I522" s="21" t="n">
        <v>0</v>
      </c>
      <c r="J522" s="21" t="n">
        <v>0</v>
      </c>
      <c r="K522" s="21" t="n">
        <v>0.01</v>
      </c>
      <c r="L522" s="21" t="n">
        <v>0</v>
      </c>
      <c r="M522" s="21" t="n">
        <v>0</v>
      </c>
      <c r="N522" s="21" t="n">
        <v>0.01</v>
      </c>
      <c r="O522" s="21" t="n">
        <v>-0.01</v>
      </c>
      <c r="P522" s="21" t="n">
        <v>0</v>
      </c>
      <c r="Q522" s="21" t="n">
        <v>0</v>
      </c>
      <c r="R522" s="18" t="n">
        <f aca="false">ABS(D522)+MAX(ABS(G522),ABS(H522))+MAX(ABS(I522),ABS(J522))</f>
        <v>0.02</v>
      </c>
      <c r="S522" s="18" t="n">
        <f aca="false">ABS(K522)+MAX(ABS(N522),ABS(O522))+MAX(ABS(P522),ABS(Q522))</f>
        <v>0.02</v>
      </c>
      <c r="T522" s="18" t="n">
        <f aca="false">MAX(ABS(E522),ABS(F522))</f>
        <v>0</v>
      </c>
      <c r="U522" s="18" t="n">
        <f aca="false">MAX(ABS(L522),ABS(M522))</f>
        <v>0</v>
      </c>
    </row>
    <row r="523" customFormat="false" ht="15" hidden="false" customHeight="false" outlineLevel="0" collapsed="false">
      <c r="A523" s="4" t="n">
        <v>328</v>
      </c>
      <c r="B523" s="4" t="n">
        <v>105</v>
      </c>
      <c r="C523" s="18" t="n">
        <v>0.75</v>
      </c>
      <c r="D523" s="21" t="n">
        <v>0.01</v>
      </c>
      <c r="E523" s="21" t="n">
        <v>0</v>
      </c>
      <c r="F523" s="21" t="n">
        <v>0</v>
      </c>
      <c r="G523" s="21" t="n">
        <v>0.01</v>
      </c>
      <c r="H523" s="21" t="n">
        <v>-0.01</v>
      </c>
      <c r="I523" s="21" t="n">
        <v>0.03</v>
      </c>
      <c r="J523" s="21" t="n">
        <v>-0.01</v>
      </c>
      <c r="K523" s="21" t="n">
        <v>0.01</v>
      </c>
      <c r="L523" s="21" t="n">
        <v>0</v>
      </c>
      <c r="M523" s="21" t="n">
        <v>0</v>
      </c>
      <c r="N523" s="21" t="n">
        <v>0.01</v>
      </c>
      <c r="O523" s="21" t="n">
        <v>-0.01</v>
      </c>
      <c r="P523" s="21" t="n">
        <v>0.03</v>
      </c>
      <c r="Q523" s="21" t="n">
        <v>-0.01</v>
      </c>
      <c r="R523" s="18" t="n">
        <f aca="false">ABS(D523)+MAX(ABS(G523),ABS(H523))+MAX(ABS(I523),ABS(J523))</f>
        <v>0.05</v>
      </c>
      <c r="S523" s="18" t="n">
        <f aca="false">ABS(K523)+MAX(ABS(N523),ABS(O523))+MAX(ABS(P523),ABS(Q523))</f>
        <v>0.05</v>
      </c>
      <c r="T523" s="18" t="n">
        <f aca="false">MAX(ABS(E523),ABS(F523))</f>
        <v>0</v>
      </c>
      <c r="U523" s="18" t="n">
        <f aca="false">MAX(ABS(L523),ABS(M523))</f>
        <v>0</v>
      </c>
    </row>
    <row r="524" customFormat="false" ht="15" hidden="false" customHeight="false" outlineLevel="0" collapsed="false">
      <c r="A524" s="4" t="n">
        <v>328</v>
      </c>
      <c r="B524" s="4" t="n">
        <v>105</v>
      </c>
      <c r="C524" s="18" t="n">
        <v>1</v>
      </c>
      <c r="D524" s="21" t="n">
        <v>0.01</v>
      </c>
      <c r="E524" s="21" t="n">
        <v>0</v>
      </c>
      <c r="F524" s="21" t="n">
        <v>0</v>
      </c>
      <c r="G524" s="21" t="n">
        <v>0.01</v>
      </c>
      <c r="H524" s="21" t="n">
        <v>-0.01</v>
      </c>
      <c r="I524" s="21" t="n">
        <v>0.05</v>
      </c>
      <c r="J524" s="21" t="n">
        <v>-0.02</v>
      </c>
      <c r="K524" s="21" t="n">
        <v>0.01</v>
      </c>
      <c r="L524" s="21" t="n">
        <v>0</v>
      </c>
      <c r="M524" s="21" t="n">
        <v>0</v>
      </c>
      <c r="N524" s="21" t="n">
        <v>0.01</v>
      </c>
      <c r="O524" s="21" t="n">
        <v>-0.01</v>
      </c>
      <c r="P524" s="21" t="n">
        <v>0.06</v>
      </c>
      <c r="Q524" s="21" t="n">
        <v>-0.02</v>
      </c>
      <c r="R524" s="18" t="n">
        <f aca="false">ABS(D524)+MAX(ABS(G524),ABS(H524))+MAX(ABS(I524),ABS(J524))</f>
        <v>0.07</v>
      </c>
      <c r="S524" s="18" t="n">
        <f aca="false">ABS(K524)+MAX(ABS(N524),ABS(O524))+MAX(ABS(P524),ABS(Q524))</f>
        <v>0.08</v>
      </c>
      <c r="T524" s="18" t="n">
        <f aca="false">MAX(ABS(E524),ABS(F524))</f>
        <v>0</v>
      </c>
      <c r="U524" s="18" t="n">
        <f aca="false">MAX(ABS(L524),ABS(M524))</f>
        <v>0</v>
      </c>
    </row>
    <row r="525" customFormat="false" ht="15" hidden="false" customHeight="false" outlineLevel="0" collapsed="false">
      <c r="A525" s="4" t="n">
        <v>329</v>
      </c>
      <c r="B525" s="4" t="n">
        <v>106</v>
      </c>
      <c r="C525" s="18" t="n">
        <v>0</v>
      </c>
      <c r="D525" s="21" t="n">
        <v>0.02</v>
      </c>
      <c r="E525" s="21" t="n">
        <v>0</v>
      </c>
      <c r="F525" s="21" t="n">
        <v>0</v>
      </c>
      <c r="G525" s="21" t="n">
        <v>0.01</v>
      </c>
      <c r="H525" s="21" t="n">
        <v>-0.01</v>
      </c>
      <c r="I525" s="21" t="n">
        <v>-0.05</v>
      </c>
      <c r="J525" s="21" t="n">
        <v>0.02</v>
      </c>
      <c r="K525" s="21" t="n">
        <v>0.02</v>
      </c>
      <c r="L525" s="21" t="n">
        <v>0</v>
      </c>
      <c r="M525" s="21" t="n">
        <v>0</v>
      </c>
      <c r="N525" s="21" t="n">
        <v>0.01</v>
      </c>
      <c r="O525" s="21" t="n">
        <v>-0.01</v>
      </c>
      <c r="P525" s="21" t="n">
        <v>-0.05</v>
      </c>
      <c r="Q525" s="21" t="n">
        <v>0.02</v>
      </c>
      <c r="R525" s="18" t="n">
        <f aca="false">ABS(D525)+MAX(ABS(G525),ABS(H525))+MAX(ABS(I525),ABS(J525))</f>
        <v>0.08</v>
      </c>
      <c r="S525" s="18" t="n">
        <f aca="false">ABS(K525)+MAX(ABS(N525),ABS(O525))+MAX(ABS(P525),ABS(Q525))</f>
        <v>0.08</v>
      </c>
      <c r="T525" s="18" t="n">
        <f aca="false">MAX(ABS(E525),ABS(F525))</f>
        <v>0</v>
      </c>
      <c r="U525" s="18" t="n">
        <f aca="false">MAX(ABS(L525),ABS(M525))</f>
        <v>0</v>
      </c>
    </row>
    <row r="526" customFormat="false" ht="15" hidden="false" customHeight="false" outlineLevel="0" collapsed="false">
      <c r="A526" s="4" t="n">
        <v>329</v>
      </c>
      <c r="B526" s="4" t="n">
        <v>106</v>
      </c>
      <c r="C526" s="18" t="n">
        <v>0.25</v>
      </c>
      <c r="D526" s="21" t="n">
        <v>0.02</v>
      </c>
      <c r="E526" s="21" t="n">
        <v>0</v>
      </c>
      <c r="F526" s="21" t="n">
        <v>0</v>
      </c>
      <c r="G526" s="21" t="n">
        <v>0.01</v>
      </c>
      <c r="H526" s="21" t="n">
        <v>-0.01</v>
      </c>
      <c r="I526" s="21" t="n">
        <v>-0.02</v>
      </c>
      <c r="J526" s="21" t="n">
        <v>0.01</v>
      </c>
      <c r="K526" s="21" t="n">
        <v>0.02</v>
      </c>
      <c r="L526" s="21" t="n">
        <v>0</v>
      </c>
      <c r="M526" s="21" t="n">
        <v>0</v>
      </c>
      <c r="N526" s="21" t="n">
        <v>0.01</v>
      </c>
      <c r="O526" s="21" t="n">
        <v>-0.01</v>
      </c>
      <c r="P526" s="21" t="n">
        <v>-0.02</v>
      </c>
      <c r="Q526" s="21" t="n">
        <v>0.01</v>
      </c>
      <c r="R526" s="18" t="n">
        <f aca="false">ABS(D526)+MAX(ABS(G526),ABS(H526))+MAX(ABS(I526),ABS(J526))</f>
        <v>0.05</v>
      </c>
      <c r="S526" s="18" t="n">
        <f aca="false">ABS(K526)+MAX(ABS(N526),ABS(O526))+MAX(ABS(P526),ABS(Q526))</f>
        <v>0.05</v>
      </c>
      <c r="T526" s="18" t="n">
        <f aca="false">MAX(ABS(E526),ABS(F526))</f>
        <v>0</v>
      </c>
      <c r="U526" s="18" t="n">
        <f aca="false">MAX(ABS(L526),ABS(M526))</f>
        <v>0</v>
      </c>
    </row>
    <row r="527" customFormat="false" ht="15" hidden="false" customHeight="false" outlineLevel="0" collapsed="false">
      <c r="A527" s="4" t="n">
        <v>329</v>
      </c>
      <c r="B527" s="4" t="n">
        <v>106</v>
      </c>
      <c r="C527" s="18" t="n">
        <v>0.5</v>
      </c>
      <c r="D527" s="21" t="n">
        <v>0.02</v>
      </c>
      <c r="E527" s="21" t="n">
        <v>0</v>
      </c>
      <c r="F527" s="21" t="n">
        <v>0</v>
      </c>
      <c r="G527" s="21" t="n">
        <v>0.01</v>
      </c>
      <c r="H527" s="21" t="n">
        <v>-0.01</v>
      </c>
      <c r="I527" s="21" t="n">
        <v>0</v>
      </c>
      <c r="J527" s="21" t="n">
        <v>0</v>
      </c>
      <c r="K527" s="21" t="n">
        <v>0.02</v>
      </c>
      <c r="L527" s="21" t="n">
        <v>0</v>
      </c>
      <c r="M527" s="21" t="n">
        <v>0</v>
      </c>
      <c r="N527" s="21" t="n">
        <v>0.01</v>
      </c>
      <c r="O527" s="21" t="n">
        <v>-0.01</v>
      </c>
      <c r="P527" s="21" t="n">
        <v>0</v>
      </c>
      <c r="Q527" s="21" t="n">
        <v>0</v>
      </c>
      <c r="R527" s="18" t="n">
        <f aca="false">ABS(D527)+MAX(ABS(G527),ABS(H527))+MAX(ABS(I527),ABS(J527))</f>
        <v>0.03</v>
      </c>
      <c r="S527" s="18" t="n">
        <f aca="false">ABS(K527)+MAX(ABS(N527),ABS(O527))+MAX(ABS(P527),ABS(Q527))</f>
        <v>0.03</v>
      </c>
      <c r="T527" s="18" t="n">
        <f aca="false">MAX(ABS(E527),ABS(F527))</f>
        <v>0</v>
      </c>
      <c r="U527" s="18" t="n">
        <f aca="false">MAX(ABS(L527),ABS(M527))</f>
        <v>0</v>
      </c>
    </row>
    <row r="528" customFormat="false" ht="15" hidden="false" customHeight="false" outlineLevel="0" collapsed="false">
      <c r="A528" s="4" t="n">
        <v>329</v>
      </c>
      <c r="B528" s="4" t="n">
        <v>106</v>
      </c>
      <c r="C528" s="18" t="n">
        <v>0.75</v>
      </c>
      <c r="D528" s="21" t="n">
        <v>0.02</v>
      </c>
      <c r="E528" s="21" t="n">
        <v>0</v>
      </c>
      <c r="F528" s="21" t="n">
        <v>0</v>
      </c>
      <c r="G528" s="21" t="n">
        <v>0</v>
      </c>
      <c r="H528" s="21" t="n">
        <v>0</v>
      </c>
      <c r="I528" s="21" t="n">
        <v>0.02</v>
      </c>
      <c r="J528" s="21" t="n">
        <v>-0.01</v>
      </c>
      <c r="K528" s="21" t="n">
        <v>0.02</v>
      </c>
      <c r="L528" s="21" t="n">
        <v>0</v>
      </c>
      <c r="M528" s="21" t="n">
        <v>0</v>
      </c>
      <c r="N528" s="21" t="n">
        <v>0</v>
      </c>
      <c r="O528" s="21" t="n">
        <v>0</v>
      </c>
      <c r="P528" s="21" t="n">
        <v>0.02</v>
      </c>
      <c r="Q528" s="21" t="n">
        <v>-0.01</v>
      </c>
      <c r="R528" s="18" t="n">
        <f aca="false">ABS(D528)+MAX(ABS(G528),ABS(H528))+MAX(ABS(I528),ABS(J528))</f>
        <v>0.04</v>
      </c>
      <c r="S528" s="18" t="n">
        <f aca="false">ABS(K528)+MAX(ABS(N528),ABS(O528))+MAX(ABS(P528),ABS(Q528))</f>
        <v>0.04</v>
      </c>
      <c r="T528" s="18" t="n">
        <f aca="false">MAX(ABS(E528),ABS(F528))</f>
        <v>0</v>
      </c>
      <c r="U528" s="18" t="n">
        <f aca="false">MAX(ABS(L528),ABS(M528))</f>
        <v>0</v>
      </c>
    </row>
    <row r="529" customFormat="false" ht="15" hidden="false" customHeight="false" outlineLevel="0" collapsed="false">
      <c r="A529" s="4" t="n">
        <v>329</v>
      </c>
      <c r="B529" s="4" t="n">
        <v>106</v>
      </c>
      <c r="C529" s="18" t="n">
        <v>1</v>
      </c>
      <c r="D529" s="21" t="n">
        <v>0.02</v>
      </c>
      <c r="E529" s="21" t="n">
        <v>0</v>
      </c>
      <c r="F529" s="21" t="n">
        <v>0</v>
      </c>
      <c r="G529" s="21" t="n">
        <v>0</v>
      </c>
      <c r="H529" s="21" t="n">
        <v>0</v>
      </c>
      <c r="I529" s="21" t="n">
        <v>0.04</v>
      </c>
      <c r="J529" s="21" t="n">
        <v>-0.02</v>
      </c>
      <c r="K529" s="21" t="n">
        <v>0.02</v>
      </c>
      <c r="L529" s="21" t="n">
        <v>0</v>
      </c>
      <c r="M529" s="21" t="n">
        <v>0</v>
      </c>
      <c r="N529" s="21" t="n">
        <v>0</v>
      </c>
      <c r="O529" s="21" t="n">
        <v>0</v>
      </c>
      <c r="P529" s="21" t="n">
        <v>0.05</v>
      </c>
      <c r="Q529" s="21" t="n">
        <v>-0.02</v>
      </c>
      <c r="R529" s="18" t="n">
        <f aca="false">ABS(D529)+MAX(ABS(G529),ABS(H529))+MAX(ABS(I529),ABS(J529))</f>
        <v>0.06</v>
      </c>
      <c r="S529" s="18" t="n">
        <f aca="false">ABS(K529)+MAX(ABS(N529),ABS(O529))+MAX(ABS(P529),ABS(Q529))</f>
        <v>0.07</v>
      </c>
      <c r="T529" s="18" t="n">
        <f aca="false">MAX(ABS(E529),ABS(F529))</f>
        <v>0</v>
      </c>
      <c r="U529" s="18" t="n">
        <f aca="false">MAX(ABS(L529),ABS(M529))</f>
        <v>0</v>
      </c>
    </row>
    <row r="530" customFormat="false" ht="15" hidden="false" customHeight="false" outlineLevel="0" collapsed="false">
      <c r="A530" s="4" t="n">
        <v>330</v>
      </c>
      <c r="B530" s="4" t="n">
        <v>107</v>
      </c>
      <c r="C530" s="18" t="n">
        <v>0</v>
      </c>
      <c r="D530" s="21" t="n">
        <v>0</v>
      </c>
      <c r="E530" s="21" t="n">
        <v>0</v>
      </c>
      <c r="F530" s="21" t="n">
        <v>0</v>
      </c>
      <c r="G530" s="21" t="n">
        <v>0</v>
      </c>
      <c r="H530" s="21" t="n">
        <v>0</v>
      </c>
      <c r="I530" s="21" t="n">
        <v>0.04</v>
      </c>
      <c r="J530" s="21" t="n">
        <v>-0.02</v>
      </c>
      <c r="K530" s="21" t="n">
        <v>0</v>
      </c>
      <c r="L530" s="21" t="n">
        <v>0</v>
      </c>
      <c r="M530" s="21" t="n">
        <v>0</v>
      </c>
      <c r="N530" s="21" t="n">
        <v>0</v>
      </c>
      <c r="O530" s="21" t="n">
        <v>0</v>
      </c>
      <c r="P530" s="21" t="n">
        <v>0.04</v>
      </c>
      <c r="Q530" s="21" t="n">
        <v>-0.02</v>
      </c>
      <c r="R530" s="18" t="n">
        <f aca="false">ABS(D530)+MAX(ABS(G530),ABS(H530))+MAX(ABS(I530),ABS(J530))</f>
        <v>0.04</v>
      </c>
      <c r="S530" s="18" t="n">
        <f aca="false">ABS(K530)+MAX(ABS(N530),ABS(O530))+MAX(ABS(P530),ABS(Q530))</f>
        <v>0.04</v>
      </c>
      <c r="T530" s="18" t="n">
        <f aca="false">MAX(ABS(E530),ABS(F530))</f>
        <v>0</v>
      </c>
      <c r="U530" s="18" t="n">
        <f aca="false">MAX(ABS(L530),ABS(M530))</f>
        <v>0</v>
      </c>
    </row>
    <row r="531" customFormat="false" ht="15" hidden="false" customHeight="false" outlineLevel="0" collapsed="false">
      <c r="A531" s="4" t="n">
        <v>330</v>
      </c>
      <c r="B531" s="4" t="n">
        <v>107</v>
      </c>
      <c r="C531" s="18" t="n">
        <v>0.25</v>
      </c>
      <c r="D531" s="21" t="n">
        <v>0</v>
      </c>
      <c r="E531" s="21" t="n">
        <v>0</v>
      </c>
      <c r="F531" s="21" t="n">
        <v>0</v>
      </c>
      <c r="G531" s="21" t="n">
        <v>0</v>
      </c>
      <c r="H531" s="21" t="n">
        <v>0</v>
      </c>
      <c r="I531" s="21" t="n">
        <v>0.02</v>
      </c>
      <c r="J531" s="21" t="n">
        <v>-0.01</v>
      </c>
      <c r="K531" s="21" t="n">
        <v>0</v>
      </c>
      <c r="L531" s="21" t="n">
        <v>0</v>
      </c>
      <c r="M531" s="21" t="n">
        <v>0</v>
      </c>
      <c r="N531" s="21" t="n">
        <v>0</v>
      </c>
      <c r="O531" s="21" t="n">
        <v>0</v>
      </c>
      <c r="P531" s="21" t="n">
        <v>0.02</v>
      </c>
      <c r="Q531" s="21" t="n">
        <v>-0.01</v>
      </c>
      <c r="R531" s="18" t="n">
        <f aca="false">ABS(D531)+MAX(ABS(G531),ABS(H531))+MAX(ABS(I531),ABS(J531))</f>
        <v>0.02</v>
      </c>
      <c r="S531" s="18" t="n">
        <f aca="false">ABS(K531)+MAX(ABS(N531),ABS(O531))+MAX(ABS(P531),ABS(Q531))</f>
        <v>0.02</v>
      </c>
      <c r="T531" s="18" t="n">
        <f aca="false">MAX(ABS(E531),ABS(F531))</f>
        <v>0</v>
      </c>
      <c r="U531" s="18" t="n">
        <f aca="false">MAX(ABS(L531),ABS(M531))</f>
        <v>0</v>
      </c>
    </row>
    <row r="532" customFormat="false" ht="15" hidden="false" customHeight="false" outlineLevel="0" collapsed="false">
      <c r="A532" s="4" t="n">
        <v>330</v>
      </c>
      <c r="B532" s="4" t="n">
        <v>107</v>
      </c>
      <c r="C532" s="18" t="n">
        <v>0.5</v>
      </c>
      <c r="D532" s="21" t="n">
        <v>0</v>
      </c>
      <c r="E532" s="21" t="n">
        <v>0</v>
      </c>
      <c r="F532" s="21" t="n">
        <v>0</v>
      </c>
      <c r="G532" s="21" t="n">
        <v>0</v>
      </c>
      <c r="H532" s="21" t="n">
        <v>0</v>
      </c>
      <c r="I532" s="21" t="n">
        <v>0</v>
      </c>
      <c r="J532" s="21" t="n">
        <v>0</v>
      </c>
      <c r="K532" s="21" t="n">
        <v>0</v>
      </c>
      <c r="L532" s="21" t="n">
        <v>0</v>
      </c>
      <c r="M532" s="21" t="n">
        <v>0</v>
      </c>
      <c r="N532" s="21" t="n">
        <v>0</v>
      </c>
      <c r="O532" s="21" t="n">
        <v>0</v>
      </c>
      <c r="P532" s="21" t="n">
        <v>0</v>
      </c>
      <c r="Q532" s="21" t="n">
        <v>0</v>
      </c>
      <c r="R532" s="18" t="n">
        <f aca="false">ABS(D532)+MAX(ABS(G532),ABS(H532))+MAX(ABS(I532),ABS(J532))</f>
        <v>0</v>
      </c>
      <c r="S532" s="18" t="n">
        <f aca="false">ABS(K532)+MAX(ABS(N532),ABS(O532))+MAX(ABS(P532),ABS(Q532))</f>
        <v>0</v>
      </c>
      <c r="T532" s="18" t="n">
        <f aca="false">MAX(ABS(E532),ABS(F532))</f>
        <v>0</v>
      </c>
      <c r="U532" s="18" t="n">
        <f aca="false">MAX(ABS(L532),ABS(M532))</f>
        <v>0</v>
      </c>
    </row>
    <row r="533" customFormat="false" ht="15" hidden="false" customHeight="false" outlineLevel="0" collapsed="false">
      <c r="A533" s="4" t="n">
        <v>330</v>
      </c>
      <c r="B533" s="4" t="n">
        <v>107</v>
      </c>
      <c r="C533" s="18" t="n">
        <v>0.75</v>
      </c>
      <c r="D533" s="21" t="n">
        <v>0</v>
      </c>
      <c r="E533" s="21" t="n">
        <v>0</v>
      </c>
      <c r="F533" s="21" t="n">
        <v>0</v>
      </c>
      <c r="G533" s="21" t="n">
        <v>0.01</v>
      </c>
      <c r="H533" s="21" t="n">
        <v>-0.01</v>
      </c>
      <c r="I533" s="21" t="n">
        <v>-0.02</v>
      </c>
      <c r="J533" s="21" t="n">
        <v>0.01</v>
      </c>
      <c r="K533" s="21" t="n">
        <v>0</v>
      </c>
      <c r="L533" s="21" t="n">
        <v>0</v>
      </c>
      <c r="M533" s="21" t="n">
        <v>0</v>
      </c>
      <c r="N533" s="21" t="n">
        <v>0.01</v>
      </c>
      <c r="O533" s="21" t="n">
        <v>-0.01</v>
      </c>
      <c r="P533" s="21" t="n">
        <v>-0.02</v>
      </c>
      <c r="Q533" s="21" t="n">
        <v>0.01</v>
      </c>
      <c r="R533" s="18" t="n">
        <f aca="false">ABS(D533)+MAX(ABS(G533),ABS(H533))+MAX(ABS(I533),ABS(J533))</f>
        <v>0.03</v>
      </c>
      <c r="S533" s="18" t="n">
        <f aca="false">ABS(K533)+MAX(ABS(N533),ABS(O533))+MAX(ABS(P533),ABS(Q533))</f>
        <v>0.03</v>
      </c>
      <c r="T533" s="18" t="n">
        <f aca="false">MAX(ABS(E533),ABS(F533))</f>
        <v>0</v>
      </c>
      <c r="U533" s="18" t="n">
        <f aca="false">MAX(ABS(L533),ABS(M533))</f>
        <v>0</v>
      </c>
    </row>
    <row r="534" customFormat="false" ht="15" hidden="false" customHeight="false" outlineLevel="0" collapsed="false">
      <c r="A534" s="4" t="n">
        <v>330</v>
      </c>
      <c r="B534" s="4" t="n">
        <v>107</v>
      </c>
      <c r="C534" s="18" t="n">
        <v>1</v>
      </c>
      <c r="D534" s="21" t="n">
        <v>0</v>
      </c>
      <c r="E534" s="21" t="n">
        <v>0</v>
      </c>
      <c r="F534" s="21" t="n">
        <v>0</v>
      </c>
      <c r="G534" s="21" t="n">
        <v>0.01</v>
      </c>
      <c r="H534" s="21" t="n">
        <v>-0.01</v>
      </c>
      <c r="I534" s="21" t="n">
        <v>-0.04</v>
      </c>
      <c r="J534" s="21" t="n">
        <v>0.02</v>
      </c>
      <c r="K534" s="21" t="n">
        <v>0</v>
      </c>
      <c r="L534" s="21" t="n">
        <v>0</v>
      </c>
      <c r="M534" s="21" t="n">
        <v>0</v>
      </c>
      <c r="N534" s="21" t="n">
        <v>0.01</v>
      </c>
      <c r="O534" s="21" t="n">
        <v>-0.01</v>
      </c>
      <c r="P534" s="21" t="n">
        <v>-0.04</v>
      </c>
      <c r="Q534" s="21" t="n">
        <v>0.02</v>
      </c>
      <c r="R534" s="18" t="n">
        <f aca="false">ABS(D534)+MAX(ABS(G534),ABS(H534))+MAX(ABS(I534),ABS(J534))</f>
        <v>0.05</v>
      </c>
      <c r="S534" s="18" t="n">
        <f aca="false">ABS(K534)+MAX(ABS(N534),ABS(O534))+MAX(ABS(P534),ABS(Q534))</f>
        <v>0.05</v>
      </c>
      <c r="T534" s="18" t="n">
        <f aca="false">MAX(ABS(E534),ABS(F534))</f>
        <v>0</v>
      </c>
      <c r="U534" s="18" t="n">
        <f aca="false">MAX(ABS(L534),ABS(M534))</f>
        <v>0</v>
      </c>
    </row>
    <row r="535" customFormat="false" ht="15" hidden="false" customHeight="false" outlineLevel="0" collapsed="false">
      <c r="A535" s="4" t="n">
        <v>331</v>
      </c>
      <c r="B535" s="4" t="n">
        <v>108</v>
      </c>
      <c r="C535" s="18" t="n">
        <v>0</v>
      </c>
      <c r="D535" s="21" t="n">
        <v>0</v>
      </c>
      <c r="E535" s="21" t="n">
        <v>0</v>
      </c>
      <c r="F535" s="21" t="n">
        <v>0</v>
      </c>
      <c r="G535" s="21" t="n">
        <v>0.01</v>
      </c>
      <c r="H535" s="21" t="n">
        <v>-0.01</v>
      </c>
      <c r="I535" s="21" t="n">
        <v>0.04</v>
      </c>
      <c r="J535" s="21" t="n">
        <v>-0.02</v>
      </c>
      <c r="K535" s="21" t="n">
        <v>0</v>
      </c>
      <c r="L535" s="21" t="n">
        <v>0</v>
      </c>
      <c r="M535" s="21" t="n">
        <v>0</v>
      </c>
      <c r="N535" s="21" t="n">
        <v>0.01</v>
      </c>
      <c r="O535" s="21" t="n">
        <v>-0.01</v>
      </c>
      <c r="P535" s="21" t="n">
        <v>0.04</v>
      </c>
      <c r="Q535" s="21" t="n">
        <v>-0.02</v>
      </c>
      <c r="R535" s="18" t="n">
        <f aca="false">ABS(D535)+MAX(ABS(G535),ABS(H535))+MAX(ABS(I535),ABS(J535))</f>
        <v>0.05</v>
      </c>
      <c r="S535" s="18" t="n">
        <f aca="false">ABS(K535)+MAX(ABS(N535),ABS(O535))+MAX(ABS(P535),ABS(Q535))</f>
        <v>0.05</v>
      </c>
      <c r="T535" s="18" t="n">
        <f aca="false">MAX(ABS(E535),ABS(F535))</f>
        <v>0</v>
      </c>
      <c r="U535" s="18" t="n">
        <f aca="false">MAX(ABS(L535),ABS(M535))</f>
        <v>0</v>
      </c>
    </row>
    <row r="536" customFormat="false" ht="15" hidden="false" customHeight="false" outlineLevel="0" collapsed="false">
      <c r="A536" s="4" t="n">
        <v>331</v>
      </c>
      <c r="B536" s="4" t="n">
        <v>108</v>
      </c>
      <c r="C536" s="18" t="n">
        <v>0.25</v>
      </c>
      <c r="D536" s="21" t="n">
        <v>0</v>
      </c>
      <c r="E536" s="21" t="n">
        <v>0</v>
      </c>
      <c r="F536" s="21" t="n">
        <v>0</v>
      </c>
      <c r="G536" s="21" t="n">
        <v>0.01</v>
      </c>
      <c r="H536" s="21" t="n">
        <v>-0.01</v>
      </c>
      <c r="I536" s="21" t="n">
        <v>0.02</v>
      </c>
      <c r="J536" s="21" t="n">
        <v>-0.01</v>
      </c>
      <c r="K536" s="21" t="n">
        <v>0</v>
      </c>
      <c r="L536" s="21" t="n">
        <v>0</v>
      </c>
      <c r="M536" s="21" t="n">
        <v>0</v>
      </c>
      <c r="N536" s="21" t="n">
        <v>0.01</v>
      </c>
      <c r="O536" s="21" t="n">
        <v>-0.01</v>
      </c>
      <c r="P536" s="21" t="n">
        <v>0.02</v>
      </c>
      <c r="Q536" s="21" t="n">
        <v>-0.01</v>
      </c>
      <c r="R536" s="18" t="n">
        <f aca="false">ABS(D536)+MAX(ABS(G536),ABS(H536))+MAX(ABS(I536),ABS(J536))</f>
        <v>0.03</v>
      </c>
      <c r="S536" s="18" t="n">
        <f aca="false">ABS(K536)+MAX(ABS(N536),ABS(O536))+MAX(ABS(P536),ABS(Q536))</f>
        <v>0.03</v>
      </c>
      <c r="T536" s="18" t="n">
        <f aca="false">MAX(ABS(E536),ABS(F536))</f>
        <v>0</v>
      </c>
      <c r="U536" s="18" t="n">
        <f aca="false">MAX(ABS(L536),ABS(M536))</f>
        <v>0</v>
      </c>
    </row>
    <row r="537" customFormat="false" ht="15" hidden="false" customHeight="false" outlineLevel="0" collapsed="false">
      <c r="A537" s="4" t="n">
        <v>331</v>
      </c>
      <c r="B537" s="4" t="n">
        <v>108</v>
      </c>
      <c r="C537" s="18" t="n">
        <v>0.5</v>
      </c>
      <c r="D537" s="21" t="n">
        <v>0</v>
      </c>
      <c r="E537" s="21" t="n">
        <v>0</v>
      </c>
      <c r="F537" s="21" t="n">
        <v>0</v>
      </c>
      <c r="G537" s="21" t="n">
        <v>0</v>
      </c>
      <c r="H537" s="21" t="n">
        <v>0</v>
      </c>
      <c r="I537" s="21" t="n">
        <v>0</v>
      </c>
      <c r="J537" s="21" t="n">
        <v>0</v>
      </c>
      <c r="K537" s="21" t="n">
        <v>0</v>
      </c>
      <c r="L537" s="21" t="n">
        <v>0</v>
      </c>
      <c r="M537" s="21" t="n">
        <v>0</v>
      </c>
      <c r="N537" s="21" t="n">
        <v>0</v>
      </c>
      <c r="O537" s="21" t="n">
        <v>0</v>
      </c>
      <c r="P537" s="21" t="n">
        <v>0</v>
      </c>
      <c r="Q537" s="21" t="n">
        <v>0</v>
      </c>
      <c r="R537" s="18" t="n">
        <f aca="false">ABS(D537)+MAX(ABS(G537),ABS(H537))+MAX(ABS(I537),ABS(J537))</f>
        <v>0</v>
      </c>
      <c r="S537" s="18" t="n">
        <f aca="false">ABS(K537)+MAX(ABS(N537),ABS(O537))+MAX(ABS(P537),ABS(Q537))</f>
        <v>0</v>
      </c>
      <c r="T537" s="18" t="n">
        <f aca="false">MAX(ABS(E537),ABS(F537))</f>
        <v>0</v>
      </c>
      <c r="U537" s="18" t="n">
        <f aca="false">MAX(ABS(L537),ABS(M537))</f>
        <v>0</v>
      </c>
    </row>
    <row r="538" customFormat="false" ht="15" hidden="false" customHeight="false" outlineLevel="0" collapsed="false">
      <c r="A538" s="4" t="n">
        <v>331</v>
      </c>
      <c r="B538" s="4" t="n">
        <v>108</v>
      </c>
      <c r="C538" s="18" t="n">
        <v>0.75</v>
      </c>
      <c r="D538" s="21" t="n">
        <v>0</v>
      </c>
      <c r="E538" s="21" t="n">
        <v>0</v>
      </c>
      <c r="F538" s="21" t="n">
        <v>0</v>
      </c>
      <c r="G538" s="21" t="n">
        <v>0</v>
      </c>
      <c r="H538" s="21" t="n">
        <v>0</v>
      </c>
      <c r="I538" s="21" t="n">
        <v>-0.02</v>
      </c>
      <c r="J538" s="21" t="n">
        <v>0.01</v>
      </c>
      <c r="K538" s="21" t="n">
        <v>0</v>
      </c>
      <c r="L538" s="21" t="n">
        <v>0</v>
      </c>
      <c r="M538" s="21" t="n">
        <v>0</v>
      </c>
      <c r="N538" s="21" t="n">
        <v>0</v>
      </c>
      <c r="O538" s="21" t="n">
        <v>0</v>
      </c>
      <c r="P538" s="21" t="n">
        <v>-0.02</v>
      </c>
      <c r="Q538" s="21" t="n">
        <v>0.01</v>
      </c>
      <c r="R538" s="18" t="n">
        <f aca="false">ABS(D538)+MAX(ABS(G538),ABS(H538))+MAX(ABS(I538),ABS(J538))</f>
        <v>0.02</v>
      </c>
      <c r="S538" s="18" t="n">
        <f aca="false">ABS(K538)+MAX(ABS(N538),ABS(O538))+MAX(ABS(P538),ABS(Q538))</f>
        <v>0.02</v>
      </c>
      <c r="T538" s="18" t="n">
        <f aca="false">MAX(ABS(E538),ABS(F538))</f>
        <v>0</v>
      </c>
      <c r="U538" s="18" t="n">
        <f aca="false">MAX(ABS(L538),ABS(M538))</f>
        <v>0</v>
      </c>
    </row>
    <row r="539" customFormat="false" ht="15" hidden="false" customHeight="false" outlineLevel="0" collapsed="false">
      <c r="A539" s="4" t="n">
        <v>331</v>
      </c>
      <c r="B539" s="4" t="n">
        <v>108</v>
      </c>
      <c r="C539" s="18" t="n">
        <v>1</v>
      </c>
      <c r="D539" s="21" t="n">
        <v>0</v>
      </c>
      <c r="E539" s="21" t="n">
        <v>0</v>
      </c>
      <c r="F539" s="21" t="n">
        <v>0</v>
      </c>
      <c r="G539" s="21" t="n">
        <v>0</v>
      </c>
      <c r="H539" s="21" t="n">
        <v>0</v>
      </c>
      <c r="I539" s="21" t="n">
        <v>-0.04</v>
      </c>
      <c r="J539" s="21" t="n">
        <v>0.02</v>
      </c>
      <c r="K539" s="21" t="n">
        <v>0</v>
      </c>
      <c r="L539" s="21" t="n">
        <v>0</v>
      </c>
      <c r="M539" s="21" t="n">
        <v>0</v>
      </c>
      <c r="N539" s="21" t="n">
        <v>0</v>
      </c>
      <c r="O539" s="21" t="n">
        <v>0</v>
      </c>
      <c r="P539" s="21" t="n">
        <v>-0.04</v>
      </c>
      <c r="Q539" s="21" t="n">
        <v>0.02</v>
      </c>
      <c r="R539" s="18" t="n">
        <f aca="false">ABS(D539)+MAX(ABS(G539),ABS(H539))+MAX(ABS(I539),ABS(J539))</f>
        <v>0.04</v>
      </c>
      <c r="S539" s="18" t="n">
        <f aca="false">ABS(K539)+MAX(ABS(N539),ABS(O539))+MAX(ABS(P539),ABS(Q539))</f>
        <v>0.04</v>
      </c>
      <c r="T539" s="18" t="n">
        <f aca="false">MAX(ABS(E539),ABS(F539))</f>
        <v>0</v>
      </c>
      <c r="U539" s="18" t="n">
        <f aca="false">MAX(ABS(L539),ABS(M539))</f>
        <v>0</v>
      </c>
    </row>
    <row r="540" customFormat="false" ht="15" hidden="false" customHeight="false" outlineLevel="0" collapsed="false">
      <c r="A540" s="4" t="n">
        <v>332</v>
      </c>
      <c r="B540" s="4" t="n">
        <v>109</v>
      </c>
      <c r="C540" s="18" t="n">
        <v>0</v>
      </c>
      <c r="D540" s="21" t="n">
        <v>0</v>
      </c>
      <c r="E540" s="21" t="n">
        <v>0</v>
      </c>
      <c r="F540" s="21" t="n">
        <v>0</v>
      </c>
      <c r="G540" s="21" t="n">
        <v>0.01</v>
      </c>
      <c r="H540" s="21" t="n">
        <v>-0.01</v>
      </c>
      <c r="I540" s="21" t="n">
        <v>-0.03</v>
      </c>
      <c r="J540" s="21" t="n">
        <v>0.01</v>
      </c>
      <c r="K540" s="21" t="n">
        <v>0</v>
      </c>
      <c r="L540" s="21" t="n">
        <v>0</v>
      </c>
      <c r="M540" s="21" t="n">
        <v>0</v>
      </c>
      <c r="N540" s="21" t="n">
        <v>0.01</v>
      </c>
      <c r="O540" s="21" t="n">
        <v>-0.01</v>
      </c>
      <c r="P540" s="21" t="n">
        <v>-0.02</v>
      </c>
      <c r="Q540" s="21" t="n">
        <v>0.01</v>
      </c>
      <c r="R540" s="18" t="n">
        <f aca="false">ABS(D540)+MAX(ABS(G540),ABS(H540))+MAX(ABS(I540),ABS(J540))</f>
        <v>0.04</v>
      </c>
      <c r="S540" s="18" t="n">
        <f aca="false">ABS(K540)+MAX(ABS(N540),ABS(O540))+MAX(ABS(P540),ABS(Q540))</f>
        <v>0.03</v>
      </c>
      <c r="T540" s="18" t="n">
        <f aca="false">MAX(ABS(E540),ABS(F540))</f>
        <v>0</v>
      </c>
      <c r="U540" s="18" t="n">
        <f aca="false">MAX(ABS(L540),ABS(M540))</f>
        <v>0</v>
      </c>
    </row>
    <row r="541" customFormat="false" ht="15" hidden="false" customHeight="false" outlineLevel="0" collapsed="false">
      <c r="A541" s="4" t="n">
        <v>332</v>
      </c>
      <c r="B541" s="4" t="n">
        <v>109</v>
      </c>
      <c r="C541" s="18" t="n">
        <v>0.25</v>
      </c>
      <c r="D541" s="21" t="n">
        <v>0</v>
      </c>
      <c r="E541" s="21" t="n">
        <v>0</v>
      </c>
      <c r="F541" s="21" t="n">
        <v>0</v>
      </c>
      <c r="G541" s="21" t="n">
        <v>0</v>
      </c>
      <c r="H541" s="21" t="n">
        <v>0</v>
      </c>
      <c r="I541" s="21" t="n">
        <v>-0.01</v>
      </c>
      <c r="J541" s="21" t="n">
        <v>0.01</v>
      </c>
      <c r="K541" s="21" t="n">
        <v>0</v>
      </c>
      <c r="L541" s="21" t="n">
        <v>0</v>
      </c>
      <c r="M541" s="21" t="n">
        <v>0</v>
      </c>
      <c r="N541" s="21" t="n">
        <v>0</v>
      </c>
      <c r="O541" s="21" t="n">
        <v>0</v>
      </c>
      <c r="P541" s="21" t="n">
        <v>-0.01</v>
      </c>
      <c r="Q541" s="21" t="n">
        <v>0</v>
      </c>
      <c r="R541" s="18" t="n">
        <f aca="false">ABS(D541)+MAX(ABS(G541),ABS(H541))+MAX(ABS(I541),ABS(J541))</f>
        <v>0.01</v>
      </c>
      <c r="S541" s="18" t="n">
        <f aca="false">ABS(K541)+MAX(ABS(N541),ABS(O541))+MAX(ABS(P541),ABS(Q541))</f>
        <v>0.01</v>
      </c>
      <c r="T541" s="18" t="n">
        <f aca="false">MAX(ABS(E541),ABS(F541))</f>
        <v>0</v>
      </c>
      <c r="U541" s="18" t="n">
        <f aca="false">MAX(ABS(L541),ABS(M541))</f>
        <v>0</v>
      </c>
    </row>
    <row r="542" customFormat="false" ht="15" hidden="false" customHeight="false" outlineLevel="0" collapsed="false">
      <c r="A542" s="4" t="n">
        <v>332</v>
      </c>
      <c r="B542" s="4" t="n">
        <v>109</v>
      </c>
      <c r="C542" s="18" t="n">
        <v>0.5</v>
      </c>
      <c r="D542" s="21" t="n">
        <v>0</v>
      </c>
      <c r="E542" s="21" t="n">
        <v>0</v>
      </c>
      <c r="F542" s="21" t="n">
        <v>0</v>
      </c>
      <c r="G542" s="21" t="n">
        <v>-0.01</v>
      </c>
      <c r="H542" s="21" t="n">
        <v>0.01</v>
      </c>
      <c r="I542" s="21" t="n">
        <v>0</v>
      </c>
      <c r="J542" s="21" t="n">
        <v>0</v>
      </c>
      <c r="K542" s="21" t="n">
        <v>0</v>
      </c>
      <c r="L542" s="21" t="n">
        <v>0</v>
      </c>
      <c r="M542" s="21" t="n">
        <v>0</v>
      </c>
      <c r="N542" s="21" t="n">
        <v>-0.01</v>
      </c>
      <c r="O542" s="21" t="n">
        <v>0.01</v>
      </c>
      <c r="P542" s="21" t="n">
        <v>0</v>
      </c>
      <c r="Q542" s="21" t="n">
        <v>0</v>
      </c>
      <c r="R542" s="18" t="n">
        <f aca="false">ABS(D542)+MAX(ABS(G542),ABS(H542))+MAX(ABS(I542),ABS(J542))</f>
        <v>0.01</v>
      </c>
      <c r="S542" s="18" t="n">
        <f aca="false">ABS(K542)+MAX(ABS(N542),ABS(O542))+MAX(ABS(P542),ABS(Q542))</f>
        <v>0.01</v>
      </c>
      <c r="T542" s="18" t="n">
        <f aca="false">MAX(ABS(E542),ABS(F542))</f>
        <v>0</v>
      </c>
      <c r="U542" s="18" t="n">
        <f aca="false">MAX(ABS(L542),ABS(M542))</f>
        <v>0</v>
      </c>
    </row>
    <row r="543" customFormat="false" ht="15" hidden="false" customHeight="false" outlineLevel="0" collapsed="false">
      <c r="A543" s="4" t="n">
        <v>332</v>
      </c>
      <c r="B543" s="4" t="n">
        <v>109</v>
      </c>
      <c r="C543" s="18" t="n">
        <v>0.75</v>
      </c>
      <c r="D543" s="21" t="n">
        <v>0</v>
      </c>
      <c r="E543" s="21" t="n">
        <v>0</v>
      </c>
      <c r="F543" s="21" t="n">
        <v>0</v>
      </c>
      <c r="G543" s="21" t="n">
        <v>-0.01</v>
      </c>
      <c r="H543" s="21" t="n">
        <v>0.01</v>
      </c>
      <c r="I543" s="21" t="n">
        <v>0.01</v>
      </c>
      <c r="J543" s="21" t="n">
        <v>-0.01</v>
      </c>
      <c r="K543" s="21" t="n">
        <v>0</v>
      </c>
      <c r="L543" s="21" t="n">
        <v>0</v>
      </c>
      <c r="M543" s="21" t="n">
        <v>0</v>
      </c>
      <c r="N543" s="21" t="n">
        <v>-0.01</v>
      </c>
      <c r="O543" s="21" t="n">
        <v>0.01</v>
      </c>
      <c r="P543" s="21" t="n">
        <v>0.01</v>
      </c>
      <c r="Q543" s="21" t="n">
        <v>0</v>
      </c>
      <c r="R543" s="18" t="n">
        <f aca="false">ABS(D543)+MAX(ABS(G543),ABS(H543))+MAX(ABS(I543),ABS(J543))</f>
        <v>0.02</v>
      </c>
      <c r="S543" s="18" t="n">
        <f aca="false">ABS(K543)+MAX(ABS(N543),ABS(O543))+MAX(ABS(P543),ABS(Q543))</f>
        <v>0.02</v>
      </c>
      <c r="T543" s="18" t="n">
        <f aca="false">MAX(ABS(E543),ABS(F543))</f>
        <v>0</v>
      </c>
      <c r="U543" s="18" t="n">
        <f aca="false">MAX(ABS(L543),ABS(M543))</f>
        <v>0</v>
      </c>
    </row>
    <row r="544" customFormat="false" ht="15" hidden="false" customHeight="false" outlineLevel="0" collapsed="false">
      <c r="A544" s="4" t="n">
        <v>332</v>
      </c>
      <c r="B544" s="4" t="n">
        <v>109</v>
      </c>
      <c r="C544" s="18" t="n">
        <v>1</v>
      </c>
      <c r="D544" s="21" t="n">
        <v>0</v>
      </c>
      <c r="E544" s="21" t="n">
        <v>0</v>
      </c>
      <c r="F544" s="21" t="n">
        <v>0</v>
      </c>
      <c r="G544" s="21" t="n">
        <v>-0.02</v>
      </c>
      <c r="H544" s="21" t="n">
        <v>0.02</v>
      </c>
      <c r="I544" s="21" t="n">
        <v>0.03</v>
      </c>
      <c r="J544" s="21" t="n">
        <v>-0.01</v>
      </c>
      <c r="K544" s="21" t="n">
        <v>0</v>
      </c>
      <c r="L544" s="21" t="n">
        <v>0</v>
      </c>
      <c r="M544" s="21" t="n">
        <v>0</v>
      </c>
      <c r="N544" s="21" t="n">
        <v>-0.02</v>
      </c>
      <c r="O544" s="21" t="n">
        <v>0.02</v>
      </c>
      <c r="P544" s="21" t="n">
        <v>0.02</v>
      </c>
      <c r="Q544" s="21" t="n">
        <v>-0.01</v>
      </c>
      <c r="R544" s="18" t="n">
        <f aca="false">ABS(D544)+MAX(ABS(G544),ABS(H544))+MAX(ABS(I544),ABS(J544))</f>
        <v>0.05</v>
      </c>
      <c r="S544" s="18" t="n">
        <f aca="false">ABS(K544)+MAX(ABS(N544),ABS(O544))+MAX(ABS(P544),ABS(Q544))</f>
        <v>0.04</v>
      </c>
      <c r="T544" s="18" t="n">
        <f aca="false">MAX(ABS(E544),ABS(F544))</f>
        <v>0</v>
      </c>
      <c r="U544" s="18" t="n">
        <f aca="false">MAX(ABS(L544),ABS(M544))</f>
        <v>0</v>
      </c>
    </row>
    <row r="545" customFormat="false" ht="15" hidden="false" customHeight="false" outlineLevel="0" collapsed="false">
      <c r="A545" s="4" t="n">
        <v>333</v>
      </c>
      <c r="B545" s="4" t="n">
        <v>110</v>
      </c>
      <c r="C545" s="18" t="n">
        <v>0</v>
      </c>
      <c r="D545" s="21" t="n">
        <v>0</v>
      </c>
      <c r="E545" s="21" t="n">
        <v>0</v>
      </c>
      <c r="F545" s="21" t="n">
        <v>0</v>
      </c>
      <c r="G545" s="21" t="n">
        <v>-0.02</v>
      </c>
      <c r="H545" s="21" t="n">
        <v>0.02</v>
      </c>
      <c r="I545" s="21" t="n">
        <v>-0.02</v>
      </c>
      <c r="J545" s="21" t="n">
        <v>0.01</v>
      </c>
      <c r="K545" s="21" t="n">
        <v>0</v>
      </c>
      <c r="L545" s="21" t="n">
        <v>0</v>
      </c>
      <c r="M545" s="21" t="n">
        <v>0</v>
      </c>
      <c r="N545" s="21" t="n">
        <v>-0.02</v>
      </c>
      <c r="O545" s="21" t="n">
        <v>0.02</v>
      </c>
      <c r="P545" s="21" t="n">
        <v>-0.02</v>
      </c>
      <c r="Q545" s="21" t="n">
        <v>0.01</v>
      </c>
      <c r="R545" s="18" t="n">
        <f aca="false">ABS(D545)+MAX(ABS(G545),ABS(H545))+MAX(ABS(I545),ABS(J545))</f>
        <v>0.04</v>
      </c>
      <c r="S545" s="18" t="n">
        <f aca="false">ABS(K545)+MAX(ABS(N545),ABS(O545))+MAX(ABS(P545),ABS(Q545))</f>
        <v>0.04</v>
      </c>
      <c r="T545" s="18" t="n">
        <f aca="false">MAX(ABS(E545),ABS(F545))</f>
        <v>0</v>
      </c>
      <c r="U545" s="18" t="n">
        <f aca="false">MAX(ABS(L545),ABS(M545))</f>
        <v>0</v>
      </c>
    </row>
    <row r="546" customFormat="false" ht="15" hidden="false" customHeight="false" outlineLevel="0" collapsed="false">
      <c r="A546" s="4" t="n">
        <v>333</v>
      </c>
      <c r="B546" s="4" t="n">
        <v>110</v>
      </c>
      <c r="C546" s="18" t="n">
        <v>0.25</v>
      </c>
      <c r="D546" s="21" t="n">
        <v>0</v>
      </c>
      <c r="E546" s="21" t="n">
        <v>0</v>
      </c>
      <c r="F546" s="21" t="n">
        <v>0</v>
      </c>
      <c r="G546" s="21" t="n">
        <v>-0.01</v>
      </c>
      <c r="H546" s="21" t="n">
        <v>0.01</v>
      </c>
      <c r="I546" s="21" t="n">
        <v>-0.01</v>
      </c>
      <c r="J546" s="21" t="n">
        <v>0</v>
      </c>
      <c r="K546" s="21" t="n">
        <v>0</v>
      </c>
      <c r="L546" s="21" t="n">
        <v>0</v>
      </c>
      <c r="M546" s="21" t="n">
        <v>0</v>
      </c>
      <c r="N546" s="21" t="n">
        <v>-0.01</v>
      </c>
      <c r="O546" s="21" t="n">
        <v>0.01</v>
      </c>
      <c r="P546" s="21" t="n">
        <v>-0.01</v>
      </c>
      <c r="Q546" s="21" t="n">
        <v>0</v>
      </c>
      <c r="R546" s="18" t="n">
        <f aca="false">ABS(D546)+MAX(ABS(G546),ABS(H546))+MAX(ABS(I546),ABS(J546))</f>
        <v>0.02</v>
      </c>
      <c r="S546" s="18" t="n">
        <f aca="false">ABS(K546)+MAX(ABS(N546),ABS(O546))+MAX(ABS(P546),ABS(Q546))</f>
        <v>0.02</v>
      </c>
      <c r="T546" s="18" t="n">
        <f aca="false">MAX(ABS(E546),ABS(F546))</f>
        <v>0</v>
      </c>
      <c r="U546" s="18" t="n">
        <f aca="false">MAX(ABS(L546),ABS(M546))</f>
        <v>0</v>
      </c>
    </row>
    <row r="547" customFormat="false" ht="15" hidden="false" customHeight="false" outlineLevel="0" collapsed="false">
      <c r="A547" s="4" t="n">
        <v>333</v>
      </c>
      <c r="B547" s="4" t="n">
        <v>110</v>
      </c>
      <c r="C547" s="18" t="n">
        <v>0.5</v>
      </c>
      <c r="D547" s="21" t="n">
        <v>0</v>
      </c>
      <c r="E547" s="21" t="n">
        <v>0</v>
      </c>
      <c r="F547" s="21" t="n">
        <v>0</v>
      </c>
      <c r="G547" s="21" t="n">
        <v>-0.01</v>
      </c>
      <c r="H547" s="21" t="n">
        <v>0.01</v>
      </c>
      <c r="I547" s="21" t="n">
        <v>0</v>
      </c>
      <c r="J547" s="21" t="n">
        <v>0</v>
      </c>
      <c r="K547" s="21" t="n">
        <v>0</v>
      </c>
      <c r="L547" s="21" t="n">
        <v>0</v>
      </c>
      <c r="M547" s="21" t="n">
        <v>0</v>
      </c>
      <c r="N547" s="21" t="n">
        <v>-0.01</v>
      </c>
      <c r="O547" s="21" t="n">
        <v>0.01</v>
      </c>
      <c r="P547" s="21" t="n">
        <v>0</v>
      </c>
      <c r="Q547" s="21" t="n">
        <v>0</v>
      </c>
      <c r="R547" s="18" t="n">
        <f aca="false">ABS(D547)+MAX(ABS(G547),ABS(H547))+MAX(ABS(I547),ABS(J547))</f>
        <v>0.01</v>
      </c>
      <c r="S547" s="18" t="n">
        <f aca="false">ABS(K547)+MAX(ABS(N547),ABS(O547))+MAX(ABS(P547),ABS(Q547))</f>
        <v>0.01</v>
      </c>
      <c r="T547" s="18" t="n">
        <f aca="false">MAX(ABS(E547),ABS(F547))</f>
        <v>0</v>
      </c>
      <c r="U547" s="18" t="n">
        <f aca="false">MAX(ABS(L547),ABS(M547))</f>
        <v>0</v>
      </c>
    </row>
    <row r="548" customFormat="false" ht="15" hidden="false" customHeight="false" outlineLevel="0" collapsed="false">
      <c r="A548" s="4" t="n">
        <v>333</v>
      </c>
      <c r="B548" s="4" t="n">
        <v>110</v>
      </c>
      <c r="C548" s="18" t="n">
        <v>0.75</v>
      </c>
      <c r="D548" s="21" t="n">
        <v>0</v>
      </c>
      <c r="E548" s="21" t="n">
        <v>0</v>
      </c>
      <c r="F548" s="21" t="n">
        <v>0</v>
      </c>
      <c r="G548" s="21" t="n">
        <v>0</v>
      </c>
      <c r="H548" s="21" t="n">
        <v>0</v>
      </c>
      <c r="I548" s="21" t="n">
        <v>0.01</v>
      </c>
      <c r="J548" s="21" t="n">
        <v>-0.01</v>
      </c>
      <c r="K548" s="21" t="n">
        <v>0</v>
      </c>
      <c r="L548" s="21" t="n">
        <v>0</v>
      </c>
      <c r="M548" s="21" t="n">
        <v>0</v>
      </c>
      <c r="N548" s="21" t="n">
        <v>0</v>
      </c>
      <c r="O548" s="21" t="n">
        <v>0</v>
      </c>
      <c r="P548" s="21" t="n">
        <v>0.01</v>
      </c>
      <c r="Q548" s="21" t="n">
        <v>-0.01</v>
      </c>
      <c r="R548" s="18" t="n">
        <f aca="false">ABS(D548)+MAX(ABS(G548),ABS(H548))+MAX(ABS(I548),ABS(J548))</f>
        <v>0.01</v>
      </c>
      <c r="S548" s="18" t="n">
        <f aca="false">ABS(K548)+MAX(ABS(N548),ABS(O548))+MAX(ABS(P548),ABS(Q548))</f>
        <v>0.01</v>
      </c>
      <c r="T548" s="18" t="n">
        <f aca="false">MAX(ABS(E548),ABS(F548))</f>
        <v>0</v>
      </c>
      <c r="U548" s="18" t="n">
        <f aca="false">MAX(ABS(L548),ABS(M548))</f>
        <v>0</v>
      </c>
    </row>
    <row r="549" customFormat="false" ht="15" hidden="false" customHeight="false" outlineLevel="0" collapsed="false">
      <c r="A549" s="4" t="n">
        <v>333</v>
      </c>
      <c r="B549" s="4" t="n">
        <v>110</v>
      </c>
      <c r="C549" s="18" t="n">
        <v>1</v>
      </c>
      <c r="D549" s="21" t="n">
        <v>0</v>
      </c>
      <c r="E549" s="21" t="n">
        <v>0</v>
      </c>
      <c r="F549" s="21" t="n">
        <v>0</v>
      </c>
      <c r="G549" s="21" t="n">
        <v>0</v>
      </c>
      <c r="H549" s="21" t="n">
        <v>0</v>
      </c>
      <c r="I549" s="21" t="n">
        <v>0.03</v>
      </c>
      <c r="J549" s="21" t="n">
        <v>-0.01</v>
      </c>
      <c r="K549" s="21" t="n">
        <v>0</v>
      </c>
      <c r="L549" s="21" t="n">
        <v>0</v>
      </c>
      <c r="M549" s="21" t="n">
        <v>0</v>
      </c>
      <c r="N549" s="21" t="n">
        <v>0</v>
      </c>
      <c r="O549" s="21" t="n">
        <v>0</v>
      </c>
      <c r="P549" s="21" t="n">
        <v>0.02</v>
      </c>
      <c r="Q549" s="21" t="n">
        <v>-0.01</v>
      </c>
      <c r="R549" s="18" t="n">
        <f aca="false">ABS(D549)+MAX(ABS(G549),ABS(H549))+MAX(ABS(I549),ABS(J549))</f>
        <v>0.03</v>
      </c>
      <c r="S549" s="18" t="n">
        <f aca="false">ABS(K549)+MAX(ABS(N549),ABS(O549))+MAX(ABS(P549),ABS(Q549))</f>
        <v>0.02</v>
      </c>
      <c r="T549" s="18" t="n">
        <f aca="false">MAX(ABS(E549),ABS(F549))</f>
        <v>0</v>
      </c>
      <c r="U549" s="18" t="n">
        <f aca="false">MAX(ABS(L549),ABS(M549))</f>
        <v>0</v>
      </c>
    </row>
    <row r="550" customFormat="false" ht="15" hidden="false" customHeight="false" outlineLevel="0" collapsed="false">
      <c r="A550" s="4" t="n">
        <v>334</v>
      </c>
      <c r="B550" s="4" t="n">
        <v>111</v>
      </c>
      <c r="C550" s="18" t="n">
        <v>0</v>
      </c>
      <c r="D550" s="21" t="n">
        <v>0</v>
      </c>
      <c r="E550" s="21" t="n">
        <v>0</v>
      </c>
      <c r="F550" s="21" t="n">
        <v>0</v>
      </c>
      <c r="G550" s="21" t="n">
        <v>0</v>
      </c>
      <c r="H550" s="21" t="n">
        <v>0</v>
      </c>
      <c r="I550" s="21" t="n">
        <v>-0.03</v>
      </c>
      <c r="J550" s="21" t="n">
        <v>0.01</v>
      </c>
      <c r="K550" s="21" t="n">
        <v>0</v>
      </c>
      <c r="L550" s="21" t="n">
        <v>0</v>
      </c>
      <c r="M550" s="21" t="n">
        <v>0</v>
      </c>
      <c r="N550" s="21" t="n">
        <v>0</v>
      </c>
      <c r="O550" s="21" t="n">
        <v>0</v>
      </c>
      <c r="P550" s="21" t="n">
        <v>-0.04</v>
      </c>
      <c r="Q550" s="21" t="n">
        <v>0.02</v>
      </c>
      <c r="R550" s="18" t="n">
        <f aca="false">ABS(D550)+MAX(ABS(G550),ABS(H550))+MAX(ABS(I550),ABS(J550))</f>
        <v>0.03</v>
      </c>
      <c r="S550" s="18" t="n">
        <f aca="false">ABS(K550)+MAX(ABS(N550),ABS(O550))+MAX(ABS(P550),ABS(Q550))</f>
        <v>0.04</v>
      </c>
      <c r="T550" s="18" t="n">
        <f aca="false">MAX(ABS(E550),ABS(F550))</f>
        <v>0</v>
      </c>
      <c r="U550" s="18" t="n">
        <f aca="false">MAX(ABS(L550),ABS(M550))</f>
        <v>0</v>
      </c>
    </row>
    <row r="551" customFormat="false" ht="15" hidden="false" customHeight="false" outlineLevel="0" collapsed="false">
      <c r="A551" s="4" t="n">
        <v>334</v>
      </c>
      <c r="B551" s="4" t="n">
        <v>111</v>
      </c>
      <c r="C551" s="18" t="n">
        <v>0.25</v>
      </c>
      <c r="D551" s="21" t="n">
        <v>0</v>
      </c>
      <c r="E551" s="21" t="n">
        <v>0</v>
      </c>
      <c r="F551" s="21" t="n">
        <v>0</v>
      </c>
      <c r="G551" s="21" t="n">
        <v>0</v>
      </c>
      <c r="H551" s="21" t="n">
        <v>0</v>
      </c>
      <c r="I551" s="21" t="n">
        <v>-0.02</v>
      </c>
      <c r="J551" s="21" t="n">
        <v>0.01</v>
      </c>
      <c r="K551" s="21" t="n">
        <v>0</v>
      </c>
      <c r="L551" s="21" t="n">
        <v>0</v>
      </c>
      <c r="M551" s="21" t="n">
        <v>0</v>
      </c>
      <c r="N551" s="21" t="n">
        <v>0</v>
      </c>
      <c r="O551" s="21" t="n">
        <v>0</v>
      </c>
      <c r="P551" s="21" t="n">
        <v>-0.02</v>
      </c>
      <c r="Q551" s="21" t="n">
        <v>0.01</v>
      </c>
      <c r="R551" s="18" t="n">
        <f aca="false">ABS(D551)+MAX(ABS(G551),ABS(H551))+MAX(ABS(I551),ABS(J551))</f>
        <v>0.02</v>
      </c>
      <c r="S551" s="18" t="n">
        <f aca="false">ABS(K551)+MAX(ABS(N551),ABS(O551))+MAX(ABS(P551),ABS(Q551))</f>
        <v>0.02</v>
      </c>
      <c r="T551" s="18" t="n">
        <f aca="false">MAX(ABS(E551),ABS(F551))</f>
        <v>0</v>
      </c>
      <c r="U551" s="18" t="n">
        <f aca="false">MAX(ABS(L551),ABS(M551))</f>
        <v>0</v>
      </c>
    </row>
    <row r="552" customFormat="false" ht="15" hidden="false" customHeight="false" outlineLevel="0" collapsed="false">
      <c r="A552" s="4" t="n">
        <v>334</v>
      </c>
      <c r="B552" s="4" t="n">
        <v>111</v>
      </c>
      <c r="C552" s="18" t="n">
        <v>0.5</v>
      </c>
      <c r="D552" s="21" t="n">
        <v>0</v>
      </c>
      <c r="E552" s="21" t="n">
        <v>0</v>
      </c>
      <c r="F552" s="21" t="n">
        <v>0</v>
      </c>
      <c r="G552" s="21" t="n">
        <v>0.01</v>
      </c>
      <c r="H552" s="21" t="n">
        <v>-0.01</v>
      </c>
      <c r="I552" s="21" t="n">
        <v>0</v>
      </c>
      <c r="J552" s="21" t="n">
        <v>0</v>
      </c>
      <c r="K552" s="21" t="n">
        <v>0</v>
      </c>
      <c r="L552" s="21" t="n">
        <v>0</v>
      </c>
      <c r="M552" s="21" t="n">
        <v>0</v>
      </c>
      <c r="N552" s="21" t="n">
        <v>0.01</v>
      </c>
      <c r="O552" s="21" t="n">
        <v>-0.01</v>
      </c>
      <c r="P552" s="21" t="n">
        <v>0</v>
      </c>
      <c r="Q552" s="21" t="n">
        <v>0</v>
      </c>
      <c r="R552" s="18" t="n">
        <f aca="false">ABS(D552)+MAX(ABS(G552),ABS(H552))+MAX(ABS(I552),ABS(J552))</f>
        <v>0.01</v>
      </c>
      <c r="S552" s="18" t="n">
        <f aca="false">ABS(K552)+MAX(ABS(N552),ABS(O552))+MAX(ABS(P552),ABS(Q552))</f>
        <v>0.01</v>
      </c>
      <c r="T552" s="18" t="n">
        <f aca="false">MAX(ABS(E552),ABS(F552))</f>
        <v>0</v>
      </c>
      <c r="U552" s="18" t="n">
        <f aca="false">MAX(ABS(L552),ABS(M552))</f>
        <v>0</v>
      </c>
    </row>
    <row r="553" customFormat="false" ht="15" hidden="false" customHeight="false" outlineLevel="0" collapsed="false">
      <c r="A553" s="4" t="n">
        <v>334</v>
      </c>
      <c r="B553" s="4" t="n">
        <v>111</v>
      </c>
      <c r="C553" s="18" t="n">
        <v>0.75</v>
      </c>
      <c r="D553" s="21" t="n">
        <v>0</v>
      </c>
      <c r="E553" s="21" t="n">
        <v>0</v>
      </c>
      <c r="F553" s="21" t="n">
        <v>0</v>
      </c>
      <c r="G553" s="21" t="n">
        <v>0.01</v>
      </c>
      <c r="H553" s="21" t="n">
        <v>-0.01</v>
      </c>
      <c r="I553" s="21" t="n">
        <v>0.02</v>
      </c>
      <c r="J553" s="21" t="n">
        <v>-0.01</v>
      </c>
      <c r="K553" s="21" t="n">
        <v>0</v>
      </c>
      <c r="L553" s="21" t="n">
        <v>0</v>
      </c>
      <c r="M553" s="21" t="n">
        <v>0</v>
      </c>
      <c r="N553" s="21" t="n">
        <v>0.01</v>
      </c>
      <c r="O553" s="21" t="n">
        <v>-0.01</v>
      </c>
      <c r="P553" s="21" t="n">
        <v>0.02</v>
      </c>
      <c r="Q553" s="21" t="n">
        <v>-0.01</v>
      </c>
      <c r="R553" s="18" t="n">
        <f aca="false">ABS(D553)+MAX(ABS(G553),ABS(H553))+MAX(ABS(I553),ABS(J553))</f>
        <v>0.03</v>
      </c>
      <c r="S553" s="18" t="n">
        <f aca="false">ABS(K553)+MAX(ABS(N553),ABS(O553))+MAX(ABS(P553),ABS(Q553))</f>
        <v>0.03</v>
      </c>
      <c r="T553" s="18" t="n">
        <f aca="false">MAX(ABS(E553),ABS(F553))</f>
        <v>0</v>
      </c>
      <c r="U553" s="18" t="n">
        <f aca="false">MAX(ABS(L553),ABS(M553))</f>
        <v>0</v>
      </c>
    </row>
    <row r="554" customFormat="false" ht="15" hidden="false" customHeight="false" outlineLevel="0" collapsed="false">
      <c r="A554" s="4" t="n">
        <v>334</v>
      </c>
      <c r="B554" s="4" t="n">
        <v>111</v>
      </c>
      <c r="C554" s="18" t="n">
        <v>1</v>
      </c>
      <c r="D554" s="21" t="n">
        <v>0</v>
      </c>
      <c r="E554" s="21" t="n">
        <v>0</v>
      </c>
      <c r="F554" s="21" t="n">
        <v>0</v>
      </c>
      <c r="G554" s="21" t="n">
        <v>0.02</v>
      </c>
      <c r="H554" s="21" t="n">
        <v>-0.02</v>
      </c>
      <c r="I554" s="21" t="n">
        <v>0.03</v>
      </c>
      <c r="J554" s="21" t="n">
        <v>-0.01</v>
      </c>
      <c r="K554" s="21" t="n">
        <v>0</v>
      </c>
      <c r="L554" s="21" t="n">
        <v>0</v>
      </c>
      <c r="M554" s="21" t="n">
        <v>0</v>
      </c>
      <c r="N554" s="21" t="n">
        <v>0.02</v>
      </c>
      <c r="O554" s="21" t="n">
        <v>-0.02</v>
      </c>
      <c r="P554" s="21" t="n">
        <v>0.04</v>
      </c>
      <c r="Q554" s="21" t="n">
        <v>-0.02</v>
      </c>
      <c r="R554" s="18" t="n">
        <f aca="false">ABS(D554)+MAX(ABS(G554),ABS(H554))+MAX(ABS(I554),ABS(J554))</f>
        <v>0.05</v>
      </c>
      <c r="S554" s="18" t="n">
        <f aca="false">ABS(K554)+MAX(ABS(N554),ABS(O554))+MAX(ABS(P554),ABS(Q554))</f>
        <v>0.06</v>
      </c>
      <c r="T554" s="18" t="n">
        <f aca="false">MAX(ABS(E554),ABS(F554))</f>
        <v>0</v>
      </c>
      <c r="U554" s="18" t="n">
        <f aca="false">MAX(ABS(L554),ABS(M554))</f>
        <v>0</v>
      </c>
    </row>
    <row r="555" customFormat="false" ht="15" hidden="false" customHeight="false" outlineLevel="0" collapsed="false">
      <c r="A555" s="4" t="n">
        <v>335</v>
      </c>
      <c r="B555" s="4" t="n">
        <v>112</v>
      </c>
      <c r="C555" s="18" t="n">
        <v>0</v>
      </c>
      <c r="D555" s="21" t="n">
        <v>0</v>
      </c>
      <c r="E555" s="21" t="n">
        <v>0</v>
      </c>
      <c r="F555" s="21" t="n">
        <v>0</v>
      </c>
      <c r="G555" s="21" t="n">
        <v>0.02</v>
      </c>
      <c r="H555" s="21" t="n">
        <v>-0.02</v>
      </c>
      <c r="I555" s="21" t="n">
        <v>-0.03</v>
      </c>
      <c r="J555" s="21" t="n">
        <v>0.01</v>
      </c>
      <c r="K555" s="21" t="n">
        <v>0</v>
      </c>
      <c r="L555" s="21" t="n">
        <v>0</v>
      </c>
      <c r="M555" s="21" t="n">
        <v>0</v>
      </c>
      <c r="N555" s="21" t="n">
        <v>0.02</v>
      </c>
      <c r="O555" s="21" t="n">
        <v>-0.02</v>
      </c>
      <c r="P555" s="21" t="n">
        <v>-0.03</v>
      </c>
      <c r="Q555" s="21" t="n">
        <v>0.01</v>
      </c>
      <c r="R555" s="18" t="n">
        <f aca="false">ABS(D555)+MAX(ABS(G555),ABS(H555))+MAX(ABS(I555),ABS(J555))</f>
        <v>0.05</v>
      </c>
      <c r="S555" s="18" t="n">
        <f aca="false">ABS(K555)+MAX(ABS(N555),ABS(O555))+MAX(ABS(P555),ABS(Q555))</f>
        <v>0.05</v>
      </c>
      <c r="T555" s="18" t="n">
        <f aca="false">MAX(ABS(E555),ABS(F555))</f>
        <v>0</v>
      </c>
      <c r="U555" s="18" t="n">
        <f aca="false">MAX(ABS(L555),ABS(M555))</f>
        <v>0</v>
      </c>
    </row>
    <row r="556" customFormat="false" ht="15" hidden="false" customHeight="false" outlineLevel="0" collapsed="false">
      <c r="A556" s="4" t="n">
        <v>335</v>
      </c>
      <c r="B556" s="4" t="n">
        <v>112</v>
      </c>
      <c r="C556" s="18" t="n">
        <v>0.25</v>
      </c>
      <c r="D556" s="21" t="n">
        <v>0</v>
      </c>
      <c r="E556" s="21" t="n">
        <v>0</v>
      </c>
      <c r="F556" s="21" t="n">
        <v>0</v>
      </c>
      <c r="G556" s="21" t="n">
        <v>0.01</v>
      </c>
      <c r="H556" s="21" t="n">
        <v>-0.01</v>
      </c>
      <c r="I556" s="21" t="n">
        <v>-0.02</v>
      </c>
      <c r="J556" s="21" t="n">
        <v>0.01</v>
      </c>
      <c r="K556" s="21" t="n">
        <v>0</v>
      </c>
      <c r="L556" s="21" t="n">
        <v>0</v>
      </c>
      <c r="M556" s="21" t="n">
        <v>0</v>
      </c>
      <c r="N556" s="21" t="n">
        <v>0.01</v>
      </c>
      <c r="O556" s="21" t="n">
        <v>-0.01</v>
      </c>
      <c r="P556" s="21" t="n">
        <v>-0.02</v>
      </c>
      <c r="Q556" s="21" t="n">
        <v>0.01</v>
      </c>
      <c r="R556" s="18" t="n">
        <f aca="false">ABS(D556)+MAX(ABS(G556),ABS(H556))+MAX(ABS(I556),ABS(J556))</f>
        <v>0.03</v>
      </c>
      <c r="S556" s="18" t="n">
        <f aca="false">ABS(K556)+MAX(ABS(N556),ABS(O556))+MAX(ABS(P556),ABS(Q556))</f>
        <v>0.03</v>
      </c>
      <c r="T556" s="18" t="n">
        <f aca="false">MAX(ABS(E556),ABS(F556))</f>
        <v>0</v>
      </c>
      <c r="U556" s="18" t="n">
        <f aca="false">MAX(ABS(L556),ABS(M556))</f>
        <v>0</v>
      </c>
    </row>
    <row r="557" customFormat="false" ht="15" hidden="false" customHeight="false" outlineLevel="0" collapsed="false">
      <c r="A557" s="4" t="n">
        <v>335</v>
      </c>
      <c r="B557" s="4" t="n">
        <v>112</v>
      </c>
      <c r="C557" s="18" t="n">
        <v>0.5</v>
      </c>
      <c r="D557" s="21" t="n">
        <v>0</v>
      </c>
      <c r="E557" s="21" t="n">
        <v>0</v>
      </c>
      <c r="F557" s="21" t="n">
        <v>0</v>
      </c>
      <c r="G557" s="21" t="n">
        <v>0.01</v>
      </c>
      <c r="H557" s="21" t="n">
        <v>-0.01</v>
      </c>
      <c r="I557" s="21" t="n">
        <v>0</v>
      </c>
      <c r="J557" s="21" t="n">
        <v>0</v>
      </c>
      <c r="K557" s="21" t="n">
        <v>0</v>
      </c>
      <c r="L557" s="21" t="n">
        <v>0</v>
      </c>
      <c r="M557" s="21" t="n">
        <v>0</v>
      </c>
      <c r="N557" s="21" t="n">
        <v>0.01</v>
      </c>
      <c r="O557" s="21" t="n">
        <v>-0.01</v>
      </c>
      <c r="P557" s="21" t="n">
        <v>0</v>
      </c>
      <c r="Q557" s="21" t="n">
        <v>0</v>
      </c>
      <c r="R557" s="18" t="n">
        <f aca="false">ABS(D557)+MAX(ABS(G557),ABS(H557))+MAX(ABS(I557),ABS(J557))</f>
        <v>0.01</v>
      </c>
      <c r="S557" s="18" t="n">
        <f aca="false">ABS(K557)+MAX(ABS(N557),ABS(O557))+MAX(ABS(P557),ABS(Q557))</f>
        <v>0.01</v>
      </c>
      <c r="T557" s="18" t="n">
        <f aca="false">MAX(ABS(E557),ABS(F557))</f>
        <v>0</v>
      </c>
      <c r="U557" s="18" t="n">
        <f aca="false">MAX(ABS(L557),ABS(M557))</f>
        <v>0</v>
      </c>
    </row>
    <row r="558" customFormat="false" ht="15" hidden="false" customHeight="false" outlineLevel="0" collapsed="false">
      <c r="A558" s="4" t="n">
        <v>335</v>
      </c>
      <c r="B558" s="4" t="n">
        <v>112</v>
      </c>
      <c r="C558" s="18" t="n">
        <v>0.75</v>
      </c>
      <c r="D558" s="21" t="n">
        <v>0</v>
      </c>
      <c r="E558" s="21" t="n">
        <v>0</v>
      </c>
      <c r="F558" s="21" t="n">
        <v>0</v>
      </c>
      <c r="G558" s="21" t="n">
        <v>0</v>
      </c>
      <c r="H558" s="21" t="n">
        <v>0</v>
      </c>
      <c r="I558" s="21" t="n">
        <v>0.02</v>
      </c>
      <c r="J558" s="21" t="n">
        <v>-0.01</v>
      </c>
      <c r="K558" s="21" t="n">
        <v>0</v>
      </c>
      <c r="L558" s="21" t="n">
        <v>0</v>
      </c>
      <c r="M558" s="21" t="n">
        <v>0</v>
      </c>
      <c r="N558" s="21" t="n">
        <v>0</v>
      </c>
      <c r="O558" s="21" t="n">
        <v>0</v>
      </c>
      <c r="P558" s="21" t="n">
        <v>0.02</v>
      </c>
      <c r="Q558" s="21" t="n">
        <v>-0.01</v>
      </c>
      <c r="R558" s="18" t="n">
        <f aca="false">ABS(D558)+MAX(ABS(G558),ABS(H558))+MAX(ABS(I558),ABS(J558))</f>
        <v>0.02</v>
      </c>
      <c r="S558" s="18" t="n">
        <f aca="false">ABS(K558)+MAX(ABS(N558),ABS(O558))+MAX(ABS(P558),ABS(Q558))</f>
        <v>0.02</v>
      </c>
      <c r="T558" s="18" t="n">
        <f aca="false">MAX(ABS(E558),ABS(F558))</f>
        <v>0</v>
      </c>
      <c r="U558" s="18" t="n">
        <f aca="false">MAX(ABS(L558),ABS(M558))</f>
        <v>0</v>
      </c>
    </row>
    <row r="559" customFormat="false" ht="15" hidden="false" customHeight="false" outlineLevel="0" collapsed="false">
      <c r="A559" s="4" t="n">
        <v>335</v>
      </c>
      <c r="B559" s="4" t="n">
        <v>112</v>
      </c>
      <c r="C559" s="18" t="n">
        <v>1</v>
      </c>
      <c r="D559" s="21" t="n">
        <v>0</v>
      </c>
      <c r="E559" s="21" t="n">
        <v>0</v>
      </c>
      <c r="F559" s="21" t="n">
        <v>0</v>
      </c>
      <c r="G559" s="21" t="n">
        <v>0</v>
      </c>
      <c r="H559" s="21" t="n">
        <v>0</v>
      </c>
      <c r="I559" s="21" t="n">
        <v>0.03</v>
      </c>
      <c r="J559" s="21" t="n">
        <v>-0.01</v>
      </c>
      <c r="K559" s="21" t="n">
        <v>0</v>
      </c>
      <c r="L559" s="21" t="n">
        <v>0</v>
      </c>
      <c r="M559" s="21" t="n">
        <v>0</v>
      </c>
      <c r="N559" s="21" t="n">
        <v>0</v>
      </c>
      <c r="O559" s="21" t="n">
        <v>0</v>
      </c>
      <c r="P559" s="21" t="n">
        <v>0.04</v>
      </c>
      <c r="Q559" s="21" t="n">
        <v>-0.01</v>
      </c>
      <c r="R559" s="18" t="n">
        <f aca="false">ABS(D559)+MAX(ABS(G559),ABS(H559))+MAX(ABS(I559),ABS(J559))</f>
        <v>0.03</v>
      </c>
      <c r="S559" s="18" t="n">
        <f aca="false">ABS(K559)+MAX(ABS(N559),ABS(O559))+MAX(ABS(P559),ABS(Q559))</f>
        <v>0.04</v>
      </c>
      <c r="T559" s="18" t="n">
        <f aca="false">MAX(ABS(E559),ABS(F559))</f>
        <v>0</v>
      </c>
      <c r="U559" s="18" t="n">
        <f aca="false">MAX(ABS(L559),ABS(M559))</f>
        <v>0</v>
      </c>
    </row>
    <row r="560" customFormat="false" ht="15" hidden="false" customHeight="false" outlineLevel="0" collapsed="false">
      <c r="A560" s="4" t="n">
        <v>336</v>
      </c>
      <c r="B560" s="4" t="n">
        <v>113</v>
      </c>
      <c r="C560" s="18" t="n">
        <v>0</v>
      </c>
      <c r="D560" s="21" t="n">
        <v>0.01</v>
      </c>
      <c r="E560" s="21" t="n">
        <v>0</v>
      </c>
      <c r="F560" s="21" t="n">
        <v>0</v>
      </c>
      <c r="G560" s="21" t="n">
        <v>0</v>
      </c>
      <c r="H560" s="21" t="n">
        <v>0</v>
      </c>
      <c r="I560" s="21" t="n">
        <v>0.05</v>
      </c>
      <c r="J560" s="21" t="n">
        <v>-0.02</v>
      </c>
      <c r="K560" s="21" t="n">
        <v>0.01</v>
      </c>
      <c r="L560" s="21" t="n">
        <v>0</v>
      </c>
      <c r="M560" s="21" t="n">
        <v>0</v>
      </c>
      <c r="N560" s="21" t="n">
        <v>0.01</v>
      </c>
      <c r="O560" s="21" t="n">
        <v>-0.01</v>
      </c>
      <c r="P560" s="21" t="n">
        <v>0.05</v>
      </c>
      <c r="Q560" s="21" t="n">
        <v>-0.02</v>
      </c>
      <c r="R560" s="18" t="n">
        <f aca="false">ABS(D560)+MAX(ABS(G560),ABS(H560))+MAX(ABS(I560),ABS(J560))</f>
        <v>0.06</v>
      </c>
      <c r="S560" s="18" t="n">
        <f aca="false">ABS(K560)+MAX(ABS(N560),ABS(O560))+MAX(ABS(P560),ABS(Q560))</f>
        <v>0.07</v>
      </c>
      <c r="T560" s="18" t="n">
        <f aca="false">MAX(ABS(E560),ABS(F560))</f>
        <v>0</v>
      </c>
      <c r="U560" s="18" t="n">
        <f aca="false">MAX(ABS(L560),ABS(M560))</f>
        <v>0</v>
      </c>
    </row>
    <row r="561" customFormat="false" ht="15" hidden="false" customHeight="false" outlineLevel="0" collapsed="false">
      <c r="A561" s="4" t="n">
        <v>336</v>
      </c>
      <c r="B561" s="4" t="n">
        <v>113</v>
      </c>
      <c r="C561" s="18" t="n">
        <v>0.25</v>
      </c>
      <c r="D561" s="21" t="n">
        <v>0.01</v>
      </c>
      <c r="E561" s="21" t="n">
        <v>0</v>
      </c>
      <c r="F561" s="21" t="n">
        <v>0</v>
      </c>
      <c r="G561" s="21" t="n">
        <v>0</v>
      </c>
      <c r="H561" s="21" t="n">
        <v>0</v>
      </c>
      <c r="I561" s="21" t="n">
        <v>0.02</v>
      </c>
      <c r="J561" s="21" t="n">
        <v>-0.01</v>
      </c>
      <c r="K561" s="21" t="n">
        <v>0.01</v>
      </c>
      <c r="L561" s="21" t="n">
        <v>0</v>
      </c>
      <c r="M561" s="21" t="n">
        <v>0</v>
      </c>
      <c r="N561" s="21" t="n">
        <v>0</v>
      </c>
      <c r="O561" s="21" t="n">
        <v>0</v>
      </c>
      <c r="P561" s="21" t="n">
        <v>0.02</v>
      </c>
      <c r="Q561" s="21" t="n">
        <v>-0.01</v>
      </c>
      <c r="R561" s="18" t="n">
        <f aca="false">ABS(D561)+MAX(ABS(G561),ABS(H561))+MAX(ABS(I561),ABS(J561))</f>
        <v>0.03</v>
      </c>
      <c r="S561" s="18" t="n">
        <f aca="false">ABS(K561)+MAX(ABS(N561),ABS(O561))+MAX(ABS(P561),ABS(Q561))</f>
        <v>0.03</v>
      </c>
      <c r="T561" s="18" t="n">
        <f aca="false">MAX(ABS(E561),ABS(F561))</f>
        <v>0</v>
      </c>
      <c r="U561" s="18" t="n">
        <f aca="false">MAX(ABS(L561),ABS(M561))</f>
        <v>0</v>
      </c>
    </row>
    <row r="562" customFormat="false" ht="15" hidden="false" customHeight="false" outlineLevel="0" collapsed="false">
      <c r="A562" s="4" t="n">
        <v>336</v>
      </c>
      <c r="B562" s="4" t="n">
        <v>113</v>
      </c>
      <c r="C562" s="18" t="n">
        <v>0.5</v>
      </c>
      <c r="D562" s="21" t="n">
        <v>0.01</v>
      </c>
      <c r="E562" s="21" t="n">
        <v>0</v>
      </c>
      <c r="F562" s="21" t="n">
        <v>0</v>
      </c>
      <c r="G562" s="21" t="n">
        <v>0</v>
      </c>
      <c r="H562" s="21" t="n">
        <v>0</v>
      </c>
      <c r="I562" s="21" t="n">
        <v>0</v>
      </c>
      <c r="J562" s="21" t="n">
        <v>0</v>
      </c>
      <c r="K562" s="21" t="n">
        <v>0.01</v>
      </c>
      <c r="L562" s="21" t="n">
        <v>0</v>
      </c>
      <c r="M562" s="21" t="n">
        <v>0</v>
      </c>
      <c r="N562" s="21" t="n">
        <v>0</v>
      </c>
      <c r="O562" s="21" t="n">
        <v>0</v>
      </c>
      <c r="P562" s="21" t="n">
        <v>0</v>
      </c>
      <c r="Q562" s="21" t="n">
        <v>0</v>
      </c>
      <c r="R562" s="18" t="n">
        <f aca="false">ABS(D562)+MAX(ABS(G562),ABS(H562))+MAX(ABS(I562),ABS(J562))</f>
        <v>0.01</v>
      </c>
      <c r="S562" s="18" t="n">
        <f aca="false">ABS(K562)+MAX(ABS(N562),ABS(O562))+MAX(ABS(P562),ABS(Q562))</f>
        <v>0.01</v>
      </c>
      <c r="T562" s="18" t="n">
        <f aca="false">MAX(ABS(E562),ABS(F562))</f>
        <v>0</v>
      </c>
      <c r="U562" s="18" t="n">
        <f aca="false">MAX(ABS(L562),ABS(M562))</f>
        <v>0</v>
      </c>
    </row>
    <row r="563" customFormat="false" ht="15" hidden="false" customHeight="false" outlineLevel="0" collapsed="false">
      <c r="A563" s="4" t="n">
        <v>336</v>
      </c>
      <c r="B563" s="4" t="n">
        <v>113</v>
      </c>
      <c r="C563" s="18" t="n">
        <v>0.75</v>
      </c>
      <c r="D563" s="21" t="n">
        <v>0.01</v>
      </c>
      <c r="E563" s="21" t="n">
        <v>0</v>
      </c>
      <c r="F563" s="21" t="n">
        <v>0</v>
      </c>
      <c r="G563" s="21" t="n">
        <v>-0.01</v>
      </c>
      <c r="H563" s="21" t="n">
        <v>0.01</v>
      </c>
      <c r="I563" s="21" t="n">
        <v>-0.02</v>
      </c>
      <c r="J563" s="21" t="n">
        <v>0.01</v>
      </c>
      <c r="K563" s="21" t="n">
        <v>0.01</v>
      </c>
      <c r="L563" s="21" t="n">
        <v>0</v>
      </c>
      <c r="M563" s="21" t="n">
        <v>0</v>
      </c>
      <c r="N563" s="21" t="n">
        <v>-0.01</v>
      </c>
      <c r="O563" s="21" t="n">
        <v>0.01</v>
      </c>
      <c r="P563" s="21" t="n">
        <v>-0.03</v>
      </c>
      <c r="Q563" s="21" t="n">
        <v>0.01</v>
      </c>
      <c r="R563" s="18" t="n">
        <f aca="false">ABS(D563)+MAX(ABS(G563),ABS(H563))+MAX(ABS(I563),ABS(J563))</f>
        <v>0.04</v>
      </c>
      <c r="S563" s="18" t="n">
        <f aca="false">ABS(K563)+MAX(ABS(N563),ABS(O563))+MAX(ABS(P563),ABS(Q563))</f>
        <v>0.05</v>
      </c>
      <c r="T563" s="18" t="n">
        <f aca="false">MAX(ABS(E563),ABS(F563))</f>
        <v>0</v>
      </c>
      <c r="U563" s="18" t="n">
        <f aca="false">MAX(ABS(L563),ABS(M563))</f>
        <v>0</v>
      </c>
    </row>
    <row r="564" customFormat="false" ht="15" hidden="false" customHeight="false" outlineLevel="0" collapsed="false">
      <c r="A564" s="4" t="n">
        <v>336</v>
      </c>
      <c r="B564" s="4" t="n">
        <v>113</v>
      </c>
      <c r="C564" s="18" t="n">
        <v>1</v>
      </c>
      <c r="D564" s="21" t="n">
        <v>0.01</v>
      </c>
      <c r="E564" s="21" t="n">
        <v>0</v>
      </c>
      <c r="F564" s="21" t="n">
        <v>0</v>
      </c>
      <c r="G564" s="21" t="n">
        <v>-0.01</v>
      </c>
      <c r="H564" s="21" t="n">
        <v>0.01</v>
      </c>
      <c r="I564" s="21" t="n">
        <v>-0.05</v>
      </c>
      <c r="J564" s="21" t="n">
        <v>0.02</v>
      </c>
      <c r="K564" s="21" t="n">
        <v>0.01</v>
      </c>
      <c r="L564" s="21" t="n">
        <v>0</v>
      </c>
      <c r="M564" s="21" t="n">
        <v>0</v>
      </c>
      <c r="N564" s="21" t="n">
        <v>-0.01</v>
      </c>
      <c r="O564" s="21" t="n">
        <v>0.01</v>
      </c>
      <c r="P564" s="21" t="n">
        <v>-0.05</v>
      </c>
      <c r="Q564" s="21" t="n">
        <v>0.02</v>
      </c>
      <c r="R564" s="18" t="n">
        <f aca="false">ABS(D564)+MAX(ABS(G564),ABS(H564))+MAX(ABS(I564),ABS(J564))</f>
        <v>0.07</v>
      </c>
      <c r="S564" s="18" t="n">
        <f aca="false">ABS(K564)+MAX(ABS(N564),ABS(O564))+MAX(ABS(P564),ABS(Q564))</f>
        <v>0.07</v>
      </c>
      <c r="T564" s="18" t="n">
        <f aca="false">MAX(ABS(E564),ABS(F564))</f>
        <v>0</v>
      </c>
      <c r="U564" s="18" t="n">
        <f aca="false">MAX(ABS(L564),ABS(M564))</f>
        <v>0</v>
      </c>
    </row>
    <row r="565" customFormat="false" ht="15" hidden="false" customHeight="false" outlineLevel="0" collapsed="false">
      <c r="A565" s="4" t="n">
        <v>337</v>
      </c>
      <c r="B565" s="4" t="n">
        <v>114</v>
      </c>
      <c r="C565" s="18" t="n">
        <v>0</v>
      </c>
      <c r="D565" s="21" t="n">
        <v>0</v>
      </c>
      <c r="E565" s="21" t="n">
        <v>0</v>
      </c>
      <c r="F565" s="21" t="n">
        <v>0</v>
      </c>
      <c r="G565" s="21" t="n">
        <v>-0.01</v>
      </c>
      <c r="H565" s="21" t="n">
        <v>0.01</v>
      </c>
      <c r="I565" s="21" t="n">
        <v>0.04</v>
      </c>
      <c r="J565" s="21" t="n">
        <v>-0.02</v>
      </c>
      <c r="K565" s="21" t="n">
        <v>0</v>
      </c>
      <c r="L565" s="21" t="n">
        <v>0</v>
      </c>
      <c r="M565" s="21" t="n">
        <v>0</v>
      </c>
      <c r="N565" s="21" t="n">
        <v>-0.01</v>
      </c>
      <c r="O565" s="21" t="n">
        <v>0.01</v>
      </c>
      <c r="P565" s="21" t="n">
        <v>0.05</v>
      </c>
      <c r="Q565" s="21" t="n">
        <v>-0.02</v>
      </c>
      <c r="R565" s="18" t="n">
        <f aca="false">ABS(D565)+MAX(ABS(G565),ABS(H565))+MAX(ABS(I565),ABS(J565))</f>
        <v>0.05</v>
      </c>
      <c r="S565" s="18" t="n">
        <f aca="false">ABS(K565)+MAX(ABS(N565),ABS(O565))+MAX(ABS(P565),ABS(Q565))</f>
        <v>0.06</v>
      </c>
      <c r="T565" s="18" t="n">
        <f aca="false">MAX(ABS(E565),ABS(F565))</f>
        <v>0</v>
      </c>
      <c r="U565" s="18" t="n">
        <f aca="false">MAX(ABS(L565),ABS(M565))</f>
        <v>0</v>
      </c>
    </row>
    <row r="566" customFormat="false" ht="15" hidden="false" customHeight="false" outlineLevel="0" collapsed="false">
      <c r="A566" s="4" t="n">
        <v>337</v>
      </c>
      <c r="B566" s="4" t="n">
        <v>114</v>
      </c>
      <c r="C566" s="18" t="n">
        <v>0.25</v>
      </c>
      <c r="D566" s="21" t="n">
        <v>0</v>
      </c>
      <c r="E566" s="21" t="n">
        <v>0</v>
      </c>
      <c r="F566" s="21" t="n">
        <v>0</v>
      </c>
      <c r="G566" s="21" t="n">
        <v>-0.01</v>
      </c>
      <c r="H566" s="21" t="n">
        <v>0.01</v>
      </c>
      <c r="I566" s="21" t="n">
        <v>0.02</v>
      </c>
      <c r="J566" s="21" t="n">
        <v>-0.01</v>
      </c>
      <c r="K566" s="21" t="n">
        <v>0</v>
      </c>
      <c r="L566" s="21" t="n">
        <v>0</v>
      </c>
      <c r="M566" s="21" t="n">
        <v>0</v>
      </c>
      <c r="N566" s="21" t="n">
        <v>-0.01</v>
      </c>
      <c r="O566" s="21" t="n">
        <v>0.01</v>
      </c>
      <c r="P566" s="21" t="n">
        <v>0.02</v>
      </c>
      <c r="Q566" s="21" t="n">
        <v>-0.01</v>
      </c>
      <c r="R566" s="18" t="n">
        <f aca="false">ABS(D566)+MAX(ABS(G566),ABS(H566))+MAX(ABS(I566),ABS(J566))</f>
        <v>0.03</v>
      </c>
      <c r="S566" s="18" t="n">
        <f aca="false">ABS(K566)+MAX(ABS(N566),ABS(O566))+MAX(ABS(P566),ABS(Q566))</f>
        <v>0.03</v>
      </c>
      <c r="T566" s="18" t="n">
        <f aca="false">MAX(ABS(E566),ABS(F566))</f>
        <v>0</v>
      </c>
      <c r="U566" s="18" t="n">
        <f aca="false">MAX(ABS(L566),ABS(M566))</f>
        <v>0</v>
      </c>
    </row>
    <row r="567" customFormat="false" ht="15" hidden="false" customHeight="false" outlineLevel="0" collapsed="false">
      <c r="A567" s="4" t="n">
        <v>337</v>
      </c>
      <c r="B567" s="4" t="n">
        <v>114</v>
      </c>
      <c r="C567" s="18" t="n">
        <v>0.5</v>
      </c>
      <c r="D567" s="21" t="n">
        <v>0</v>
      </c>
      <c r="E567" s="21" t="n">
        <v>0</v>
      </c>
      <c r="F567" s="21" t="n">
        <v>0</v>
      </c>
      <c r="G567" s="21" t="n">
        <v>0</v>
      </c>
      <c r="H567" s="21" t="n">
        <v>0</v>
      </c>
      <c r="I567" s="21" t="n">
        <v>0</v>
      </c>
      <c r="J567" s="21" t="n">
        <v>0</v>
      </c>
      <c r="K567" s="21" t="n">
        <v>0</v>
      </c>
      <c r="L567" s="21" t="n">
        <v>0</v>
      </c>
      <c r="M567" s="21" t="n">
        <v>0</v>
      </c>
      <c r="N567" s="21" t="n">
        <v>0</v>
      </c>
      <c r="O567" s="21" t="n">
        <v>0</v>
      </c>
      <c r="P567" s="21" t="n">
        <v>0</v>
      </c>
      <c r="Q567" s="21" t="n">
        <v>0</v>
      </c>
      <c r="R567" s="18" t="n">
        <f aca="false">ABS(D567)+MAX(ABS(G567),ABS(H567))+MAX(ABS(I567),ABS(J567))</f>
        <v>0</v>
      </c>
      <c r="S567" s="18" t="n">
        <f aca="false">ABS(K567)+MAX(ABS(N567),ABS(O567))+MAX(ABS(P567),ABS(Q567))</f>
        <v>0</v>
      </c>
      <c r="T567" s="18" t="n">
        <f aca="false">MAX(ABS(E567),ABS(F567))</f>
        <v>0</v>
      </c>
      <c r="U567" s="18" t="n">
        <f aca="false">MAX(ABS(L567),ABS(M567))</f>
        <v>0</v>
      </c>
    </row>
    <row r="568" customFormat="false" ht="15" hidden="false" customHeight="false" outlineLevel="0" collapsed="false">
      <c r="A568" s="4" t="n">
        <v>337</v>
      </c>
      <c r="B568" s="4" t="n">
        <v>114</v>
      </c>
      <c r="C568" s="18" t="n">
        <v>0.75</v>
      </c>
      <c r="D568" s="21" t="n">
        <v>0</v>
      </c>
      <c r="E568" s="21" t="n">
        <v>0</v>
      </c>
      <c r="F568" s="21" t="n">
        <v>0</v>
      </c>
      <c r="G568" s="21" t="n">
        <v>0</v>
      </c>
      <c r="H568" s="21" t="n">
        <v>0</v>
      </c>
      <c r="I568" s="21" t="n">
        <v>-0.02</v>
      </c>
      <c r="J568" s="21" t="n">
        <v>0.01</v>
      </c>
      <c r="K568" s="21" t="n">
        <v>0</v>
      </c>
      <c r="L568" s="21" t="n">
        <v>0</v>
      </c>
      <c r="M568" s="21" t="n">
        <v>0</v>
      </c>
      <c r="N568" s="21" t="n">
        <v>0</v>
      </c>
      <c r="O568" s="21" t="n">
        <v>0</v>
      </c>
      <c r="P568" s="21" t="n">
        <v>-0.02</v>
      </c>
      <c r="Q568" s="21" t="n">
        <v>0.01</v>
      </c>
      <c r="R568" s="18" t="n">
        <f aca="false">ABS(D568)+MAX(ABS(G568),ABS(H568))+MAX(ABS(I568),ABS(J568))</f>
        <v>0.02</v>
      </c>
      <c r="S568" s="18" t="n">
        <f aca="false">ABS(K568)+MAX(ABS(N568),ABS(O568))+MAX(ABS(P568),ABS(Q568))</f>
        <v>0.02</v>
      </c>
      <c r="T568" s="18" t="n">
        <f aca="false">MAX(ABS(E568),ABS(F568))</f>
        <v>0</v>
      </c>
      <c r="U568" s="18" t="n">
        <f aca="false">MAX(ABS(L568),ABS(M568))</f>
        <v>0</v>
      </c>
    </row>
    <row r="569" customFormat="false" ht="15" hidden="false" customHeight="false" outlineLevel="0" collapsed="false">
      <c r="A569" s="4" t="n">
        <v>337</v>
      </c>
      <c r="B569" s="4" t="n">
        <v>114</v>
      </c>
      <c r="C569" s="18" t="n">
        <v>1</v>
      </c>
      <c r="D569" s="21" t="n">
        <v>0</v>
      </c>
      <c r="E569" s="21" t="n">
        <v>0</v>
      </c>
      <c r="F569" s="21" t="n">
        <v>0</v>
      </c>
      <c r="G569" s="21" t="n">
        <v>0</v>
      </c>
      <c r="H569" s="21" t="n">
        <v>0</v>
      </c>
      <c r="I569" s="21" t="n">
        <v>-0.05</v>
      </c>
      <c r="J569" s="21" t="n">
        <v>0.02</v>
      </c>
      <c r="K569" s="21" t="n">
        <v>0</v>
      </c>
      <c r="L569" s="21" t="n">
        <v>0</v>
      </c>
      <c r="M569" s="21" t="n">
        <v>0</v>
      </c>
      <c r="N569" s="21" t="n">
        <v>0</v>
      </c>
      <c r="O569" s="21" t="n">
        <v>0</v>
      </c>
      <c r="P569" s="21" t="n">
        <v>-0.05</v>
      </c>
      <c r="Q569" s="21" t="n">
        <v>0.02</v>
      </c>
      <c r="R569" s="18" t="n">
        <f aca="false">ABS(D569)+MAX(ABS(G569),ABS(H569))+MAX(ABS(I569),ABS(J569))</f>
        <v>0.05</v>
      </c>
      <c r="S569" s="18" t="n">
        <f aca="false">ABS(K569)+MAX(ABS(N569),ABS(O569))+MAX(ABS(P569),ABS(Q569))</f>
        <v>0.05</v>
      </c>
      <c r="T569" s="18" t="n">
        <f aca="false">MAX(ABS(E569),ABS(F569))</f>
        <v>0</v>
      </c>
      <c r="U569" s="18" t="n">
        <f aca="false">MAX(ABS(L569),ABS(M569))</f>
        <v>0</v>
      </c>
    </row>
    <row r="570" customFormat="false" ht="15" hidden="false" customHeight="false" outlineLevel="0" collapsed="false">
      <c r="A570" s="4" t="n">
        <v>338</v>
      </c>
      <c r="B570" s="4" t="n">
        <v>115</v>
      </c>
      <c r="C570" s="18" t="n">
        <v>0</v>
      </c>
      <c r="D570" s="21" t="n">
        <v>0.01</v>
      </c>
      <c r="E570" s="21" t="n">
        <v>0</v>
      </c>
      <c r="F570" s="21" t="n">
        <v>0</v>
      </c>
      <c r="G570" s="21" t="n">
        <v>0</v>
      </c>
      <c r="H570" s="21" t="n">
        <v>0</v>
      </c>
      <c r="I570" s="21" t="n">
        <v>-0.06</v>
      </c>
      <c r="J570" s="21" t="n">
        <v>0.02</v>
      </c>
      <c r="K570" s="21" t="n">
        <v>0.01</v>
      </c>
      <c r="L570" s="21" t="n">
        <v>0</v>
      </c>
      <c r="M570" s="21" t="n">
        <v>0</v>
      </c>
      <c r="N570" s="21" t="n">
        <v>0</v>
      </c>
      <c r="O570" s="21" t="n">
        <v>0</v>
      </c>
      <c r="P570" s="21" t="n">
        <v>-0.06</v>
      </c>
      <c r="Q570" s="21" t="n">
        <v>0.02</v>
      </c>
      <c r="R570" s="18" t="n">
        <f aca="false">ABS(D570)+MAX(ABS(G570),ABS(H570))+MAX(ABS(I570),ABS(J570))</f>
        <v>0.07</v>
      </c>
      <c r="S570" s="18" t="n">
        <f aca="false">ABS(K570)+MAX(ABS(N570),ABS(O570))+MAX(ABS(P570),ABS(Q570))</f>
        <v>0.07</v>
      </c>
      <c r="T570" s="18" t="n">
        <f aca="false">MAX(ABS(E570),ABS(F570))</f>
        <v>0</v>
      </c>
      <c r="U570" s="18" t="n">
        <f aca="false">MAX(ABS(L570),ABS(M570))</f>
        <v>0</v>
      </c>
    </row>
    <row r="571" customFormat="false" ht="15" hidden="false" customHeight="false" outlineLevel="0" collapsed="false">
      <c r="A571" s="4" t="n">
        <v>338</v>
      </c>
      <c r="B571" s="4" t="n">
        <v>115</v>
      </c>
      <c r="C571" s="18" t="n">
        <v>0.25</v>
      </c>
      <c r="D571" s="21" t="n">
        <v>0.01</v>
      </c>
      <c r="E571" s="21" t="n">
        <v>0</v>
      </c>
      <c r="F571" s="21" t="n">
        <v>0</v>
      </c>
      <c r="G571" s="21" t="n">
        <v>0</v>
      </c>
      <c r="H571" s="21" t="n">
        <v>0</v>
      </c>
      <c r="I571" s="21" t="n">
        <v>-0.03</v>
      </c>
      <c r="J571" s="21" t="n">
        <v>0.01</v>
      </c>
      <c r="K571" s="21" t="n">
        <v>0.01</v>
      </c>
      <c r="L571" s="21" t="n">
        <v>0</v>
      </c>
      <c r="M571" s="21" t="n">
        <v>0</v>
      </c>
      <c r="N571" s="21" t="n">
        <v>0</v>
      </c>
      <c r="O571" s="21" t="n">
        <v>0</v>
      </c>
      <c r="P571" s="21" t="n">
        <v>-0.03</v>
      </c>
      <c r="Q571" s="21" t="n">
        <v>0.01</v>
      </c>
      <c r="R571" s="18" t="n">
        <f aca="false">ABS(D571)+MAX(ABS(G571),ABS(H571))+MAX(ABS(I571),ABS(J571))</f>
        <v>0.04</v>
      </c>
      <c r="S571" s="18" t="n">
        <f aca="false">ABS(K571)+MAX(ABS(N571),ABS(O571))+MAX(ABS(P571),ABS(Q571))</f>
        <v>0.04</v>
      </c>
      <c r="T571" s="18" t="n">
        <f aca="false">MAX(ABS(E571),ABS(F571))</f>
        <v>0</v>
      </c>
      <c r="U571" s="18" t="n">
        <f aca="false">MAX(ABS(L571),ABS(M571))</f>
        <v>0</v>
      </c>
    </row>
    <row r="572" customFormat="false" ht="15" hidden="false" customHeight="false" outlineLevel="0" collapsed="false">
      <c r="A572" s="4" t="n">
        <v>338</v>
      </c>
      <c r="B572" s="4" t="n">
        <v>115</v>
      </c>
      <c r="C572" s="18" t="n">
        <v>0.5</v>
      </c>
      <c r="D572" s="21" t="n">
        <v>0.01</v>
      </c>
      <c r="E572" s="21" t="n">
        <v>0</v>
      </c>
      <c r="F572" s="21" t="n">
        <v>0</v>
      </c>
      <c r="G572" s="21" t="n">
        <v>0</v>
      </c>
      <c r="H572" s="21" t="n">
        <v>0</v>
      </c>
      <c r="I572" s="21" t="n">
        <v>0</v>
      </c>
      <c r="J572" s="21" t="n">
        <v>0</v>
      </c>
      <c r="K572" s="21" t="n">
        <v>0.01</v>
      </c>
      <c r="L572" s="21" t="n">
        <v>0</v>
      </c>
      <c r="M572" s="21" t="n">
        <v>0</v>
      </c>
      <c r="N572" s="21" t="n">
        <v>0</v>
      </c>
      <c r="O572" s="21" t="n">
        <v>0</v>
      </c>
      <c r="P572" s="21" t="n">
        <v>0</v>
      </c>
      <c r="Q572" s="21" t="n">
        <v>0</v>
      </c>
      <c r="R572" s="18" t="n">
        <f aca="false">ABS(D572)+MAX(ABS(G572),ABS(H572))+MAX(ABS(I572),ABS(J572))</f>
        <v>0.01</v>
      </c>
      <c r="S572" s="18" t="n">
        <f aca="false">ABS(K572)+MAX(ABS(N572),ABS(O572))+MAX(ABS(P572),ABS(Q572))</f>
        <v>0.01</v>
      </c>
      <c r="T572" s="18" t="n">
        <f aca="false">MAX(ABS(E572),ABS(F572))</f>
        <v>0</v>
      </c>
      <c r="U572" s="18" t="n">
        <f aca="false">MAX(ABS(L572),ABS(M572))</f>
        <v>0</v>
      </c>
    </row>
    <row r="573" customFormat="false" ht="15" hidden="false" customHeight="false" outlineLevel="0" collapsed="false">
      <c r="A573" s="4" t="n">
        <v>338</v>
      </c>
      <c r="B573" s="4" t="n">
        <v>115</v>
      </c>
      <c r="C573" s="18" t="n">
        <v>0.75</v>
      </c>
      <c r="D573" s="21" t="n">
        <v>0.01</v>
      </c>
      <c r="E573" s="21" t="n">
        <v>0</v>
      </c>
      <c r="F573" s="21" t="n">
        <v>0</v>
      </c>
      <c r="G573" s="21" t="n">
        <v>-0.01</v>
      </c>
      <c r="H573" s="21" t="n">
        <v>0.01</v>
      </c>
      <c r="I573" s="21" t="n">
        <v>0.03</v>
      </c>
      <c r="J573" s="21" t="n">
        <v>-0.01</v>
      </c>
      <c r="K573" s="21" t="n">
        <v>0.01</v>
      </c>
      <c r="L573" s="21" t="n">
        <v>0</v>
      </c>
      <c r="M573" s="21" t="n">
        <v>0</v>
      </c>
      <c r="N573" s="21" t="n">
        <v>-0.01</v>
      </c>
      <c r="O573" s="21" t="n">
        <v>0.01</v>
      </c>
      <c r="P573" s="21" t="n">
        <v>0.03</v>
      </c>
      <c r="Q573" s="21" t="n">
        <v>-0.01</v>
      </c>
      <c r="R573" s="18" t="n">
        <f aca="false">ABS(D573)+MAX(ABS(G573),ABS(H573))+MAX(ABS(I573),ABS(J573))</f>
        <v>0.05</v>
      </c>
      <c r="S573" s="18" t="n">
        <f aca="false">ABS(K573)+MAX(ABS(N573),ABS(O573))+MAX(ABS(P573),ABS(Q573))</f>
        <v>0.05</v>
      </c>
      <c r="T573" s="18" t="n">
        <f aca="false">MAX(ABS(E573),ABS(F573))</f>
        <v>0</v>
      </c>
      <c r="U573" s="18" t="n">
        <f aca="false">MAX(ABS(L573),ABS(M573))</f>
        <v>0</v>
      </c>
    </row>
    <row r="574" customFormat="false" ht="15" hidden="false" customHeight="false" outlineLevel="0" collapsed="false">
      <c r="A574" s="4" t="n">
        <v>338</v>
      </c>
      <c r="B574" s="4" t="n">
        <v>115</v>
      </c>
      <c r="C574" s="18" t="n">
        <v>1</v>
      </c>
      <c r="D574" s="21" t="n">
        <v>0.01</v>
      </c>
      <c r="E574" s="21" t="n">
        <v>0</v>
      </c>
      <c r="F574" s="21" t="n">
        <v>0</v>
      </c>
      <c r="G574" s="21" t="n">
        <v>-0.01</v>
      </c>
      <c r="H574" s="21" t="n">
        <v>0.01</v>
      </c>
      <c r="I574" s="21" t="n">
        <v>0.06</v>
      </c>
      <c r="J574" s="21" t="n">
        <v>-0.02</v>
      </c>
      <c r="K574" s="21" t="n">
        <v>0.01</v>
      </c>
      <c r="L574" s="21" t="n">
        <v>0</v>
      </c>
      <c r="M574" s="21" t="n">
        <v>0</v>
      </c>
      <c r="N574" s="21" t="n">
        <v>-0.01</v>
      </c>
      <c r="O574" s="21" t="n">
        <v>0.01</v>
      </c>
      <c r="P574" s="21" t="n">
        <v>0.06</v>
      </c>
      <c r="Q574" s="21" t="n">
        <v>-0.02</v>
      </c>
      <c r="R574" s="18" t="n">
        <f aca="false">ABS(D574)+MAX(ABS(G574),ABS(H574))+MAX(ABS(I574),ABS(J574))</f>
        <v>0.08</v>
      </c>
      <c r="S574" s="18" t="n">
        <f aca="false">ABS(K574)+MAX(ABS(N574),ABS(O574))+MAX(ABS(P574),ABS(Q574))</f>
        <v>0.08</v>
      </c>
      <c r="T574" s="18" t="n">
        <f aca="false">MAX(ABS(E574),ABS(F574))</f>
        <v>0</v>
      </c>
      <c r="U574" s="18" t="n">
        <f aca="false">MAX(ABS(L574),ABS(M574))</f>
        <v>0</v>
      </c>
    </row>
    <row r="575" customFormat="false" ht="15" hidden="false" customHeight="false" outlineLevel="0" collapsed="false">
      <c r="A575" s="4" t="n">
        <v>339</v>
      </c>
      <c r="B575" s="4" t="n">
        <v>116</v>
      </c>
      <c r="C575" s="18" t="n">
        <v>0</v>
      </c>
      <c r="D575" s="21" t="n">
        <v>0.01</v>
      </c>
      <c r="E575" s="21" t="n">
        <v>0</v>
      </c>
      <c r="F575" s="21" t="n">
        <v>0</v>
      </c>
      <c r="G575" s="21" t="n">
        <v>-0.01</v>
      </c>
      <c r="H575" s="21" t="n">
        <v>0.01</v>
      </c>
      <c r="I575" s="21" t="n">
        <v>-0.05</v>
      </c>
      <c r="J575" s="21" t="n">
        <v>0.02</v>
      </c>
      <c r="K575" s="21" t="n">
        <v>0.01</v>
      </c>
      <c r="L575" s="21" t="n">
        <v>0</v>
      </c>
      <c r="M575" s="21" t="n">
        <v>0</v>
      </c>
      <c r="N575" s="21" t="n">
        <v>-0.01</v>
      </c>
      <c r="O575" s="21" t="n">
        <v>0.01</v>
      </c>
      <c r="P575" s="21" t="n">
        <v>-0.05</v>
      </c>
      <c r="Q575" s="21" t="n">
        <v>0.02</v>
      </c>
      <c r="R575" s="18" t="n">
        <f aca="false">ABS(D575)+MAX(ABS(G575),ABS(H575))+MAX(ABS(I575),ABS(J575))</f>
        <v>0.07</v>
      </c>
      <c r="S575" s="18" t="n">
        <f aca="false">ABS(K575)+MAX(ABS(N575),ABS(O575))+MAX(ABS(P575),ABS(Q575))</f>
        <v>0.07</v>
      </c>
      <c r="T575" s="18" t="n">
        <f aca="false">MAX(ABS(E575),ABS(F575))</f>
        <v>0</v>
      </c>
      <c r="U575" s="18" t="n">
        <f aca="false">MAX(ABS(L575),ABS(M575))</f>
        <v>0</v>
      </c>
    </row>
    <row r="576" customFormat="false" ht="15" hidden="false" customHeight="false" outlineLevel="0" collapsed="false">
      <c r="A576" s="4" t="n">
        <v>339</v>
      </c>
      <c r="B576" s="4" t="n">
        <v>116</v>
      </c>
      <c r="C576" s="18" t="n">
        <v>0.25</v>
      </c>
      <c r="D576" s="21" t="n">
        <v>0.01</v>
      </c>
      <c r="E576" s="21" t="n">
        <v>0</v>
      </c>
      <c r="F576" s="21" t="n">
        <v>0</v>
      </c>
      <c r="G576" s="21" t="n">
        <v>-0.01</v>
      </c>
      <c r="H576" s="21" t="n">
        <v>0.01</v>
      </c>
      <c r="I576" s="21" t="n">
        <v>-0.02</v>
      </c>
      <c r="J576" s="21" t="n">
        <v>0.01</v>
      </c>
      <c r="K576" s="21" t="n">
        <v>0.01</v>
      </c>
      <c r="L576" s="21" t="n">
        <v>0</v>
      </c>
      <c r="M576" s="21" t="n">
        <v>0</v>
      </c>
      <c r="N576" s="21" t="n">
        <v>0</v>
      </c>
      <c r="O576" s="21" t="n">
        <v>0</v>
      </c>
      <c r="P576" s="21" t="n">
        <v>-0.03</v>
      </c>
      <c r="Q576" s="21" t="n">
        <v>0.01</v>
      </c>
      <c r="R576" s="18" t="n">
        <f aca="false">ABS(D576)+MAX(ABS(G576),ABS(H576))+MAX(ABS(I576),ABS(J576))</f>
        <v>0.04</v>
      </c>
      <c r="S576" s="18" t="n">
        <f aca="false">ABS(K576)+MAX(ABS(N576),ABS(O576))+MAX(ABS(P576),ABS(Q576))</f>
        <v>0.04</v>
      </c>
      <c r="T576" s="18" t="n">
        <f aca="false">MAX(ABS(E576),ABS(F576))</f>
        <v>0</v>
      </c>
      <c r="U576" s="18" t="n">
        <f aca="false">MAX(ABS(L576),ABS(M576))</f>
        <v>0</v>
      </c>
    </row>
    <row r="577" customFormat="false" ht="15" hidden="false" customHeight="false" outlineLevel="0" collapsed="false">
      <c r="A577" s="4" t="n">
        <v>339</v>
      </c>
      <c r="B577" s="4" t="n">
        <v>116</v>
      </c>
      <c r="C577" s="18" t="n">
        <v>0.5</v>
      </c>
      <c r="D577" s="21" t="n">
        <v>0.01</v>
      </c>
      <c r="E577" s="21" t="n">
        <v>0</v>
      </c>
      <c r="F577" s="21" t="n">
        <v>0</v>
      </c>
      <c r="G577" s="21" t="n">
        <v>0</v>
      </c>
      <c r="H577" s="21" t="n">
        <v>0</v>
      </c>
      <c r="I577" s="21" t="n">
        <v>0</v>
      </c>
      <c r="J577" s="21" t="n">
        <v>0</v>
      </c>
      <c r="K577" s="21" t="n">
        <v>0.01</v>
      </c>
      <c r="L577" s="21" t="n">
        <v>0</v>
      </c>
      <c r="M577" s="21" t="n">
        <v>0</v>
      </c>
      <c r="N577" s="21" t="n">
        <v>0</v>
      </c>
      <c r="O577" s="21" t="n">
        <v>0</v>
      </c>
      <c r="P577" s="21" t="n">
        <v>0</v>
      </c>
      <c r="Q577" s="21" t="n">
        <v>0</v>
      </c>
      <c r="R577" s="18" t="n">
        <f aca="false">ABS(D577)+MAX(ABS(G577),ABS(H577))+MAX(ABS(I577),ABS(J577))</f>
        <v>0.01</v>
      </c>
      <c r="S577" s="18" t="n">
        <f aca="false">ABS(K577)+MAX(ABS(N577),ABS(O577))+MAX(ABS(P577),ABS(Q577))</f>
        <v>0.01</v>
      </c>
      <c r="T577" s="18" t="n">
        <f aca="false">MAX(ABS(E577),ABS(F577))</f>
        <v>0</v>
      </c>
      <c r="U577" s="18" t="n">
        <f aca="false">MAX(ABS(L577),ABS(M577))</f>
        <v>0</v>
      </c>
    </row>
    <row r="578" customFormat="false" ht="15" hidden="false" customHeight="false" outlineLevel="0" collapsed="false">
      <c r="A578" s="4" t="n">
        <v>339</v>
      </c>
      <c r="B578" s="4" t="n">
        <v>116</v>
      </c>
      <c r="C578" s="18" t="n">
        <v>0.75</v>
      </c>
      <c r="D578" s="21" t="n">
        <v>0.01</v>
      </c>
      <c r="E578" s="21" t="n">
        <v>0</v>
      </c>
      <c r="F578" s="21" t="n">
        <v>0</v>
      </c>
      <c r="G578" s="21" t="n">
        <v>0</v>
      </c>
      <c r="H578" s="21" t="n">
        <v>0</v>
      </c>
      <c r="I578" s="21" t="n">
        <v>0.02</v>
      </c>
      <c r="J578" s="21" t="n">
        <v>-0.01</v>
      </c>
      <c r="K578" s="21" t="n">
        <v>0.01</v>
      </c>
      <c r="L578" s="21" t="n">
        <v>0</v>
      </c>
      <c r="M578" s="21" t="n">
        <v>0</v>
      </c>
      <c r="N578" s="21" t="n">
        <v>0</v>
      </c>
      <c r="O578" s="21" t="n">
        <v>0</v>
      </c>
      <c r="P578" s="21" t="n">
        <v>0.03</v>
      </c>
      <c r="Q578" s="21" t="n">
        <v>-0.01</v>
      </c>
      <c r="R578" s="18" t="n">
        <f aca="false">ABS(D578)+MAX(ABS(G578),ABS(H578))+MAX(ABS(I578),ABS(J578))</f>
        <v>0.03</v>
      </c>
      <c r="S578" s="18" t="n">
        <f aca="false">ABS(K578)+MAX(ABS(N578),ABS(O578))+MAX(ABS(P578),ABS(Q578))</f>
        <v>0.04</v>
      </c>
      <c r="T578" s="18" t="n">
        <f aca="false">MAX(ABS(E578),ABS(F578))</f>
        <v>0</v>
      </c>
      <c r="U578" s="18" t="n">
        <f aca="false">MAX(ABS(L578),ABS(M578))</f>
        <v>0</v>
      </c>
    </row>
    <row r="579" customFormat="false" ht="15" hidden="false" customHeight="false" outlineLevel="0" collapsed="false">
      <c r="A579" s="4" t="n">
        <v>339</v>
      </c>
      <c r="B579" s="4" t="n">
        <v>116</v>
      </c>
      <c r="C579" s="18" t="n">
        <v>1</v>
      </c>
      <c r="D579" s="21" t="n">
        <v>0.01</v>
      </c>
      <c r="E579" s="21" t="n">
        <v>0</v>
      </c>
      <c r="F579" s="21" t="n">
        <v>0</v>
      </c>
      <c r="G579" s="21" t="n">
        <v>0.01</v>
      </c>
      <c r="H579" s="21" t="n">
        <v>-0.01</v>
      </c>
      <c r="I579" s="21" t="n">
        <v>0.05</v>
      </c>
      <c r="J579" s="21" t="n">
        <v>-0.02</v>
      </c>
      <c r="K579" s="21" t="n">
        <v>0.01</v>
      </c>
      <c r="L579" s="21" t="n">
        <v>0</v>
      </c>
      <c r="M579" s="21" t="n">
        <v>0</v>
      </c>
      <c r="N579" s="21" t="n">
        <v>0.01</v>
      </c>
      <c r="O579" s="21" t="n">
        <v>-0.01</v>
      </c>
      <c r="P579" s="21" t="n">
        <v>0.05</v>
      </c>
      <c r="Q579" s="21" t="n">
        <v>-0.02</v>
      </c>
      <c r="R579" s="18" t="n">
        <f aca="false">ABS(D579)+MAX(ABS(G579),ABS(H579))+MAX(ABS(I579),ABS(J579))</f>
        <v>0.07</v>
      </c>
      <c r="S579" s="18" t="n">
        <f aca="false">ABS(K579)+MAX(ABS(N579),ABS(O579))+MAX(ABS(P579),ABS(Q579))</f>
        <v>0.07</v>
      </c>
      <c r="T579" s="18" t="n">
        <f aca="false">MAX(ABS(E579),ABS(F579))</f>
        <v>0</v>
      </c>
      <c r="U579" s="18" t="n">
        <f aca="false">MAX(ABS(L579),ABS(M579))</f>
        <v>0</v>
      </c>
    </row>
    <row r="580" customFormat="false" ht="15" hidden="false" customHeight="false" outlineLevel="0" collapsed="false">
      <c r="A580" s="4" t="n">
        <v>340</v>
      </c>
      <c r="B580" s="4" t="n">
        <v>117</v>
      </c>
      <c r="C580" s="18" t="n">
        <v>0</v>
      </c>
      <c r="D580" s="21" t="n">
        <v>0.01</v>
      </c>
      <c r="E580" s="21" t="n">
        <v>0</v>
      </c>
      <c r="F580" s="21" t="n">
        <v>0</v>
      </c>
      <c r="G580" s="21" t="n">
        <v>0</v>
      </c>
      <c r="H580" s="21" t="n">
        <v>0</v>
      </c>
      <c r="I580" s="21" t="n">
        <v>0.05</v>
      </c>
      <c r="J580" s="21" t="n">
        <v>-0.02</v>
      </c>
      <c r="K580" s="21" t="n">
        <v>0.02</v>
      </c>
      <c r="L580" s="21" t="n">
        <v>0</v>
      </c>
      <c r="M580" s="21" t="n">
        <v>0</v>
      </c>
      <c r="N580" s="21" t="n">
        <v>0</v>
      </c>
      <c r="O580" s="21" t="n">
        <v>0</v>
      </c>
      <c r="P580" s="21" t="n">
        <v>0.05</v>
      </c>
      <c r="Q580" s="21" t="n">
        <v>-0.02</v>
      </c>
      <c r="R580" s="18" t="n">
        <f aca="false">ABS(D580)+MAX(ABS(G580),ABS(H580))+MAX(ABS(I580),ABS(J580))</f>
        <v>0.06</v>
      </c>
      <c r="S580" s="18" t="n">
        <f aca="false">ABS(K580)+MAX(ABS(N580),ABS(O580))+MAX(ABS(P580),ABS(Q580))</f>
        <v>0.07</v>
      </c>
      <c r="T580" s="18" t="n">
        <f aca="false">MAX(ABS(E580),ABS(F580))</f>
        <v>0</v>
      </c>
      <c r="U580" s="18" t="n">
        <f aca="false">MAX(ABS(L580),ABS(M580))</f>
        <v>0</v>
      </c>
    </row>
    <row r="581" customFormat="false" ht="15" hidden="false" customHeight="false" outlineLevel="0" collapsed="false">
      <c r="A581" s="4" t="n">
        <v>340</v>
      </c>
      <c r="B581" s="4" t="n">
        <v>117</v>
      </c>
      <c r="C581" s="18" t="n">
        <v>0.25</v>
      </c>
      <c r="D581" s="21" t="n">
        <v>0.01</v>
      </c>
      <c r="E581" s="21" t="n">
        <v>0</v>
      </c>
      <c r="F581" s="21" t="n">
        <v>0</v>
      </c>
      <c r="G581" s="21" t="n">
        <v>0</v>
      </c>
      <c r="H581" s="21" t="n">
        <v>0</v>
      </c>
      <c r="I581" s="21" t="n">
        <v>0.03</v>
      </c>
      <c r="J581" s="21" t="n">
        <v>-0.01</v>
      </c>
      <c r="K581" s="21" t="n">
        <v>0.02</v>
      </c>
      <c r="L581" s="21" t="n">
        <v>0</v>
      </c>
      <c r="M581" s="21" t="n">
        <v>0</v>
      </c>
      <c r="N581" s="21" t="n">
        <v>0</v>
      </c>
      <c r="O581" s="21" t="n">
        <v>0</v>
      </c>
      <c r="P581" s="21" t="n">
        <v>0.02</v>
      </c>
      <c r="Q581" s="21" t="n">
        <v>-0.01</v>
      </c>
      <c r="R581" s="18" t="n">
        <f aca="false">ABS(D581)+MAX(ABS(G581),ABS(H581))+MAX(ABS(I581),ABS(J581))</f>
        <v>0.04</v>
      </c>
      <c r="S581" s="18" t="n">
        <f aca="false">ABS(K581)+MAX(ABS(N581),ABS(O581))+MAX(ABS(P581),ABS(Q581))</f>
        <v>0.04</v>
      </c>
      <c r="T581" s="18" t="n">
        <f aca="false">MAX(ABS(E581),ABS(F581))</f>
        <v>0</v>
      </c>
      <c r="U581" s="18" t="n">
        <f aca="false">MAX(ABS(L581),ABS(M581))</f>
        <v>0</v>
      </c>
    </row>
    <row r="582" customFormat="false" ht="15" hidden="false" customHeight="false" outlineLevel="0" collapsed="false">
      <c r="A582" s="4" t="n">
        <v>340</v>
      </c>
      <c r="B582" s="4" t="n">
        <v>117</v>
      </c>
      <c r="C582" s="18" t="n">
        <v>0.5</v>
      </c>
      <c r="D582" s="21" t="n">
        <v>0.01</v>
      </c>
      <c r="E582" s="21" t="n">
        <v>0</v>
      </c>
      <c r="F582" s="21" t="n">
        <v>0</v>
      </c>
      <c r="G582" s="21" t="n">
        <v>0</v>
      </c>
      <c r="H582" s="21" t="n">
        <v>0</v>
      </c>
      <c r="I582" s="21" t="n">
        <v>0</v>
      </c>
      <c r="J582" s="21" t="n">
        <v>0</v>
      </c>
      <c r="K582" s="21" t="n">
        <v>0.02</v>
      </c>
      <c r="L582" s="21" t="n">
        <v>0</v>
      </c>
      <c r="M582" s="21" t="n">
        <v>0</v>
      </c>
      <c r="N582" s="21" t="n">
        <v>0.01</v>
      </c>
      <c r="O582" s="21" t="n">
        <v>-0.01</v>
      </c>
      <c r="P582" s="21" t="n">
        <v>0</v>
      </c>
      <c r="Q582" s="21" t="n">
        <v>0</v>
      </c>
      <c r="R582" s="18" t="n">
        <f aca="false">ABS(D582)+MAX(ABS(G582),ABS(H582))+MAX(ABS(I582),ABS(J582))</f>
        <v>0.01</v>
      </c>
      <c r="S582" s="18" t="n">
        <f aca="false">ABS(K582)+MAX(ABS(N582),ABS(O582))+MAX(ABS(P582),ABS(Q582))</f>
        <v>0.03</v>
      </c>
      <c r="T582" s="18" t="n">
        <f aca="false">MAX(ABS(E582),ABS(F582))</f>
        <v>0</v>
      </c>
      <c r="U582" s="18" t="n">
        <f aca="false">MAX(ABS(L582),ABS(M582))</f>
        <v>0</v>
      </c>
    </row>
    <row r="583" customFormat="false" ht="15" hidden="false" customHeight="false" outlineLevel="0" collapsed="false">
      <c r="A583" s="4" t="n">
        <v>340</v>
      </c>
      <c r="B583" s="4" t="n">
        <v>117</v>
      </c>
      <c r="C583" s="18" t="n">
        <v>0.75</v>
      </c>
      <c r="D583" s="21" t="n">
        <v>0.01</v>
      </c>
      <c r="E583" s="21" t="n">
        <v>0</v>
      </c>
      <c r="F583" s="21" t="n">
        <v>0</v>
      </c>
      <c r="G583" s="21" t="n">
        <v>0.01</v>
      </c>
      <c r="H583" s="21" t="n">
        <v>-0.01</v>
      </c>
      <c r="I583" s="21" t="n">
        <v>-0.03</v>
      </c>
      <c r="J583" s="21" t="n">
        <v>0.01</v>
      </c>
      <c r="K583" s="21" t="n">
        <v>0.02</v>
      </c>
      <c r="L583" s="21" t="n">
        <v>0</v>
      </c>
      <c r="M583" s="21" t="n">
        <v>0</v>
      </c>
      <c r="N583" s="21" t="n">
        <v>0.01</v>
      </c>
      <c r="O583" s="21" t="n">
        <v>-0.01</v>
      </c>
      <c r="P583" s="21" t="n">
        <v>-0.03</v>
      </c>
      <c r="Q583" s="21" t="n">
        <v>0.01</v>
      </c>
      <c r="R583" s="18" t="n">
        <f aca="false">ABS(D583)+MAX(ABS(G583),ABS(H583))+MAX(ABS(I583),ABS(J583))</f>
        <v>0.05</v>
      </c>
      <c r="S583" s="18" t="n">
        <f aca="false">ABS(K583)+MAX(ABS(N583),ABS(O583))+MAX(ABS(P583),ABS(Q583))</f>
        <v>0.06</v>
      </c>
      <c r="T583" s="18" t="n">
        <f aca="false">MAX(ABS(E583),ABS(F583))</f>
        <v>0</v>
      </c>
      <c r="U583" s="18" t="n">
        <f aca="false">MAX(ABS(L583),ABS(M583))</f>
        <v>0</v>
      </c>
    </row>
    <row r="584" customFormat="false" ht="15" hidden="false" customHeight="false" outlineLevel="0" collapsed="false">
      <c r="A584" s="4" t="n">
        <v>340</v>
      </c>
      <c r="B584" s="4" t="n">
        <v>117</v>
      </c>
      <c r="C584" s="18" t="n">
        <v>1</v>
      </c>
      <c r="D584" s="21" t="n">
        <v>0.01</v>
      </c>
      <c r="E584" s="21" t="n">
        <v>0</v>
      </c>
      <c r="F584" s="21" t="n">
        <v>0</v>
      </c>
      <c r="G584" s="21" t="n">
        <v>0.01</v>
      </c>
      <c r="H584" s="21" t="n">
        <v>-0.01</v>
      </c>
      <c r="I584" s="21" t="n">
        <v>-0.05</v>
      </c>
      <c r="J584" s="21" t="n">
        <v>0.02</v>
      </c>
      <c r="K584" s="21" t="n">
        <v>0.02</v>
      </c>
      <c r="L584" s="21" t="n">
        <v>0</v>
      </c>
      <c r="M584" s="21" t="n">
        <v>0</v>
      </c>
      <c r="N584" s="21" t="n">
        <v>0.01</v>
      </c>
      <c r="O584" s="21" t="n">
        <v>-0.01</v>
      </c>
      <c r="P584" s="21" t="n">
        <v>-0.05</v>
      </c>
      <c r="Q584" s="21" t="n">
        <v>0.02</v>
      </c>
      <c r="R584" s="18" t="n">
        <f aca="false">ABS(D584)+MAX(ABS(G584),ABS(H584))+MAX(ABS(I584),ABS(J584))</f>
        <v>0.07</v>
      </c>
      <c r="S584" s="18" t="n">
        <f aca="false">ABS(K584)+MAX(ABS(N584),ABS(O584))+MAX(ABS(P584),ABS(Q584))</f>
        <v>0.08</v>
      </c>
      <c r="T584" s="18" t="n">
        <f aca="false">MAX(ABS(E584),ABS(F584))</f>
        <v>0</v>
      </c>
      <c r="U584" s="18" t="n">
        <f aca="false">MAX(ABS(L584),ABS(M584))</f>
        <v>0</v>
      </c>
    </row>
    <row r="585" customFormat="false" ht="15" hidden="false" customHeight="false" outlineLevel="0" collapsed="false">
      <c r="A585" s="4" t="n">
        <v>341</v>
      </c>
      <c r="B585" s="4" t="n">
        <v>118</v>
      </c>
      <c r="C585" s="18" t="n">
        <v>0</v>
      </c>
      <c r="D585" s="21" t="n">
        <v>0.02</v>
      </c>
      <c r="E585" s="21" t="n">
        <v>0</v>
      </c>
      <c r="F585" s="21" t="n">
        <v>0</v>
      </c>
      <c r="G585" s="21" t="n">
        <v>0.01</v>
      </c>
      <c r="H585" s="21" t="n">
        <v>-0.01</v>
      </c>
      <c r="I585" s="21" t="n">
        <v>0.03</v>
      </c>
      <c r="J585" s="21" t="n">
        <v>-0.01</v>
      </c>
      <c r="K585" s="21" t="n">
        <v>0.02</v>
      </c>
      <c r="L585" s="21" t="n">
        <v>0</v>
      </c>
      <c r="M585" s="21" t="n">
        <v>0</v>
      </c>
      <c r="N585" s="21" t="n">
        <v>0.01</v>
      </c>
      <c r="O585" s="21" t="n">
        <v>-0.01</v>
      </c>
      <c r="P585" s="21" t="n">
        <v>0.03</v>
      </c>
      <c r="Q585" s="21" t="n">
        <v>-0.01</v>
      </c>
      <c r="R585" s="18" t="n">
        <f aca="false">ABS(D585)+MAX(ABS(G585),ABS(H585))+MAX(ABS(I585),ABS(J585))</f>
        <v>0.06</v>
      </c>
      <c r="S585" s="18" t="n">
        <f aca="false">ABS(K585)+MAX(ABS(N585),ABS(O585))+MAX(ABS(P585),ABS(Q585))</f>
        <v>0.06</v>
      </c>
      <c r="T585" s="18" t="n">
        <f aca="false">MAX(ABS(E585),ABS(F585))</f>
        <v>0</v>
      </c>
      <c r="U585" s="18" t="n">
        <f aca="false">MAX(ABS(L585),ABS(M585))</f>
        <v>0</v>
      </c>
    </row>
    <row r="586" customFormat="false" ht="15" hidden="false" customHeight="false" outlineLevel="0" collapsed="false">
      <c r="A586" s="4" t="n">
        <v>341</v>
      </c>
      <c r="B586" s="4" t="n">
        <v>118</v>
      </c>
      <c r="C586" s="18" t="n">
        <v>0.25</v>
      </c>
      <c r="D586" s="21" t="n">
        <v>0.02</v>
      </c>
      <c r="E586" s="21" t="n">
        <v>0</v>
      </c>
      <c r="F586" s="21" t="n">
        <v>0</v>
      </c>
      <c r="G586" s="21" t="n">
        <v>0</v>
      </c>
      <c r="H586" s="21" t="n">
        <v>0</v>
      </c>
      <c r="I586" s="21" t="n">
        <v>0.02</v>
      </c>
      <c r="J586" s="21" t="n">
        <v>-0.01</v>
      </c>
      <c r="K586" s="21" t="n">
        <v>0.02</v>
      </c>
      <c r="L586" s="21" t="n">
        <v>0</v>
      </c>
      <c r="M586" s="21" t="n">
        <v>0</v>
      </c>
      <c r="N586" s="21" t="n">
        <v>0</v>
      </c>
      <c r="O586" s="21" t="n">
        <v>0</v>
      </c>
      <c r="P586" s="21" t="n">
        <v>0.02</v>
      </c>
      <c r="Q586" s="21" t="n">
        <v>-0.01</v>
      </c>
      <c r="R586" s="18" t="n">
        <f aca="false">ABS(D586)+MAX(ABS(G586),ABS(H586))+MAX(ABS(I586),ABS(J586))</f>
        <v>0.04</v>
      </c>
      <c r="S586" s="18" t="n">
        <f aca="false">ABS(K586)+MAX(ABS(N586),ABS(O586))+MAX(ABS(P586),ABS(Q586))</f>
        <v>0.04</v>
      </c>
      <c r="T586" s="18" t="n">
        <f aca="false">MAX(ABS(E586),ABS(F586))</f>
        <v>0</v>
      </c>
      <c r="U586" s="18" t="n">
        <f aca="false">MAX(ABS(L586),ABS(M586))</f>
        <v>0</v>
      </c>
    </row>
    <row r="587" customFormat="false" ht="15" hidden="false" customHeight="false" outlineLevel="0" collapsed="false">
      <c r="A587" s="4" t="n">
        <v>341</v>
      </c>
      <c r="B587" s="4" t="n">
        <v>118</v>
      </c>
      <c r="C587" s="18" t="n">
        <v>0.5</v>
      </c>
      <c r="D587" s="21" t="n">
        <v>0.02</v>
      </c>
      <c r="E587" s="21" t="n">
        <v>0</v>
      </c>
      <c r="F587" s="21" t="n">
        <v>0</v>
      </c>
      <c r="G587" s="21" t="n">
        <v>0</v>
      </c>
      <c r="H587" s="21" t="n">
        <v>0</v>
      </c>
      <c r="I587" s="21" t="n">
        <v>0.01</v>
      </c>
      <c r="J587" s="21" t="n">
        <v>0</v>
      </c>
      <c r="K587" s="21" t="n">
        <v>0.02</v>
      </c>
      <c r="L587" s="21" t="n">
        <v>0</v>
      </c>
      <c r="M587" s="21" t="n">
        <v>0</v>
      </c>
      <c r="N587" s="21" t="n">
        <v>-0.01</v>
      </c>
      <c r="O587" s="21" t="n">
        <v>0.01</v>
      </c>
      <c r="P587" s="21" t="n">
        <v>0.01</v>
      </c>
      <c r="Q587" s="21" t="n">
        <v>0</v>
      </c>
      <c r="R587" s="18" t="n">
        <f aca="false">ABS(D587)+MAX(ABS(G587),ABS(H587))+MAX(ABS(I587),ABS(J587))</f>
        <v>0.03</v>
      </c>
      <c r="S587" s="18" t="n">
        <f aca="false">ABS(K587)+MAX(ABS(N587),ABS(O587))+MAX(ABS(P587),ABS(Q587))</f>
        <v>0.04</v>
      </c>
      <c r="T587" s="18" t="n">
        <f aca="false">MAX(ABS(E587),ABS(F587))</f>
        <v>0</v>
      </c>
      <c r="U587" s="18" t="n">
        <f aca="false">MAX(ABS(L587),ABS(M587))</f>
        <v>0</v>
      </c>
    </row>
    <row r="588" customFormat="false" ht="15" hidden="false" customHeight="false" outlineLevel="0" collapsed="false">
      <c r="A588" s="4" t="n">
        <v>341</v>
      </c>
      <c r="B588" s="4" t="n">
        <v>118</v>
      </c>
      <c r="C588" s="18" t="n">
        <v>0.75</v>
      </c>
      <c r="D588" s="21" t="n">
        <v>0.02</v>
      </c>
      <c r="E588" s="21" t="n">
        <v>0</v>
      </c>
      <c r="F588" s="21" t="n">
        <v>0</v>
      </c>
      <c r="G588" s="21" t="n">
        <v>-0.01</v>
      </c>
      <c r="H588" s="21" t="n">
        <v>0.01</v>
      </c>
      <c r="I588" s="21" t="n">
        <v>-0.01</v>
      </c>
      <c r="J588" s="21" t="n">
        <v>0</v>
      </c>
      <c r="K588" s="21" t="n">
        <v>0.02</v>
      </c>
      <c r="L588" s="21" t="n">
        <v>0</v>
      </c>
      <c r="M588" s="21" t="n">
        <v>0</v>
      </c>
      <c r="N588" s="21" t="n">
        <v>-0.01</v>
      </c>
      <c r="O588" s="21" t="n">
        <v>0.01</v>
      </c>
      <c r="P588" s="21" t="n">
        <v>-0.01</v>
      </c>
      <c r="Q588" s="21" t="n">
        <v>0</v>
      </c>
      <c r="R588" s="18" t="n">
        <f aca="false">ABS(D588)+MAX(ABS(G588),ABS(H588))+MAX(ABS(I588),ABS(J588))</f>
        <v>0.04</v>
      </c>
      <c r="S588" s="18" t="n">
        <f aca="false">ABS(K588)+MAX(ABS(N588),ABS(O588))+MAX(ABS(P588),ABS(Q588))</f>
        <v>0.04</v>
      </c>
      <c r="T588" s="18" t="n">
        <f aca="false">MAX(ABS(E588),ABS(F588))</f>
        <v>0</v>
      </c>
      <c r="U588" s="18" t="n">
        <f aca="false">MAX(ABS(L588),ABS(M588))</f>
        <v>0</v>
      </c>
    </row>
    <row r="589" customFormat="false" ht="15" hidden="false" customHeight="false" outlineLevel="0" collapsed="false">
      <c r="A589" s="4" t="n">
        <v>341</v>
      </c>
      <c r="B589" s="4" t="n">
        <v>118</v>
      </c>
      <c r="C589" s="18" t="n">
        <v>1</v>
      </c>
      <c r="D589" s="21" t="n">
        <v>0.02</v>
      </c>
      <c r="E589" s="21" t="n">
        <v>0</v>
      </c>
      <c r="F589" s="21" t="n">
        <v>0</v>
      </c>
      <c r="G589" s="21" t="n">
        <v>-0.02</v>
      </c>
      <c r="H589" s="21" t="n">
        <v>0.02</v>
      </c>
      <c r="I589" s="21" t="n">
        <v>-0.02</v>
      </c>
      <c r="J589" s="21" t="n">
        <v>0.01</v>
      </c>
      <c r="K589" s="21" t="n">
        <v>0.02</v>
      </c>
      <c r="L589" s="21" t="n">
        <v>0</v>
      </c>
      <c r="M589" s="21" t="n">
        <v>0</v>
      </c>
      <c r="N589" s="21" t="n">
        <v>-0.02</v>
      </c>
      <c r="O589" s="21" t="n">
        <v>0.02</v>
      </c>
      <c r="P589" s="21" t="n">
        <v>-0.02</v>
      </c>
      <c r="Q589" s="21" t="n">
        <v>0.01</v>
      </c>
      <c r="R589" s="18" t="n">
        <f aca="false">ABS(D589)+MAX(ABS(G589),ABS(H589))+MAX(ABS(I589),ABS(J589))</f>
        <v>0.06</v>
      </c>
      <c r="S589" s="18" t="n">
        <f aca="false">ABS(K589)+MAX(ABS(N589),ABS(O589))+MAX(ABS(P589),ABS(Q589))</f>
        <v>0.06</v>
      </c>
      <c r="T589" s="18" t="n">
        <f aca="false">MAX(ABS(E589),ABS(F589))</f>
        <v>0</v>
      </c>
      <c r="U589" s="18" t="n">
        <f aca="false">MAX(ABS(L589),ABS(M589))</f>
        <v>0</v>
      </c>
    </row>
    <row r="590" customFormat="false" ht="15" hidden="false" customHeight="false" outlineLevel="0" collapsed="false">
      <c r="A590" s="4" t="n">
        <v>342</v>
      </c>
      <c r="B590" s="4" t="n">
        <v>119</v>
      </c>
      <c r="C590" s="18" t="n">
        <v>0</v>
      </c>
      <c r="D590" s="21" t="n">
        <v>0</v>
      </c>
      <c r="E590" s="21" t="n">
        <v>0</v>
      </c>
      <c r="F590" s="21" t="n">
        <v>0.03</v>
      </c>
      <c r="G590" s="21" t="n">
        <v>0.01</v>
      </c>
      <c r="H590" s="21" t="n">
        <v>-0.01</v>
      </c>
      <c r="I590" s="21" t="n">
        <v>-0.1</v>
      </c>
      <c r="J590" s="21" t="n">
        <v>0.1</v>
      </c>
      <c r="K590" s="21" t="n">
        <v>0</v>
      </c>
      <c r="L590" s="21" t="n">
        <v>0</v>
      </c>
      <c r="M590" s="21" t="n">
        <v>0.04</v>
      </c>
      <c r="N590" s="21" t="n">
        <v>0.02</v>
      </c>
      <c r="O590" s="21" t="n">
        <v>-0.02</v>
      </c>
      <c r="P590" s="21" t="n">
        <v>-0.13</v>
      </c>
      <c r="Q590" s="21" t="n">
        <v>0.13</v>
      </c>
      <c r="R590" s="18" t="n">
        <f aca="false">ABS(D590)+MAX(ABS(G590),ABS(H590))+MAX(ABS(I590),ABS(J590))</f>
        <v>0.11</v>
      </c>
      <c r="S590" s="18" t="n">
        <f aca="false">ABS(K590)+MAX(ABS(N590),ABS(O590))+MAX(ABS(P590),ABS(Q590))</f>
        <v>0.15</v>
      </c>
      <c r="T590" s="18" t="n">
        <f aca="false">MAX(ABS(E590),ABS(F590))</f>
        <v>0.03</v>
      </c>
      <c r="U590" s="18" t="n">
        <f aca="false">MAX(ABS(L590),ABS(M590))</f>
        <v>0.04</v>
      </c>
    </row>
    <row r="591" customFormat="false" ht="15" hidden="false" customHeight="false" outlineLevel="0" collapsed="false">
      <c r="A591" s="4" t="n">
        <v>342</v>
      </c>
      <c r="B591" s="4" t="n">
        <v>119</v>
      </c>
      <c r="C591" s="18" t="n">
        <v>0.25</v>
      </c>
      <c r="D591" s="21" t="n">
        <v>0</v>
      </c>
      <c r="E591" s="21" t="n">
        <v>0</v>
      </c>
      <c r="F591" s="21" t="n">
        <v>0.03</v>
      </c>
      <c r="G591" s="21" t="n">
        <v>0.01</v>
      </c>
      <c r="H591" s="21" t="n">
        <v>-0.01</v>
      </c>
      <c r="I591" s="21" t="n">
        <v>-0.04</v>
      </c>
      <c r="J591" s="21" t="n">
        <v>0.04</v>
      </c>
      <c r="K591" s="21" t="n">
        <v>0</v>
      </c>
      <c r="L591" s="21" t="n">
        <v>0</v>
      </c>
      <c r="M591" s="21" t="n">
        <v>0.03</v>
      </c>
      <c r="N591" s="21" t="n">
        <v>0.02</v>
      </c>
      <c r="O591" s="21" t="n">
        <v>-0.02</v>
      </c>
      <c r="P591" s="21" t="n">
        <v>-0.06</v>
      </c>
      <c r="Q591" s="21" t="n">
        <v>0.06</v>
      </c>
      <c r="R591" s="18" t="n">
        <f aca="false">ABS(D591)+MAX(ABS(G591),ABS(H591))+MAX(ABS(I591),ABS(J591))</f>
        <v>0.05</v>
      </c>
      <c r="S591" s="18" t="n">
        <f aca="false">ABS(K591)+MAX(ABS(N591),ABS(O591))+MAX(ABS(P591),ABS(Q591))</f>
        <v>0.08</v>
      </c>
      <c r="T591" s="18" t="n">
        <f aca="false">MAX(ABS(E591),ABS(F591))</f>
        <v>0.03</v>
      </c>
      <c r="U591" s="18" t="n">
        <f aca="false">MAX(ABS(L591),ABS(M591))</f>
        <v>0.03</v>
      </c>
    </row>
    <row r="592" customFormat="false" ht="15" hidden="false" customHeight="false" outlineLevel="0" collapsed="false">
      <c r="A592" s="4" t="n">
        <v>342</v>
      </c>
      <c r="B592" s="4" t="n">
        <v>119</v>
      </c>
      <c r="C592" s="18" t="n">
        <v>0.5</v>
      </c>
      <c r="D592" s="21" t="n">
        <v>0</v>
      </c>
      <c r="E592" s="21" t="n">
        <v>0</v>
      </c>
      <c r="F592" s="21" t="n">
        <v>0.02</v>
      </c>
      <c r="G592" s="21" t="n">
        <v>0.01</v>
      </c>
      <c r="H592" s="21" t="n">
        <v>-0.01</v>
      </c>
      <c r="I592" s="21" t="n">
        <v>0.01</v>
      </c>
      <c r="J592" s="21" t="n">
        <v>-0.01</v>
      </c>
      <c r="K592" s="21" t="n">
        <v>0</v>
      </c>
      <c r="L592" s="21" t="n">
        <v>0</v>
      </c>
      <c r="M592" s="21" t="n">
        <v>0.02</v>
      </c>
      <c r="N592" s="21" t="n">
        <v>0.02</v>
      </c>
      <c r="O592" s="21" t="n">
        <v>-0.02</v>
      </c>
      <c r="P592" s="21" t="n">
        <v>0</v>
      </c>
      <c r="Q592" s="21" t="n">
        <v>0</v>
      </c>
      <c r="R592" s="18" t="n">
        <f aca="false">ABS(D592)+MAX(ABS(G592),ABS(H592))+MAX(ABS(I592),ABS(J592))</f>
        <v>0.02</v>
      </c>
      <c r="S592" s="18" t="n">
        <f aca="false">ABS(K592)+MAX(ABS(N592),ABS(O592))+MAX(ABS(P592),ABS(Q592))</f>
        <v>0.02</v>
      </c>
      <c r="T592" s="18" t="n">
        <f aca="false">MAX(ABS(E592),ABS(F592))</f>
        <v>0.02</v>
      </c>
      <c r="U592" s="18" t="n">
        <f aca="false">MAX(ABS(L592),ABS(M592))</f>
        <v>0.02</v>
      </c>
    </row>
    <row r="593" customFormat="false" ht="15" hidden="false" customHeight="false" outlineLevel="0" collapsed="false">
      <c r="A593" s="4" t="n">
        <v>342</v>
      </c>
      <c r="B593" s="4" t="n">
        <v>119</v>
      </c>
      <c r="C593" s="18" t="n">
        <v>0.75</v>
      </c>
      <c r="D593" s="21" t="n">
        <v>0</v>
      </c>
      <c r="E593" s="21" t="n">
        <v>0</v>
      </c>
      <c r="F593" s="21" t="n">
        <v>0.02</v>
      </c>
      <c r="G593" s="21" t="n">
        <v>0.01</v>
      </c>
      <c r="H593" s="21" t="n">
        <v>-0.01</v>
      </c>
      <c r="I593" s="21" t="n">
        <v>0.05</v>
      </c>
      <c r="J593" s="21" t="n">
        <v>-0.05</v>
      </c>
      <c r="K593" s="21" t="n">
        <v>0</v>
      </c>
      <c r="L593" s="21" t="n">
        <v>0</v>
      </c>
      <c r="M593" s="21" t="n">
        <v>0.02</v>
      </c>
      <c r="N593" s="21" t="n">
        <v>0.02</v>
      </c>
      <c r="O593" s="21" t="n">
        <v>-0.02</v>
      </c>
      <c r="P593" s="21" t="n">
        <v>0.04</v>
      </c>
      <c r="Q593" s="21" t="n">
        <v>-0.04</v>
      </c>
      <c r="R593" s="18" t="n">
        <f aca="false">ABS(D593)+MAX(ABS(G593),ABS(H593))+MAX(ABS(I593),ABS(J593))</f>
        <v>0.06</v>
      </c>
      <c r="S593" s="18" t="n">
        <f aca="false">ABS(K593)+MAX(ABS(N593),ABS(O593))+MAX(ABS(P593),ABS(Q593))</f>
        <v>0.06</v>
      </c>
      <c r="T593" s="18" t="n">
        <f aca="false">MAX(ABS(E593),ABS(F593))</f>
        <v>0.02</v>
      </c>
      <c r="U593" s="18" t="n">
        <f aca="false">MAX(ABS(L593),ABS(M593))</f>
        <v>0.02</v>
      </c>
    </row>
    <row r="594" customFormat="false" ht="15" hidden="false" customHeight="false" outlineLevel="0" collapsed="false">
      <c r="A594" s="4" t="n">
        <v>342</v>
      </c>
      <c r="B594" s="4" t="n">
        <v>119</v>
      </c>
      <c r="C594" s="18" t="n">
        <v>1</v>
      </c>
      <c r="D594" s="21" t="n">
        <v>0</v>
      </c>
      <c r="E594" s="21" t="n">
        <v>0</v>
      </c>
      <c r="F594" s="21" t="n">
        <v>0.01</v>
      </c>
      <c r="G594" s="21" t="n">
        <v>0.01</v>
      </c>
      <c r="H594" s="21" t="n">
        <v>-0.01</v>
      </c>
      <c r="I594" s="21" t="n">
        <v>0.07</v>
      </c>
      <c r="J594" s="21" t="n">
        <v>-0.07</v>
      </c>
      <c r="K594" s="21" t="n">
        <v>0</v>
      </c>
      <c r="L594" s="21" t="n">
        <v>0</v>
      </c>
      <c r="M594" s="21" t="n">
        <v>0.01</v>
      </c>
      <c r="N594" s="21" t="n">
        <v>0.02</v>
      </c>
      <c r="O594" s="21" t="n">
        <v>-0.02</v>
      </c>
      <c r="P594" s="21" t="n">
        <v>0.07</v>
      </c>
      <c r="Q594" s="21" t="n">
        <v>-0.07</v>
      </c>
      <c r="R594" s="18" t="n">
        <f aca="false">ABS(D594)+MAX(ABS(G594),ABS(H594))+MAX(ABS(I594),ABS(J594))</f>
        <v>0.08</v>
      </c>
      <c r="S594" s="18" t="n">
        <f aca="false">ABS(K594)+MAX(ABS(N594),ABS(O594))+MAX(ABS(P594),ABS(Q594))</f>
        <v>0.09</v>
      </c>
      <c r="T594" s="18" t="n">
        <f aca="false">MAX(ABS(E594),ABS(F594))</f>
        <v>0.01</v>
      </c>
      <c r="U594" s="18" t="n">
        <f aca="false">MAX(ABS(L594),ABS(M594))</f>
        <v>0.01</v>
      </c>
    </row>
    <row r="595" customFormat="false" ht="15" hidden="false" customHeight="false" outlineLevel="0" collapsed="false">
      <c r="A595" s="4" t="n">
        <v>343</v>
      </c>
      <c r="B595" s="4" t="n">
        <v>120</v>
      </c>
      <c r="C595" s="18" t="n">
        <v>0</v>
      </c>
      <c r="D595" s="21" t="n">
        <v>0</v>
      </c>
      <c r="E595" s="21" t="n">
        <v>0.01</v>
      </c>
      <c r="F595" s="21" t="n">
        <v>0.01</v>
      </c>
      <c r="G595" s="21" t="n">
        <v>0.01</v>
      </c>
      <c r="H595" s="21" t="n">
        <v>-0.01</v>
      </c>
      <c r="I595" s="21" t="n">
        <v>0.07</v>
      </c>
      <c r="J595" s="21" t="n">
        <v>-0.07</v>
      </c>
      <c r="K595" s="21" t="n">
        <v>0</v>
      </c>
      <c r="L595" s="21" t="n">
        <v>0.01</v>
      </c>
      <c r="M595" s="21" t="n">
        <v>0.02</v>
      </c>
      <c r="N595" s="21" t="n">
        <v>0.01</v>
      </c>
      <c r="O595" s="21" t="n">
        <v>-0.01</v>
      </c>
      <c r="P595" s="21" t="n">
        <v>0.07</v>
      </c>
      <c r="Q595" s="21" t="n">
        <v>-0.07</v>
      </c>
      <c r="R595" s="18" t="n">
        <f aca="false">ABS(D595)+MAX(ABS(G595),ABS(H595))+MAX(ABS(I595),ABS(J595))</f>
        <v>0.08</v>
      </c>
      <c r="S595" s="18" t="n">
        <f aca="false">ABS(K595)+MAX(ABS(N595),ABS(O595))+MAX(ABS(P595),ABS(Q595))</f>
        <v>0.08</v>
      </c>
      <c r="T595" s="18" t="n">
        <f aca="false">MAX(ABS(E595),ABS(F595))</f>
        <v>0.01</v>
      </c>
      <c r="U595" s="18" t="n">
        <f aca="false">MAX(ABS(L595),ABS(M595))</f>
        <v>0.02</v>
      </c>
    </row>
    <row r="596" customFormat="false" ht="15" hidden="false" customHeight="false" outlineLevel="0" collapsed="false">
      <c r="A596" s="4" t="n">
        <v>343</v>
      </c>
      <c r="B596" s="4" t="n">
        <v>120</v>
      </c>
      <c r="C596" s="18" t="n">
        <v>0.25</v>
      </c>
      <c r="D596" s="21" t="n">
        <v>0</v>
      </c>
      <c r="E596" s="21" t="n">
        <v>0.01</v>
      </c>
      <c r="F596" s="21" t="n">
        <v>0.01</v>
      </c>
      <c r="G596" s="21" t="n">
        <v>0.01</v>
      </c>
      <c r="H596" s="21" t="n">
        <v>-0.01</v>
      </c>
      <c r="I596" s="21" t="n">
        <v>0.08</v>
      </c>
      <c r="J596" s="21" t="n">
        <v>-0.08</v>
      </c>
      <c r="K596" s="21" t="n">
        <v>0</v>
      </c>
      <c r="L596" s="21" t="n">
        <v>0.01</v>
      </c>
      <c r="M596" s="21" t="n">
        <v>0.01</v>
      </c>
      <c r="N596" s="21" t="n">
        <v>0.01</v>
      </c>
      <c r="O596" s="21" t="n">
        <v>-0.01</v>
      </c>
      <c r="P596" s="21" t="n">
        <v>0.08</v>
      </c>
      <c r="Q596" s="21" t="n">
        <v>-0.08</v>
      </c>
      <c r="R596" s="18" t="n">
        <f aca="false">ABS(D596)+MAX(ABS(G596),ABS(H596))+MAX(ABS(I596),ABS(J596))</f>
        <v>0.09</v>
      </c>
      <c r="S596" s="18" t="n">
        <f aca="false">ABS(K596)+MAX(ABS(N596),ABS(O596))+MAX(ABS(P596),ABS(Q596))</f>
        <v>0.09</v>
      </c>
      <c r="T596" s="18" t="n">
        <f aca="false">MAX(ABS(E596),ABS(F596))</f>
        <v>0.01</v>
      </c>
      <c r="U596" s="18" t="n">
        <f aca="false">MAX(ABS(L596),ABS(M596))</f>
        <v>0.01</v>
      </c>
    </row>
    <row r="597" customFormat="false" ht="15" hidden="false" customHeight="false" outlineLevel="0" collapsed="false">
      <c r="A597" s="4" t="n">
        <v>343</v>
      </c>
      <c r="B597" s="4" t="n">
        <v>120</v>
      </c>
      <c r="C597" s="18" t="n">
        <v>0.5</v>
      </c>
      <c r="D597" s="21" t="n">
        <v>0</v>
      </c>
      <c r="E597" s="21" t="n">
        <v>0.01</v>
      </c>
      <c r="F597" s="21" t="n">
        <v>0.01</v>
      </c>
      <c r="G597" s="21" t="n">
        <v>0.01</v>
      </c>
      <c r="H597" s="21" t="n">
        <v>-0.01</v>
      </c>
      <c r="I597" s="21" t="n">
        <v>0.08</v>
      </c>
      <c r="J597" s="21" t="n">
        <v>-0.08</v>
      </c>
      <c r="K597" s="21" t="n">
        <v>0</v>
      </c>
      <c r="L597" s="21" t="n">
        <v>0.01</v>
      </c>
      <c r="M597" s="21" t="n">
        <v>0.01</v>
      </c>
      <c r="N597" s="21" t="n">
        <v>0.01</v>
      </c>
      <c r="O597" s="21" t="n">
        <v>-0.01</v>
      </c>
      <c r="P597" s="21" t="n">
        <v>0.08</v>
      </c>
      <c r="Q597" s="21" t="n">
        <v>-0.08</v>
      </c>
      <c r="R597" s="18" t="n">
        <f aca="false">ABS(D597)+MAX(ABS(G597),ABS(H597))+MAX(ABS(I597),ABS(J597))</f>
        <v>0.09</v>
      </c>
      <c r="S597" s="18" t="n">
        <f aca="false">ABS(K597)+MAX(ABS(N597),ABS(O597))+MAX(ABS(P597),ABS(Q597))</f>
        <v>0.09</v>
      </c>
      <c r="T597" s="18" t="n">
        <f aca="false">MAX(ABS(E597),ABS(F597))</f>
        <v>0.01</v>
      </c>
      <c r="U597" s="18" t="n">
        <f aca="false">MAX(ABS(L597),ABS(M597))</f>
        <v>0.01</v>
      </c>
    </row>
    <row r="598" customFormat="false" ht="15" hidden="false" customHeight="false" outlineLevel="0" collapsed="false">
      <c r="A598" s="4" t="n">
        <v>343</v>
      </c>
      <c r="B598" s="4" t="n">
        <v>120</v>
      </c>
      <c r="C598" s="18" t="n">
        <v>0.75</v>
      </c>
      <c r="D598" s="21" t="n">
        <v>0</v>
      </c>
      <c r="E598" s="21" t="n">
        <v>0.01</v>
      </c>
      <c r="F598" s="21" t="n">
        <v>0.01</v>
      </c>
      <c r="G598" s="21" t="n">
        <v>0.02</v>
      </c>
      <c r="H598" s="21" t="n">
        <v>-0.02</v>
      </c>
      <c r="I598" s="21" t="n">
        <v>0.09</v>
      </c>
      <c r="J598" s="21" t="n">
        <v>-0.09</v>
      </c>
      <c r="K598" s="21" t="n">
        <v>0</v>
      </c>
      <c r="L598" s="21" t="n">
        <v>0.01</v>
      </c>
      <c r="M598" s="21" t="n">
        <v>0.01</v>
      </c>
      <c r="N598" s="21" t="n">
        <v>0.02</v>
      </c>
      <c r="O598" s="21" t="n">
        <v>-0.02</v>
      </c>
      <c r="P598" s="21" t="n">
        <v>0.09</v>
      </c>
      <c r="Q598" s="21" t="n">
        <v>-0.09</v>
      </c>
      <c r="R598" s="18" t="n">
        <f aca="false">ABS(D598)+MAX(ABS(G598),ABS(H598))+MAX(ABS(I598),ABS(J598))</f>
        <v>0.11</v>
      </c>
      <c r="S598" s="18" t="n">
        <f aca="false">ABS(K598)+MAX(ABS(N598),ABS(O598))+MAX(ABS(P598),ABS(Q598))</f>
        <v>0.11</v>
      </c>
      <c r="T598" s="18" t="n">
        <f aca="false">MAX(ABS(E598),ABS(F598))</f>
        <v>0.01</v>
      </c>
      <c r="U598" s="18" t="n">
        <f aca="false">MAX(ABS(L598),ABS(M598))</f>
        <v>0.01</v>
      </c>
    </row>
    <row r="599" customFormat="false" ht="15" hidden="false" customHeight="false" outlineLevel="0" collapsed="false">
      <c r="A599" s="4" t="n">
        <v>343</v>
      </c>
      <c r="B599" s="4" t="n">
        <v>120</v>
      </c>
      <c r="C599" s="18" t="n">
        <v>1</v>
      </c>
      <c r="D599" s="21" t="n">
        <v>0</v>
      </c>
      <c r="E599" s="21" t="n">
        <v>0.01</v>
      </c>
      <c r="F599" s="21" t="n">
        <v>0.01</v>
      </c>
      <c r="G599" s="21" t="n">
        <v>0.02</v>
      </c>
      <c r="H599" s="21" t="n">
        <v>-0.02</v>
      </c>
      <c r="I599" s="21" t="n">
        <v>0.09</v>
      </c>
      <c r="J599" s="21" t="n">
        <v>-0.09</v>
      </c>
      <c r="K599" s="21" t="n">
        <v>0</v>
      </c>
      <c r="L599" s="21" t="n">
        <v>0.01</v>
      </c>
      <c r="M599" s="21" t="n">
        <v>0.01</v>
      </c>
      <c r="N599" s="21" t="n">
        <v>0.02</v>
      </c>
      <c r="O599" s="21" t="n">
        <v>-0.02</v>
      </c>
      <c r="P599" s="21" t="n">
        <v>0.09</v>
      </c>
      <c r="Q599" s="21" t="n">
        <v>-0.09</v>
      </c>
      <c r="R599" s="18" t="n">
        <f aca="false">ABS(D599)+MAX(ABS(G599),ABS(H599))+MAX(ABS(I599),ABS(J599))</f>
        <v>0.11</v>
      </c>
      <c r="S599" s="18" t="n">
        <f aca="false">ABS(K599)+MAX(ABS(N599),ABS(O599))+MAX(ABS(P599),ABS(Q599))</f>
        <v>0.11</v>
      </c>
      <c r="T599" s="18" t="n">
        <f aca="false">MAX(ABS(E599),ABS(F599))</f>
        <v>0.01</v>
      </c>
      <c r="U599" s="18" t="n">
        <f aca="false">MAX(ABS(L599),ABS(M599))</f>
        <v>0.01</v>
      </c>
    </row>
    <row r="600" customFormat="false" ht="15" hidden="false" customHeight="false" outlineLevel="0" collapsed="false">
      <c r="A600" s="4" t="n">
        <v>344</v>
      </c>
      <c r="B600" s="4" t="n">
        <v>121</v>
      </c>
      <c r="C600" s="18" t="n">
        <v>0</v>
      </c>
      <c r="D600" s="21" t="n">
        <v>0</v>
      </c>
      <c r="E600" s="21" t="n">
        <v>0</v>
      </c>
      <c r="F600" s="21" t="n">
        <v>0.02</v>
      </c>
      <c r="G600" s="21" t="n">
        <v>0.02</v>
      </c>
      <c r="H600" s="21" t="n">
        <v>-0.02</v>
      </c>
      <c r="I600" s="21" t="n">
        <v>0.02</v>
      </c>
      <c r="J600" s="21" t="n">
        <v>-0.02</v>
      </c>
      <c r="K600" s="21" t="n">
        <v>0</v>
      </c>
      <c r="L600" s="21" t="n">
        <v>0</v>
      </c>
      <c r="M600" s="21" t="n">
        <v>0.03</v>
      </c>
      <c r="N600" s="21" t="n">
        <v>0.02</v>
      </c>
      <c r="O600" s="21" t="n">
        <v>-0.02</v>
      </c>
      <c r="P600" s="21" t="n">
        <v>0.01</v>
      </c>
      <c r="Q600" s="21" t="n">
        <v>-0.01</v>
      </c>
      <c r="R600" s="18" t="n">
        <f aca="false">ABS(D600)+MAX(ABS(G600),ABS(H600))+MAX(ABS(I600),ABS(J600))</f>
        <v>0.04</v>
      </c>
      <c r="S600" s="18" t="n">
        <f aca="false">ABS(K600)+MAX(ABS(N600),ABS(O600))+MAX(ABS(P600),ABS(Q600))</f>
        <v>0.03</v>
      </c>
      <c r="T600" s="18" t="n">
        <f aca="false">MAX(ABS(E600),ABS(F600))</f>
        <v>0.02</v>
      </c>
      <c r="U600" s="18" t="n">
        <f aca="false">MAX(ABS(L600),ABS(M600))</f>
        <v>0.03</v>
      </c>
    </row>
    <row r="601" customFormat="false" ht="15" hidden="false" customHeight="false" outlineLevel="0" collapsed="false">
      <c r="A601" s="4" t="n">
        <v>344</v>
      </c>
      <c r="B601" s="4" t="n">
        <v>121</v>
      </c>
      <c r="C601" s="18" t="n">
        <v>0.25</v>
      </c>
      <c r="D601" s="21" t="n">
        <v>0</v>
      </c>
      <c r="E601" s="21" t="n">
        <v>0</v>
      </c>
      <c r="F601" s="21" t="n">
        <v>0.01</v>
      </c>
      <c r="G601" s="21" t="n">
        <v>0.02</v>
      </c>
      <c r="H601" s="21" t="n">
        <v>-0.02</v>
      </c>
      <c r="I601" s="21" t="n">
        <v>0.1</v>
      </c>
      <c r="J601" s="21" t="n">
        <v>-0.1</v>
      </c>
      <c r="K601" s="21" t="n">
        <v>0</v>
      </c>
      <c r="L601" s="21" t="n">
        <v>0</v>
      </c>
      <c r="M601" s="21" t="n">
        <v>0.01</v>
      </c>
      <c r="N601" s="21" t="n">
        <v>0.02</v>
      </c>
      <c r="O601" s="21" t="n">
        <v>-0.02</v>
      </c>
      <c r="P601" s="21" t="n">
        <v>0.09</v>
      </c>
      <c r="Q601" s="21" t="n">
        <v>-0.09</v>
      </c>
      <c r="R601" s="18" t="n">
        <f aca="false">ABS(D601)+MAX(ABS(G601),ABS(H601))+MAX(ABS(I601),ABS(J601))</f>
        <v>0.12</v>
      </c>
      <c r="S601" s="18" t="n">
        <f aca="false">ABS(K601)+MAX(ABS(N601),ABS(O601))+MAX(ABS(P601),ABS(Q601))</f>
        <v>0.11</v>
      </c>
      <c r="T601" s="18" t="n">
        <f aca="false">MAX(ABS(E601),ABS(F601))</f>
        <v>0.01</v>
      </c>
      <c r="U601" s="18" t="n">
        <f aca="false">MAX(ABS(L601),ABS(M601))</f>
        <v>0.01</v>
      </c>
    </row>
    <row r="602" customFormat="false" ht="15" hidden="false" customHeight="false" outlineLevel="0" collapsed="false">
      <c r="A602" s="4" t="n">
        <v>344</v>
      </c>
      <c r="B602" s="4" t="n">
        <v>121</v>
      </c>
      <c r="C602" s="18" t="n">
        <v>0.5</v>
      </c>
      <c r="D602" s="21" t="n">
        <v>0</v>
      </c>
      <c r="E602" s="21" t="n">
        <v>0</v>
      </c>
      <c r="F602" s="21" t="n">
        <v>0</v>
      </c>
      <c r="G602" s="21" t="n">
        <v>0.02</v>
      </c>
      <c r="H602" s="21" t="n">
        <v>-0.02</v>
      </c>
      <c r="I602" s="21" t="n">
        <v>0.12</v>
      </c>
      <c r="J602" s="21" t="n">
        <v>-0.12</v>
      </c>
      <c r="K602" s="21" t="n">
        <v>0</v>
      </c>
      <c r="L602" s="21" t="n">
        <v>0</v>
      </c>
      <c r="M602" s="21" t="n">
        <v>0</v>
      </c>
      <c r="N602" s="21" t="n">
        <v>0.02</v>
      </c>
      <c r="O602" s="21" t="n">
        <v>-0.02</v>
      </c>
      <c r="P602" s="21" t="n">
        <v>0.12</v>
      </c>
      <c r="Q602" s="21" t="n">
        <v>-0.12</v>
      </c>
      <c r="R602" s="18" t="n">
        <f aca="false">ABS(D602)+MAX(ABS(G602),ABS(H602))+MAX(ABS(I602),ABS(J602))</f>
        <v>0.14</v>
      </c>
      <c r="S602" s="18" t="n">
        <f aca="false">ABS(K602)+MAX(ABS(N602),ABS(O602))+MAX(ABS(P602),ABS(Q602))</f>
        <v>0.14</v>
      </c>
      <c r="T602" s="18" t="n">
        <f aca="false">MAX(ABS(E602),ABS(F602))</f>
        <v>0</v>
      </c>
      <c r="U602" s="18" t="n">
        <f aca="false">MAX(ABS(L602),ABS(M602))</f>
        <v>0</v>
      </c>
    </row>
    <row r="603" customFormat="false" ht="15" hidden="false" customHeight="false" outlineLevel="0" collapsed="false">
      <c r="A603" s="4" t="n">
        <v>344</v>
      </c>
      <c r="B603" s="4" t="n">
        <v>121</v>
      </c>
      <c r="C603" s="18" t="n">
        <v>0.75</v>
      </c>
      <c r="D603" s="21" t="n">
        <v>0</v>
      </c>
      <c r="E603" s="21" t="n">
        <v>0</v>
      </c>
      <c r="F603" s="21" t="n">
        <v>0.01</v>
      </c>
      <c r="G603" s="21" t="n">
        <v>0.02</v>
      </c>
      <c r="H603" s="21" t="n">
        <v>-0.02</v>
      </c>
      <c r="I603" s="21" t="n">
        <v>0.1</v>
      </c>
      <c r="J603" s="21" t="n">
        <v>-0.1</v>
      </c>
      <c r="K603" s="21" t="n">
        <v>0</v>
      </c>
      <c r="L603" s="21" t="n">
        <v>0</v>
      </c>
      <c r="M603" s="21" t="n">
        <v>0.01</v>
      </c>
      <c r="N603" s="21" t="n">
        <v>0.02</v>
      </c>
      <c r="O603" s="21" t="n">
        <v>-0.02</v>
      </c>
      <c r="P603" s="21" t="n">
        <v>0.1</v>
      </c>
      <c r="Q603" s="21" t="n">
        <v>-0.1</v>
      </c>
      <c r="R603" s="18" t="n">
        <f aca="false">ABS(D603)+MAX(ABS(G603),ABS(H603))+MAX(ABS(I603),ABS(J603))</f>
        <v>0.12</v>
      </c>
      <c r="S603" s="18" t="n">
        <f aca="false">ABS(K603)+MAX(ABS(N603),ABS(O603))+MAX(ABS(P603),ABS(Q603))</f>
        <v>0.12</v>
      </c>
      <c r="T603" s="18" t="n">
        <f aca="false">MAX(ABS(E603),ABS(F603))</f>
        <v>0.01</v>
      </c>
      <c r="U603" s="18" t="n">
        <f aca="false">MAX(ABS(L603),ABS(M603))</f>
        <v>0.01</v>
      </c>
    </row>
    <row r="604" customFormat="false" ht="15" hidden="false" customHeight="false" outlineLevel="0" collapsed="false">
      <c r="A604" s="4" t="n">
        <v>344</v>
      </c>
      <c r="B604" s="4" t="n">
        <v>121</v>
      </c>
      <c r="C604" s="18" t="n">
        <v>1</v>
      </c>
      <c r="D604" s="21" t="n">
        <v>0</v>
      </c>
      <c r="E604" s="21" t="n">
        <v>0</v>
      </c>
      <c r="F604" s="21" t="n">
        <v>0.02</v>
      </c>
      <c r="G604" s="21" t="n">
        <v>0.02</v>
      </c>
      <c r="H604" s="21" t="n">
        <v>-0.02</v>
      </c>
      <c r="I604" s="21" t="n">
        <v>0.03</v>
      </c>
      <c r="J604" s="21" t="n">
        <v>-0.03</v>
      </c>
      <c r="K604" s="21" t="n">
        <v>0</v>
      </c>
      <c r="L604" s="21" t="n">
        <v>0</v>
      </c>
      <c r="M604" s="21" t="n">
        <v>0.02</v>
      </c>
      <c r="N604" s="21" t="n">
        <v>0.02</v>
      </c>
      <c r="O604" s="21" t="n">
        <v>-0.02</v>
      </c>
      <c r="P604" s="21" t="n">
        <v>0.03</v>
      </c>
      <c r="Q604" s="21" t="n">
        <v>-0.03</v>
      </c>
      <c r="R604" s="18" t="n">
        <f aca="false">ABS(D604)+MAX(ABS(G604),ABS(H604))+MAX(ABS(I604),ABS(J604))</f>
        <v>0.05</v>
      </c>
      <c r="S604" s="18" t="n">
        <f aca="false">ABS(K604)+MAX(ABS(N604),ABS(O604))+MAX(ABS(P604),ABS(Q604))</f>
        <v>0.05</v>
      </c>
      <c r="T604" s="18" t="n">
        <f aca="false">MAX(ABS(E604),ABS(F604))</f>
        <v>0.02</v>
      </c>
      <c r="U604" s="18" t="n">
        <f aca="false">MAX(ABS(L604),ABS(M604))</f>
        <v>0.02</v>
      </c>
    </row>
    <row r="605" customFormat="false" ht="15" hidden="false" customHeight="false" outlineLevel="0" collapsed="false">
      <c r="A605" s="4" t="n">
        <v>345</v>
      </c>
      <c r="B605" s="4" t="n">
        <v>122</v>
      </c>
      <c r="C605" s="18" t="n">
        <v>0</v>
      </c>
      <c r="D605" s="21" t="n">
        <v>0</v>
      </c>
      <c r="E605" s="21" t="n">
        <v>0.01</v>
      </c>
      <c r="F605" s="21" t="n">
        <v>0.03</v>
      </c>
      <c r="G605" s="21" t="n">
        <v>0.02</v>
      </c>
      <c r="H605" s="21" t="n">
        <v>-0.02</v>
      </c>
      <c r="I605" s="21" t="n">
        <v>0.03</v>
      </c>
      <c r="J605" s="21" t="n">
        <v>-0.03</v>
      </c>
      <c r="K605" s="21" t="n">
        <v>0</v>
      </c>
      <c r="L605" s="21" t="n">
        <v>0.01</v>
      </c>
      <c r="M605" s="21" t="n">
        <v>0.03</v>
      </c>
      <c r="N605" s="21" t="n">
        <v>0.02</v>
      </c>
      <c r="O605" s="21" t="n">
        <v>-0.02</v>
      </c>
      <c r="P605" s="21" t="n">
        <v>0.03</v>
      </c>
      <c r="Q605" s="21" t="n">
        <v>-0.03</v>
      </c>
      <c r="R605" s="18" t="n">
        <f aca="false">ABS(D605)+MAX(ABS(G605),ABS(H605))+MAX(ABS(I605),ABS(J605))</f>
        <v>0.05</v>
      </c>
      <c r="S605" s="18" t="n">
        <f aca="false">ABS(K605)+MAX(ABS(N605),ABS(O605))+MAX(ABS(P605),ABS(Q605))</f>
        <v>0.05</v>
      </c>
      <c r="T605" s="18" t="n">
        <f aca="false">MAX(ABS(E605),ABS(F605))</f>
        <v>0.03</v>
      </c>
      <c r="U605" s="18" t="n">
        <f aca="false">MAX(ABS(L605),ABS(M605))</f>
        <v>0.03</v>
      </c>
    </row>
    <row r="606" customFormat="false" ht="15" hidden="false" customHeight="false" outlineLevel="0" collapsed="false">
      <c r="A606" s="4" t="n">
        <v>345</v>
      </c>
      <c r="B606" s="4" t="n">
        <v>122</v>
      </c>
      <c r="C606" s="18" t="n">
        <v>0.25</v>
      </c>
      <c r="D606" s="21" t="n">
        <v>0</v>
      </c>
      <c r="E606" s="21" t="n">
        <v>0.01</v>
      </c>
      <c r="F606" s="21" t="n">
        <v>0.03</v>
      </c>
      <c r="G606" s="21" t="n">
        <v>0.02</v>
      </c>
      <c r="H606" s="21" t="n">
        <v>-0.02</v>
      </c>
      <c r="I606" s="21" t="n">
        <v>0.02</v>
      </c>
      <c r="J606" s="21" t="n">
        <v>-0.02</v>
      </c>
      <c r="K606" s="21" t="n">
        <v>0</v>
      </c>
      <c r="L606" s="21" t="n">
        <v>0.01</v>
      </c>
      <c r="M606" s="21" t="n">
        <v>0.03</v>
      </c>
      <c r="N606" s="21" t="n">
        <v>0.02</v>
      </c>
      <c r="O606" s="21" t="n">
        <v>-0.02</v>
      </c>
      <c r="P606" s="21" t="n">
        <v>0.02</v>
      </c>
      <c r="Q606" s="21" t="n">
        <v>-0.02</v>
      </c>
      <c r="R606" s="18" t="n">
        <f aca="false">ABS(D606)+MAX(ABS(G606),ABS(H606))+MAX(ABS(I606),ABS(J606))</f>
        <v>0.04</v>
      </c>
      <c r="S606" s="18" t="n">
        <f aca="false">ABS(K606)+MAX(ABS(N606),ABS(O606))+MAX(ABS(P606),ABS(Q606))</f>
        <v>0.04</v>
      </c>
      <c r="T606" s="18" t="n">
        <f aca="false">MAX(ABS(E606),ABS(F606))</f>
        <v>0.03</v>
      </c>
      <c r="U606" s="18" t="n">
        <f aca="false">MAX(ABS(L606),ABS(M606))</f>
        <v>0.03</v>
      </c>
    </row>
    <row r="607" customFormat="false" ht="15" hidden="false" customHeight="false" outlineLevel="0" collapsed="false">
      <c r="A607" s="4" t="n">
        <v>345</v>
      </c>
      <c r="B607" s="4" t="n">
        <v>122</v>
      </c>
      <c r="C607" s="18" t="n">
        <v>0.5</v>
      </c>
      <c r="D607" s="21" t="n">
        <v>0</v>
      </c>
      <c r="E607" s="21" t="n">
        <v>0.01</v>
      </c>
      <c r="F607" s="21" t="n">
        <v>0.03</v>
      </c>
      <c r="G607" s="21" t="n">
        <v>0.02</v>
      </c>
      <c r="H607" s="21" t="n">
        <v>-0.02</v>
      </c>
      <c r="I607" s="21" t="n">
        <v>0.01</v>
      </c>
      <c r="J607" s="21" t="n">
        <v>-0.01</v>
      </c>
      <c r="K607" s="21" t="n">
        <v>0</v>
      </c>
      <c r="L607" s="21" t="n">
        <v>0.01</v>
      </c>
      <c r="M607" s="21" t="n">
        <v>0.03</v>
      </c>
      <c r="N607" s="21" t="n">
        <v>0.02</v>
      </c>
      <c r="O607" s="21" t="n">
        <v>-0.02</v>
      </c>
      <c r="P607" s="21" t="n">
        <v>0.01</v>
      </c>
      <c r="Q607" s="21" t="n">
        <v>-0.01</v>
      </c>
      <c r="R607" s="18" t="n">
        <f aca="false">ABS(D607)+MAX(ABS(G607),ABS(H607))+MAX(ABS(I607),ABS(J607))</f>
        <v>0.03</v>
      </c>
      <c r="S607" s="18" t="n">
        <f aca="false">ABS(K607)+MAX(ABS(N607),ABS(O607))+MAX(ABS(P607),ABS(Q607))</f>
        <v>0.03</v>
      </c>
      <c r="T607" s="18" t="n">
        <f aca="false">MAX(ABS(E607),ABS(F607))</f>
        <v>0.03</v>
      </c>
      <c r="U607" s="18" t="n">
        <f aca="false">MAX(ABS(L607),ABS(M607))</f>
        <v>0.03</v>
      </c>
    </row>
    <row r="608" customFormat="false" ht="15" hidden="false" customHeight="false" outlineLevel="0" collapsed="false">
      <c r="A608" s="4" t="n">
        <v>345</v>
      </c>
      <c r="B608" s="4" t="n">
        <v>122</v>
      </c>
      <c r="C608" s="18" t="n">
        <v>0.75</v>
      </c>
      <c r="D608" s="21" t="n">
        <v>0</v>
      </c>
      <c r="E608" s="21" t="n">
        <v>0.01</v>
      </c>
      <c r="F608" s="21" t="n">
        <v>0.03</v>
      </c>
      <c r="G608" s="21" t="n">
        <v>0.02</v>
      </c>
      <c r="H608" s="21" t="n">
        <v>-0.02</v>
      </c>
      <c r="I608" s="21" t="n">
        <v>-0.01</v>
      </c>
      <c r="J608" s="21" t="n">
        <v>0.01</v>
      </c>
      <c r="K608" s="21" t="n">
        <v>0</v>
      </c>
      <c r="L608" s="21" t="n">
        <v>0.01</v>
      </c>
      <c r="M608" s="21" t="n">
        <v>0.03</v>
      </c>
      <c r="N608" s="21" t="n">
        <v>0.02</v>
      </c>
      <c r="O608" s="21" t="n">
        <v>-0.02</v>
      </c>
      <c r="P608" s="21" t="n">
        <v>0</v>
      </c>
      <c r="Q608" s="21" t="n">
        <v>0</v>
      </c>
      <c r="R608" s="18" t="n">
        <f aca="false">ABS(D608)+MAX(ABS(G608),ABS(H608))+MAX(ABS(I608),ABS(J608))</f>
        <v>0.03</v>
      </c>
      <c r="S608" s="18" t="n">
        <f aca="false">ABS(K608)+MAX(ABS(N608),ABS(O608))+MAX(ABS(P608),ABS(Q608))</f>
        <v>0.02</v>
      </c>
      <c r="T608" s="18" t="n">
        <f aca="false">MAX(ABS(E608),ABS(F608))</f>
        <v>0.03</v>
      </c>
      <c r="U608" s="18" t="n">
        <f aca="false">MAX(ABS(L608),ABS(M608))</f>
        <v>0.03</v>
      </c>
    </row>
    <row r="609" customFormat="false" ht="15" hidden="false" customHeight="false" outlineLevel="0" collapsed="false">
      <c r="A609" s="4" t="n">
        <v>345</v>
      </c>
      <c r="B609" s="4" t="n">
        <v>122</v>
      </c>
      <c r="C609" s="18" t="n">
        <v>1</v>
      </c>
      <c r="D609" s="21" t="n">
        <v>0</v>
      </c>
      <c r="E609" s="21" t="n">
        <v>0.01</v>
      </c>
      <c r="F609" s="21" t="n">
        <v>0.03</v>
      </c>
      <c r="G609" s="21" t="n">
        <v>0.02</v>
      </c>
      <c r="H609" s="21" t="n">
        <v>-0.02</v>
      </c>
      <c r="I609" s="21" t="n">
        <v>-0.02</v>
      </c>
      <c r="J609" s="21" t="n">
        <v>0.02</v>
      </c>
      <c r="K609" s="21" t="n">
        <v>0</v>
      </c>
      <c r="L609" s="21" t="n">
        <v>0.01</v>
      </c>
      <c r="M609" s="21" t="n">
        <v>0.03</v>
      </c>
      <c r="N609" s="21" t="n">
        <v>0.02</v>
      </c>
      <c r="O609" s="21" t="n">
        <v>-0.02</v>
      </c>
      <c r="P609" s="21" t="n">
        <v>-0.02</v>
      </c>
      <c r="Q609" s="21" t="n">
        <v>0.02</v>
      </c>
      <c r="R609" s="18" t="n">
        <f aca="false">ABS(D609)+MAX(ABS(G609),ABS(H609))+MAX(ABS(I609),ABS(J609))</f>
        <v>0.04</v>
      </c>
      <c r="S609" s="18" t="n">
        <f aca="false">ABS(K609)+MAX(ABS(N609),ABS(O609))+MAX(ABS(P609),ABS(Q609))</f>
        <v>0.04</v>
      </c>
      <c r="T609" s="18" t="n">
        <f aca="false">MAX(ABS(E609),ABS(F609))</f>
        <v>0.03</v>
      </c>
      <c r="U609" s="18" t="n">
        <f aca="false">MAX(ABS(L609),ABS(M609))</f>
        <v>0.03</v>
      </c>
    </row>
    <row r="610" customFormat="false" ht="15" hidden="false" customHeight="false" outlineLevel="0" collapsed="false">
      <c r="A610" s="4" t="n">
        <v>346</v>
      </c>
      <c r="B610" s="4" t="n">
        <v>123</v>
      </c>
      <c r="C610" s="18" t="n">
        <v>0</v>
      </c>
      <c r="D610" s="21" t="n">
        <v>0</v>
      </c>
      <c r="E610" s="21" t="n">
        <v>0.01</v>
      </c>
      <c r="F610" s="21" t="n">
        <v>0</v>
      </c>
      <c r="G610" s="21" t="n">
        <v>0.02</v>
      </c>
      <c r="H610" s="21" t="n">
        <v>-0.02</v>
      </c>
      <c r="I610" s="21" t="n">
        <v>0.05</v>
      </c>
      <c r="J610" s="21" t="n">
        <v>-0.05</v>
      </c>
      <c r="K610" s="21" t="n">
        <v>0</v>
      </c>
      <c r="L610" s="21" t="n">
        <v>0.01</v>
      </c>
      <c r="M610" s="21" t="n">
        <v>0.01</v>
      </c>
      <c r="N610" s="21" t="n">
        <v>0.03</v>
      </c>
      <c r="O610" s="21" t="n">
        <v>-0.03</v>
      </c>
      <c r="P610" s="21" t="n">
        <v>0.03</v>
      </c>
      <c r="Q610" s="21" t="n">
        <v>-0.03</v>
      </c>
      <c r="R610" s="18" t="n">
        <f aca="false">ABS(D610)+MAX(ABS(G610),ABS(H610))+MAX(ABS(I610),ABS(J610))</f>
        <v>0.07</v>
      </c>
      <c r="S610" s="18" t="n">
        <f aca="false">ABS(K610)+MAX(ABS(N610),ABS(O610))+MAX(ABS(P610),ABS(Q610))</f>
        <v>0.06</v>
      </c>
      <c r="T610" s="18" t="n">
        <f aca="false">MAX(ABS(E610),ABS(F610))</f>
        <v>0.01</v>
      </c>
      <c r="U610" s="18" t="n">
        <f aca="false">MAX(ABS(L610),ABS(M610))</f>
        <v>0.01</v>
      </c>
    </row>
    <row r="611" customFormat="false" ht="15" hidden="false" customHeight="false" outlineLevel="0" collapsed="false">
      <c r="A611" s="4" t="n">
        <v>346</v>
      </c>
      <c r="B611" s="4" t="n">
        <v>123</v>
      </c>
      <c r="C611" s="18" t="n">
        <v>0.25</v>
      </c>
      <c r="D611" s="21" t="n">
        <v>0</v>
      </c>
      <c r="E611" s="21" t="n">
        <v>0.01</v>
      </c>
      <c r="F611" s="21" t="n">
        <v>0</v>
      </c>
      <c r="G611" s="21" t="n">
        <v>0.01</v>
      </c>
      <c r="H611" s="21" t="n">
        <v>-0.01</v>
      </c>
      <c r="I611" s="21" t="n">
        <v>0.05</v>
      </c>
      <c r="J611" s="21" t="n">
        <v>-0.05</v>
      </c>
      <c r="K611" s="21" t="n">
        <v>0</v>
      </c>
      <c r="L611" s="21" t="n">
        <v>0.01</v>
      </c>
      <c r="M611" s="21" t="n">
        <v>0</v>
      </c>
      <c r="N611" s="21" t="n">
        <v>0.02</v>
      </c>
      <c r="O611" s="21" t="n">
        <v>-0.02</v>
      </c>
      <c r="P611" s="21" t="n">
        <v>0.04</v>
      </c>
      <c r="Q611" s="21" t="n">
        <v>-0.04</v>
      </c>
      <c r="R611" s="18" t="n">
        <f aca="false">ABS(D611)+MAX(ABS(G611),ABS(H611))+MAX(ABS(I611),ABS(J611))</f>
        <v>0.06</v>
      </c>
      <c r="S611" s="18" t="n">
        <f aca="false">ABS(K611)+MAX(ABS(N611),ABS(O611))+MAX(ABS(P611),ABS(Q611))</f>
        <v>0.06</v>
      </c>
      <c r="T611" s="18" t="n">
        <f aca="false">MAX(ABS(E611),ABS(F611))</f>
        <v>0.01</v>
      </c>
      <c r="U611" s="18" t="n">
        <f aca="false">MAX(ABS(L611),ABS(M611))</f>
        <v>0.01</v>
      </c>
    </row>
    <row r="612" customFormat="false" ht="15" hidden="false" customHeight="false" outlineLevel="0" collapsed="false">
      <c r="A612" s="4" t="n">
        <v>346</v>
      </c>
      <c r="B612" s="4" t="n">
        <v>123</v>
      </c>
      <c r="C612" s="18" t="n">
        <v>0.5</v>
      </c>
      <c r="D612" s="21" t="n">
        <v>0</v>
      </c>
      <c r="E612" s="21" t="n">
        <v>0.01</v>
      </c>
      <c r="F612" s="21" t="n">
        <v>0.01</v>
      </c>
      <c r="G612" s="21" t="n">
        <v>0</v>
      </c>
      <c r="H612" s="21" t="n">
        <v>0</v>
      </c>
      <c r="I612" s="21" t="n">
        <v>0.04</v>
      </c>
      <c r="J612" s="21" t="n">
        <v>-0.04</v>
      </c>
      <c r="K612" s="21" t="n">
        <v>0</v>
      </c>
      <c r="L612" s="21" t="n">
        <v>0.01</v>
      </c>
      <c r="M612" s="21" t="n">
        <v>0.01</v>
      </c>
      <c r="N612" s="21" t="n">
        <v>0.01</v>
      </c>
      <c r="O612" s="21" t="n">
        <v>-0.01</v>
      </c>
      <c r="P612" s="21" t="n">
        <v>0.04</v>
      </c>
      <c r="Q612" s="21" t="n">
        <v>-0.04</v>
      </c>
      <c r="R612" s="18" t="n">
        <f aca="false">ABS(D612)+MAX(ABS(G612),ABS(H612))+MAX(ABS(I612),ABS(J612))</f>
        <v>0.04</v>
      </c>
      <c r="S612" s="18" t="n">
        <f aca="false">ABS(K612)+MAX(ABS(N612),ABS(O612))+MAX(ABS(P612),ABS(Q612))</f>
        <v>0.05</v>
      </c>
      <c r="T612" s="18" t="n">
        <f aca="false">MAX(ABS(E612),ABS(F612))</f>
        <v>0.01</v>
      </c>
      <c r="U612" s="18" t="n">
        <f aca="false">MAX(ABS(L612),ABS(M612))</f>
        <v>0.01</v>
      </c>
    </row>
    <row r="613" customFormat="false" ht="15" hidden="false" customHeight="false" outlineLevel="0" collapsed="false">
      <c r="A613" s="4" t="n">
        <v>346</v>
      </c>
      <c r="B613" s="4" t="n">
        <v>123</v>
      </c>
      <c r="C613" s="18" t="n">
        <v>0.75</v>
      </c>
      <c r="D613" s="21" t="n">
        <v>0</v>
      </c>
      <c r="E613" s="21" t="n">
        <v>0.01</v>
      </c>
      <c r="F613" s="21" t="n">
        <v>0.02</v>
      </c>
      <c r="G613" s="21" t="n">
        <v>0</v>
      </c>
      <c r="H613" s="21" t="n">
        <v>0</v>
      </c>
      <c r="I613" s="21" t="n">
        <v>0.01</v>
      </c>
      <c r="J613" s="21" t="n">
        <v>-0.01</v>
      </c>
      <c r="K613" s="21" t="n">
        <v>0</v>
      </c>
      <c r="L613" s="21" t="n">
        <v>0.01</v>
      </c>
      <c r="M613" s="21" t="n">
        <v>0.01</v>
      </c>
      <c r="N613" s="21" t="n">
        <v>-0.01</v>
      </c>
      <c r="O613" s="21" t="n">
        <v>0.01</v>
      </c>
      <c r="P613" s="21" t="n">
        <v>0.02</v>
      </c>
      <c r="Q613" s="21" t="n">
        <v>-0.02</v>
      </c>
      <c r="R613" s="18" t="n">
        <f aca="false">ABS(D613)+MAX(ABS(G613),ABS(H613))+MAX(ABS(I613),ABS(J613))</f>
        <v>0.01</v>
      </c>
      <c r="S613" s="18" t="n">
        <f aca="false">ABS(K613)+MAX(ABS(N613),ABS(O613))+MAX(ABS(P613),ABS(Q613))</f>
        <v>0.03</v>
      </c>
      <c r="T613" s="18" t="n">
        <f aca="false">MAX(ABS(E613),ABS(F613))</f>
        <v>0.02</v>
      </c>
      <c r="U613" s="18" t="n">
        <f aca="false">MAX(ABS(L613),ABS(M613))</f>
        <v>0.01</v>
      </c>
    </row>
    <row r="614" customFormat="false" ht="15" hidden="false" customHeight="false" outlineLevel="0" collapsed="false">
      <c r="A614" s="4" t="n">
        <v>346</v>
      </c>
      <c r="B614" s="4" t="n">
        <v>123</v>
      </c>
      <c r="C614" s="18" t="n">
        <v>1</v>
      </c>
      <c r="D614" s="21" t="n">
        <v>0</v>
      </c>
      <c r="E614" s="21" t="n">
        <v>0.01</v>
      </c>
      <c r="F614" s="21" t="n">
        <v>0.02</v>
      </c>
      <c r="G614" s="21" t="n">
        <v>-0.01</v>
      </c>
      <c r="H614" s="21" t="n">
        <v>0.01</v>
      </c>
      <c r="I614" s="21" t="n">
        <v>-0.02</v>
      </c>
      <c r="J614" s="21" t="n">
        <v>0.02</v>
      </c>
      <c r="K614" s="21" t="n">
        <v>0</v>
      </c>
      <c r="L614" s="21" t="n">
        <v>0.01</v>
      </c>
      <c r="M614" s="21" t="n">
        <v>0.02</v>
      </c>
      <c r="N614" s="21" t="n">
        <v>-0.02</v>
      </c>
      <c r="O614" s="21" t="n">
        <v>0.02</v>
      </c>
      <c r="P614" s="21" t="n">
        <v>-0.01</v>
      </c>
      <c r="Q614" s="21" t="n">
        <v>0.01</v>
      </c>
      <c r="R614" s="18" t="n">
        <f aca="false">ABS(D614)+MAX(ABS(G614),ABS(H614))+MAX(ABS(I614),ABS(J614))</f>
        <v>0.03</v>
      </c>
      <c r="S614" s="18" t="n">
        <f aca="false">ABS(K614)+MAX(ABS(N614),ABS(O614))+MAX(ABS(P614),ABS(Q614))</f>
        <v>0.03</v>
      </c>
      <c r="T614" s="18" t="n">
        <f aca="false">MAX(ABS(E614),ABS(F614))</f>
        <v>0.02</v>
      </c>
      <c r="U614" s="18" t="n">
        <f aca="false">MAX(ABS(L614),ABS(M614))</f>
        <v>0.02</v>
      </c>
    </row>
    <row r="615" customFormat="false" ht="15" hidden="false" customHeight="false" outlineLevel="0" collapsed="false">
      <c r="A615" s="4" t="n">
        <v>347</v>
      </c>
      <c r="B615" s="4" t="n">
        <v>124</v>
      </c>
      <c r="C615" s="18" t="n">
        <v>0</v>
      </c>
      <c r="D615" s="21" t="n">
        <v>0</v>
      </c>
      <c r="E615" s="21" t="n">
        <v>0</v>
      </c>
      <c r="F615" s="21" t="n">
        <v>0.02</v>
      </c>
      <c r="G615" s="21" t="n">
        <v>-0.01</v>
      </c>
      <c r="H615" s="21" t="n">
        <v>0.01</v>
      </c>
      <c r="I615" s="21" t="n">
        <v>-0.02</v>
      </c>
      <c r="J615" s="21" t="n">
        <v>0.02</v>
      </c>
      <c r="K615" s="21" t="n">
        <v>0</v>
      </c>
      <c r="L615" s="21" t="n">
        <v>0</v>
      </c>
      <c r="M615" s="21" t="n">
        <v>0.02</v>
      </c>
      <c r="N615" s="21" t="n">
        <v>-0.01</v>
      </c>
      <c r="O615" s="21" t="n">
        <v>0.01</v>
      </c>
      <c r="P615" s="21" t="n">
        <v>-0.01</v>
      </c>
      <c r="Q615" s="21" t="n">
        <v>0.01</v>
      </c>
      <c r="R615" s="18" t="n">
        <f aca="false">ABS(D615)+MAX(ABS(G615),ABS(H615))+MAX(ABS(I615),ABS(J615))</f>
        <v>0.03</v>
      </c>
      <c r="S615" s="18" t="n">
        <f aca="false">ABS(K615)+MAX(ABS(N615),ABS(O615))+MAX(ABS(P615),ABS(Q615))</f>
        <v>0.02</v>
      </c>
      <c r="T615" s="18" t="n">
        <f aca="false">MAX(ABS(E615),ABS(F615))</f>
        <v>0.02</v>
      </c>
      <c r="U615" s="18" t="n">
        <f aca="false">MAX(ABS(L615),ABS(M615))</f>
        <v>0.02</v>
      </c>
    </row>
    <row r="616" customFormat="false" ht="15" hidden="false" customHeight="false" outlineLevel="0" collapsed="false">
      <c r="A616" s="4" t="n">
        <v>347</v>
      </c>
      <c r="B616" s="4" t="n">
        <v>124</v>
      </c>
      <c r="C616" s="18" t="n">
        <v>0.25</v>
      </c>
      <c r="D616" s="21" t="n">
        <v>0</v>
      </c>
      <c r="E616" s="21" t="n">
        <v>0</v>
      </c>
      <c r="F616" s="21" t="n">
        <v>0.02</v>
      </c>
      <c r="G616" s="21" t="n">
        <v>-0.01</v>
      </c>
      <c r="H616" s="21" t="n">
        <v>0.01</v>
      </c>
      <c r="I616" s="21" t="n">
        <v>-0.03</v>
      </c>
      <c r="J616" s="21" t="n">
        <v>0.03</v>
      </c>
      <c r="K616" s="21" t="n">
        <v>0</v>
      </c>
      <c r="L616" s="21" t="n">
        <v>0</v>
      </c>
      <c r="M616" s="21" t="n">
        <v>0.02</v>
      </c>
      <c r="N616" s="21" t="n">
        <v>-0.01</v>
      </c>
      <c r="O616" s="21" t="n">
        <v>0.01</v>
      </c>
      <c r="P616" s="21" t="n">
        <v>-0.02</v>
      </c>
      <c r="Q616" s="21" t="n">
        <v>0.02</v>
      </c>
      <c r="R616" s="18" t="n">
        <f aca="false">ABS(D616)+MAX(ABS(G616),ABS(H616))+MAX(ABS(I616),ABS(J616))</f>
        <v>0.04</v>
      </c>
      <c r="S616" s="18" t="n">
        <f aca="false">ABS(K616)+MAX(ABS(N616),ABS(O616))+MAX(ABS(P616),ABS(Q616))</f>
        <v>0.03</v>
      </c>
      <c r="T616" s="18" t="n">
        <f aca="false">MAX(ABS(E616),ABS(F616))</f>
        <v>0.02</v>
      </c>
      <c r="U616" s="18" t="n">
        <f aca="false">MAX(ABS(L616),ABS(M616))</f>
        <v>0.02</v>
      </c>
    </row>
    <row r="617" customFormat="false" ht="15" hidden="false" customHeight="false" outlineLevel="0" collapsed="false">
      <c r="A617" s="4" t="n">
        <v>347</v>
      </c>
      <c r="B617" s="4" t="n">
        <v>124</v>
      </c>
      <c r="C617" s="18" t="n">
        <v>0.5</v>
      </c>
      <c r="D617" s="21" t="n">
        <v>0</v>
      </c>
      <c r="E617" s="21" t="n">
        <v>0</v>
      </c>
      <c r="F617" s="21" t="n">
        <v>0.03</v>
      </c>
      <c r="G617" s="21" t="n">
        <v>-0.01</v>
      </c>
      <c r="H617" s="21" t="n">
        <v>0.01</v>
      </c>
      <c r="I617" s="21" t="n">
        <v>-0.05</v>
      </c>
      <c r="J617" s="21" t="n">
        <v>0.05</v>
      </c>
      <c r="K617" s="21" t="n">
        <v>0</v>
      </c>
      <c r="L617" s="21" t="n">
        <v>0</v>
      </c>
      <c r="M617" s="21" t="n">
        <v>0.02</v>
      </c>
      <c r="N617" s="21" t="n">
        <v>-0.01</v>
      </c>
      <c r="O617" s="21" t="n">
        <v>0.01</v>
      </c>
      <c r="P617" s="21" t="n">
        <v>-0.03</v>
      </c>
      <c r="Q617" s="21" t="n">
        <v>0.03</v>
      </c>
      <c r="R617" s="18" t="n">
        <f aca="false">ABS(D617)+MAX(ABS(G617),ABS(H617))+MAX(ABS(I617),ABS(J617))</f>
        <v>0.06</v>
      </c>
      <c r="S617" s="18" t="n">
        <f aca="false">ABS(K617)+MAX(ABS(N617),ABS(O617))+MAX(ABS(P617),ABS(Q617))</f>
        <v>0.04</v>
      </c>
      <c r="T617" s="18" t="n">
        <f aca="false">MAX(ABS(E617),ABS(F617))</f>
        <v>0.03</v>
      </c>
      <c r="U617" s="18" t="n">
        <f aca="false">MAX(ABS(L617),ABS(M617))</f>
        <v>0.02</v>
      </c>
    </row>
    <row r="618" customFormat="false" ht="15" hidden="false" customHeight="false" outlineLevel="0" collapsed="false">
      <c r="A618" s="4" t="n">
        <v>347</v>
      </c>
      <c r="B618" s="4" t="n">
        <v>124</v>
      </c>
      <c r="C618" s="18" t="n">
        <v>0.75</v>
      </c>
      <c r="D618" s="21" t="n">
        <v>0</v>
      </c>
      <c r="E618" s="21" t="n">
        <v>0</v>
      </c>
      <c r="F618" s="21" t="n">
        <v>0.03</v>
      </c>
      <c r="G618" s="21" t="n">
        <v>-0.01</v>
      </c>
      <c r="H618" s="21" t="n">
        <v>0.01</v>
      </c>
      <c r="I618" s="21" t="n">
        <v>-0.06</v>
      </c>
      <c r="J618" s="21" t="n">
        <v>0.06</v>
      </c>
      <c r="K618" s="21" t="n">
        <v>0</v>
      </c>
      <c r="L618" s="21" t="n">
        <v>0</v>
      </c>
      <c r="M618" s="21" t="n">
        <v>0.02</v>
      </c>
      <c r="N618" s="21" t="n">
        <v>-0.01</v>
      </c>
      <c r="O618" s="21" t="n">
        <v>0.01</v>
      </c>
      <c r="P618" s="21" t="n">
        <v>-0.04</v>
      </c>
      <c r="Q618" s="21" t="n">
        <v>0.04</v>
      </c>
      <c r="R618" s="18" t="n">
        <f aca="false">ABS(D618)+MAX(ABS(G618),ABS(H618))+MAX(ABS(I618),ABS(J618))</f>
        <v>0.07</v>
      </c>
      <c r="S618" s="18" t="n">
        <f aca="false">ABS(K618)+MAX(ABS(N618),ABS(O618))+MAX(ABS(P618),ABS(Q618))</f>
        <v>0.05</v>
      </c>
      <c r="T618" s="18" t="n">
        <f aca="false">MAX(ABS(E618),ABS(F618))</f>
        <v>0.03</v>
      </c>
      <c r="U618" s="18" t="n">
        <f aca="false">MAX(ABS(L618),ABS(M618))</f>
        <v>0.02</v>
      </c>
    </row>
    <row r="619" customFormat="false" ht="15" hidden="false" customHeight="false" outlineLevel="0" collapsed="false">
      <c r="A619" s="4" t="n">
        <v>347</v>
      </c>
      <c r="B619" s="4" t="n">
        <v>124</v>
      </c>
      <c r="C619" s="18" t="n">
        <v>1</v>
      </c>
      <c r="D619" s="21" t="n">
        <v>0</v>
      </c>
      <c r="E619" s="21" t="n">
        <v>0</v>
      </c>
      <c r="F619" s="21" t="n">
        <v>0.03</v>
      </c>
      <c r="G619" s="21" t="n">
        <v>-0.01</v>
      </c>
      <c r="H619" s="21" t="n">
        <v>0.01</v>
      </c>
      <c r="I619" s="21" t="n">
        <v>-0.07</v>
      </c>
      <c r="J619" s="21" t="n">
        <v>0.07</v>
      </c>
      <c r="K619" s="21" t="n">
        <v>0</v>
      </c>
      <c r="L619" s="21" t="n">
        <v>0</v>
      </c>
      <c r="M619" s="21" t="n">
        <v>0.03</v>
      </c>
      <c r="N619" s="21" t="n">
        <v>-0.01</v>
      </c>
      <c r="O619" s="21" t="n">
        <v>0.01</v>
      </c>
      <c r="P619" s="21" t="n">
        <v>-0.05</v>
      </c>
      <c r="Q619" s="21" t="n">
        <v>0.05</v>
      </c>
      <c r="R619" s="18" t="n">
        <f aca="false">ABS(D619)+MAX(ABS(G619),ABS(H619))+MAX(ABS(I619),ABS(J619))</f>
        <v>0.08</v>
      </c>
      <c r="S619" s="18" t="n">
        <f aca="false">ABS(K619)+MAX(ABS(N619),ABS(O619))+MAX(ABS(P619),ABS(Q619))</f>
        <v>0.06</v>
      </c>
      <c r="T619" s="18" t="n">
        <f aca="false">MAX(ABS(E619),ABS(F619))</f>
        <v>0.03</v>
      </c>
      <c r="U619" s="18" t="n">
        <f aca="false">MAX(ABS(L619),ABS(M619))</f>
        <v>0.03</v>
      </c>
    </row>
    <row r="620" customFormat="false" ht="15" hidden="false" customHeight="false" outlineLevel="0" collapsed="false">
      <c r="A620" s="4" t="n">
        <v>348</v>
      </c>
      <c r="B620" s="4" t="n">
        <v>125</v>
      </c>
      <c r="C620" s="18" t="n">
        <v>0</v>
      </c>
      <c r="D620" s="21" t="n">
        <v>0</v>
      </c>
      <c r="E620" s="21" t="n">
        <v>0.01</v>
      </c>
      <c r="F620" s="21" t="n">
        <v>0</v>
      </c>
      <c r="G620" s="21" t="n">
        <v>-0.01</v>
      </c>
      <c r="H620" s="21" t="n">
        <v>0.01</v>
      </c>
      <c r="I620" s="21" t="n">
        <v>0.01</v>
      </c>
      <c r="J620" s="21" t="n">
        <v>-0.01</v>
      </c>
      <c r="K620" s="21" t="n">
        <v>0</v>
      </c>
      <c r="L620" s="21" t="n">
        <v>0.01</v>
      </c>
      <c r="M620" s="21" t="n">
        <v>0</v>
      </c>
      <c r="N620" s="21" t="n">
        <v>-0.01</v>
      </c>
      <c r="O620" s="21" t="n">
        <v>0.01</v>
      </c>
      <c r="P620" s="21" t="n">
        <v>0.01</v>
      </c>
      <c r="Q620" s="21" t="n">
        <v>-0.01</v>
      </c>
      <c r="R620" s="18" t="n">
        <f aca="false">ABS(D620)+MAX(ABS(G620),ABS(H620))+MAX(ABS(I620),ABS(J620))</f>
        <v>0.02</v>
      </c>
      <c r="S620" s="18" t="n">
        <f aca="false">ABS(K620)+MAX(ABS(N620),ABS(O620))+MAX(ABS(P620),ABS(Q620))</f>
        <v>0.02</v>
      </c>
      <c r="T620" s="18" t="n">
        <f aca="false">MAX(ABS(E620),ABS(F620))</f>
        <v>0.01</v>
      </c>
      <c r="U620" s="18" t="n">
        <f aca="false">MAX(ABS(L620),ABS(M620))</f>
        <v>0.01</v>
      </c>
    </row>
    <row r="621" customFormat="false" ht="15" hidden="false" customHeight="false" outlineLevel="0" collapsed="false">
      <c r="A621" s="4" t="n">
        <v>348</v>
      </c>
      <c r="B621" s="4" t="n">
        <v>125</v>
      </c>
      <c r="C621" s="18" t="n">
        <v>0.25</v>
      </c>
      <c r="D621" s="21" t="n">
        <v>0</v>
      </c>
      <c r="E621" s="21" t="n">
        <v>0.01</v>
      </c>
      <c r="F621" s="21" t="n">
        <v>0</v>
      </c>
      <c r="G621" s="21" t="n">
        <v>0</v>
      </c>
      <c r="H621" s="21" t="n">
        <v>0</v>
      </c>
      <c r="I621" s="21" t="n">
        <v>0.02</v>
      </c>
      <c r="J621" s="21" t="n">
        <v>-0.02</v>
      </c>
      <c r="K621" s="21" t="n">
        <v>0</v>
      </c>
      <c r="L621" s="21" t="n">
        <v>0.01</v>
      </c>
      <c r="M621" s="21" t="n">
        <v>0</v>
      </c>
      <c r="N621" s="21" t="n">
        <v>0</v>
      </c>
      <c r="O621" s="21" t="n">
        <v>0</v>
      </c>
      <c r="P621" s="21" t="n">
        <v>0.02</v>
      </c>
      <c r="Q621" s="21" t="n">
        <v>-0.02</v>
      </c>
      <c r="R621" s="18" t="n">
        <f aca="false">ABS(D621)+MAX(ABS(G621),ABS(H621))+MAX(ABS(I621),ABS(J621))</f>
        <v>0.02</v>
      </c>
      <c r="S621" s="18" t="n">
        <f aca="false">ABS(K621)+MAX(ABS(N621),ABS(O621))+MAX(ABS(P621),ABS(Q621))</f>
        <v>0.02</v>
      </c>
      <c r="T621" s="18" t="n">
        <f aca="false">MAX(ABS(E621),ABS(F621))</f>
        <v>0.01</v>
      </c>
      <c r="U621" s="18" t="n">
        <f aca="false">MAX(ABS(L621),ABS(M621))</f>
        <v>0.01</v>
      </c>
    </row>
    <row r="622" customFormat="false" ht="15" hidden="false" customHeight="false" outlineLevel="0" collapsed="false">
      <c r="A622" s="4" t="n">
        <v>348</v>
      </c>
      <c r="B622" s="4" t="n">
        <v>125</v>
      </c>
      <c r="C622" s="18" t="n">
        <v>0.5</v>
      </c>
      <c r="D622" s="21" t="n">
        <v>0</v>
      </c>
      <c r="E622" s="21" t="n">
        <v>0.01</v>
      </c>
      <c r="F622" s="21" t="n">
        <v>0</v>
      </c>
      <c r="G622" s="21" t="n">
        <v>0.01</v>
      </c>
      <c r="H622" s="21" t="n">
        <v>-0.01</v>
      </c>
      <c r="I622" s="21" t="n">
        <v>0.03</v>
      </c>
      <c r="J622" s="21" t="n">
        <v>-0.03</v>
      </c>
      <c r="K622" s="21" t="n">
        <v>0</v>
      </c>
      <c r="L622" s="21" t="n">
        <v>0.01</v>
      </c>
      <c r="M622" s="21" t="n">
        <v>0</v>
      </c>
      <c r="N622" s="21" t="n">
        <v>0.01</v>
      </c>
      <c r="O622" s="21" t="n">
        <v>-0.01</v>
      </c>
      <c r="P622" s="21" t="n">
        <v>0.03</v>
      </c>
      <c r="Q622" s="21" t="n">
        <v>-0.03</v>
      </c>
      <c r="R622" s="18" t="n">
        <f aca="false">ABS(D622)+MAX(ABS(G622),ABS(H622))+MAX(ABS(I622),ABS(J622))</f>
        <v>0.04</v>
      </c>
      <c r="S622" s="18" t="n">
        <f aca="false">ABS(K622)+MAX(ABS(N622),ABS(O622))+MAX(ABS(P622),ABS(Q622))</f>
        <v>0.04</v>
      </c>
      <c r="T622" s="18" t="n">
        <f aca="false">MAX(ABS(E622),ABS(F622))</f>
        <v>0.01</v>
      </c>
      <c r="U622" s="18" t="n">
        <f aca="false">MAX(ABS(L622),ABS(M622))</f>
        <v>0.01</v>
      </c>
    </row>
    <row r="623" customFormat="false" ht="15" hidden="false" customHeight="false" outlineLevel="0" collapsed="false">
      <c r="A623" s="4" t="n">
        <v>348</v>
      </c>
      <c r="B623" s="4" t="n">
        <v>125</v>
      </c>
      <c r="C623" s="18" t="n">
        <v>0.75</v>
      </c>
      <c r="D623" s="21" t="n">
        <v>0</v>
      </c>
      <c r="E623" s="21" t="n">
        <v>0.01</v>
      </c>
      <c r="F623" s="21" t="n">
        <v>0</v>
      </c>
      <c r="G623" s="21" t="n">
        <v>0.02</v>
      </c>
      <c r="H623" s="21" t="n">
        <v>-0.02</v>
      </c>
      <c r="I623" s="21" t="n">
        <v>0.03</v>
      </c>
      <c r="J623" s="21" t="n">
        <v>-0.03</v>
      </c>
      <c r="K623" s="21" t="n">
        <v>0</v>
      </c>
      <c r="L623" s="21" t="n">
        <v>0.01</v>
      </c>
      <c r="M623" s="21" t="n">
        <v>0</v>
      </c>
      <c r="N623" s="21" t="n">
        <v>0.02</v>
      </c>
      <c r="O623" s="21" t="n">
        <v>-0.02</v>
      </c>
      <c r="P623" s="21" t="n">
        <v>0.03</v>
      </c>
      <c r="Q623" s="21" t="n">
        <v>-0.03</v>
      </c>
      <c r="R623" s="18" t="n">
        <f aca="false">ABS(D623)+MAX(ABS(G623),ABS(H623))+MAX(ABS(I623),ABS(J623))</f>
        <v>0.05</v>
      </c>
      <c r="S623" s="18" t="n">
        <f aca="false">ABS(K623)+MAX(ABS(N623),ABS(O623))+MAX(ABS(P623),ABS(Q623))</f>
        <v>0.05</v>
      </c>
      <c r="T623" s="18" t="n">
        <f aca="false">MAX(ABS(E623),ABS(F623))</f>
        <v>0.01</v>
      </c>
      <c r="U623" s="18" t="n">
        <f aca="false">MAX(ABS(L623),ABS(M623))</f>
        <v>0.01</v>
      </c>
    </row>
    <row r="624" customFormat="false" ht="15" hidden="false" customHeight="false" outlineLevel="0" collapsed="false">
      <c r="A624" s="4" t="n">
        <v>348</v>
      </c>
      <c r="B624" s="4" t="n">
        <v>125</v>
      </c>
      <c r="C624" s="18" t="n">
        <v>1</v>
      </c>
      <c r="D624" s="21" t="n">
        <v>0</v>
      </c>
      <c r="E624" s="21" t="n">
        <v>0.01</v>
      </c>
      <c r="F624" s="21" t="n">
        <v>0</v>
      </c>
      <c r="G624" s="21" t="n">
        <v>0.02</v>
      </c>
      <c r="H624" s="21" t="n">
        <v>-0.02</v>
      </c>
      <c r="I624" s="21" t="n">
        <v>0.04</v>
      </c>
      <c r="J624" s="21" t="n">
        <v>-0.04</v>
      </c>
      <c r="K624" s="21" t="n">
        <v>0</v>
      </c>
      <c r="L624" s="21" t="n">
        <v>0.01</v>
      </c>
      <c r="M624" s="21" t="n">
        <v>0</v>
      </c>
      <c r="N624" s="21" t="n">
        <v>0.02</v>
      </c>
      <c r="O624" s="21" t="n">
        <v>-0.02</v>
      </c>
      <c r="P624" s="21" t="n">
        <v>0.04</v>
      </c>
      <c r="Q624" s="21" t="n">
        <v>-0.04</v>
      </c>
      <c r="R624" s="18" t="n">
        <f aca="false">ABS(D624)+MAX(ABS(G624),ABS(H624))+MAX(ABS(I624),ABS(J624))</f>
        <v>0.06</v>
      </c>
      <c r="S624" s="18" t="n">
        <f aca="false">ABS(K624)+MAX(ABS(N624),ABS(O624))+MAX(ABS(P624),ABS(Q624))</f>
        <v>0.06</v>
      </c>
      <c r="T624" s="18" t="n">
        <f aca="false">MAX(ABS(E624),ABS(F624))</f>
        <v>0.01</v>
      </c>
      <c r="U624" s="18" t="n">
        <f aca="false">MAX(ABS(L624),ABS(M624))</f>
        <v>0.01</v>
      </c>
    </row>
    <row r="625" customFormat="false" ht="15" hidden="false" customHeight="false" outlineLevel="0" collapsed="false">
      <c r="A625" s="4" t="n">
        <v>349</v>
      </c>
      <c r="B625" s="4" t="n">
        <v>126</v>
      </c>
      <c r="C625" s="18" t="n">
        <v>0</v>
      </c>
      <c r="D625" s="21" t="n">
        <v>0</v>
      </c>
      <c r="E625" s="21" t="n">
        <v>0.01</v>
      </c>
      <c r="F625" s="21" t="n">
        <v>0</v>
      </c>
      <c r="G625" s="21" t="n">
        <v>0.02</v>
      </c>
      <c r="H625" s="21" t="n">
        <v>-0.02</v>
      </c>
      <c r="I625" s="21" t="n">
        <v>0.04</v>
      </c>
      <c r="J625" s="21" t="n">
        <v>-0.04</v>
      </c>
      <c r="K625" s="21" t="n">
        <v>0</v>
      </c>
      <c r="L625" s="21" t="n">
        <v>0.01</v>
      </c>
      <c r="M625" s="21" t="n">
        <v>0</v>
      </c>
      <c r="N625" s="21" t="n">
        <v>0.02</v>
      </c>
      <c r="O625" s="21" t="n">
        <v>-0.02</v>
      </c>
      <c r="P625" s="21" t="n">
        <v>0.04</v>
      </c>
      <c r="Q625" s="21" t="n">
        <v>-0.04</v>
      </c>
      <c r="R625" s="18" t="n">
        <f aca="false">ABS(D625)+MAX(ABS(G625),ABS(H625))+MAX(ABS(I625),ABS(J625))</f>
        <v>0.06</v>
      </c>
      <c r="S625" s="18" t="n">
        <f aca="false">ABS(K625)+MAX(ABS(N625),ABS(O625))+MAX(ABS(P625),ABS(Q625))</f>
        <v>0.06</v>
      </c>
      <c r="T625" s="18" t="n">
        <f aca="false">MAX(ABS(E625),ABS(F625))</f>
        <v>0.01</v>
      </c>
      <c r="U625" s="18" t="n">
        <f aca="false">MAX(ABS(L625),ABS(M625))</f>
        <v>0.01</v>
      </c>
    </row>
    <row r="626" customFormat="false" ht="15" hidden="false" customHeight="false" outlineLevel="0" collapsed="false">
      <c r="A626" s="4" t="n">
        <v>349</v>
      </c>
      <c r="B626" s="4" t="n">
        <v>126</v>
      </c>
      <c r="C626" s="18" t="n">
        <v>0.25</v>
      </c>
      <c r="D626" s="21" t="n">
        <v>0</v>
      </c>
      <c r="E626" s="21" t="n">
        <v>0.01</v>
      </c>
      <c r="F626" s="21" t="n">
        <v>0</v>
      </c>
      <c r="G626" s="21" t="n">
        <v>0.02</v>
      </c>
      <c r="H626" s="21" t="n">
        <v>-0.02</v>
      </c>
      <c r="I626" s="21" t="n">
        <v>0.05</v>
      </c>
      <c r="J626" s="21" t="n">
        <v>-0.05</v>
      </c>
      <c r="K626" s="21" t="n">
        <v>0</v>
      </c>
      <c r="L626" s="21" t="n">
        <v>0.01</v>
      </c>
      <c r="M626" s="21" t="n">
        <v>0</v>
      </c>
      <c r="N626" s="21" t="n">
        <v>0.02</v>
      </c>
      <c r="O626" s="21" t="n">
        <v>-0.02</v>
      </c>
      <c r="P626" s="21" t="n">
        <v>0.05</v>
      </c>
      <c r="Q626" s="21" t="n">
        <v>-0.05</v>
      </c>
      <c r="R626" s="18" t="n">
        <f aca="false">ABS(D626)+MAX(ABS(G626),ABS(H626))+MAX(ABS(I626),ABS(J626))</f>
        <v>0.07</v>
      </c>
      <c r="S626" s="18" t="n">
        <f aca="false">ABS(K626)+MAX(ABS(N626),ABS(O626))+MAX(ABS(P626),ABS(Q626))</f>
        <v>0.07</v>
      </c>
      <c r="T626" s="18" t="n">
        <f aca="false">MAX(ABS(E626),ABS(F626))</f>
        <v>0.01</v>
      </c>
      <c r="U626" s="18" t="n">
        <f aca="false">MAX(ABS(L626),ABS(M626))</f>
        <v>0.01</v>
      </c>
    </row>
    <row r="627" customFormat="false" ht="15" hidden="false" customHeight="false" outlineLevel="0" collapsed="false">
      <c r="A627" s="4" t="n">
        <v>349</v>
      </c>
      <c r="B627" s="4" t="n">
        <v>126</v>
      </c>
      <c r="C627" s="18" t="n">
        <v>0.5</v>
      </c>
      <c r="D627" s="21" t="n">
        <v>0</v>
      </c>
      <c r="E627" s="21" t="n">
        <v>0.01</v>
      </c>
      <c r="F627" s="21" t="n">
        <v>0</v>
      </c>
      <c r="G627" s="21" t="n">
        <v>0.02</v>
      </c>
      <c r="H627" s="21" t="n">
        <v>-0.02</v>
      </c>
      <c r="I627" s="21" t="n">
        <v>0.05</v>
      </c>
      <c r="J627" s="21" t="n">
        <v>-0.05</v>
      </c>
      <c r="K627" s="21" t="n">
        <v>0</v>
      </c>
      <c r="L627" s="21" t="n">
        <v>0.01</v>
      </c>
      <c r="M627" s="21" t="n">
        <v>0</v>
      </c>
      <c r="N627" s="21" t="n">
        <v>0.02</v>
      </c>
      <c r="O627" s="21" t="n">
        <v>-0.02</v>
      </c>
      <c r="P627" s="21" t="n">
        <v>0.05</v>
      </c>
      <c r="Q627" s="21" t="n">
        <v>-0.05</v>
      </c>
      <c r="R627" s="18" t="n">
        <f aca="false">ABS(D627)+MAX(ABS(G627),ABS(H627))+MAX(ABS(I627),ABS(J627))</f>
        <v>0.07</v>
      </c>
      <c r="S627" s="18" t="n">
        <f aca="false">ABS(K627)+MAX(ABS(N627),ABS(O627))+MAX(ABS(P627),ABS(Q627))</f>
        <v>0.07</v>
      </c>
      <c r="T627" s="18" t="n">
        <f aca="false">MAX(ABS(E627),ABS(F627))</f>
        <v>0.01</v>
      </c>
      <c r="U627" s="18" t="n">
        <f aca="false">MAX(ABS(L627),ABS(M627))</f>
        <v>0.01</v>
      </c>
    </row>
    <row r="628" customFormat="false" ht="15" hidden="false" customHeight="false" outlineLevel="0" collapsed="false">
      <c r="A628" s="4" t="n">
        <v>349</v>
      </c>
      <c r="B628" s="4" t="n">
        <v>126</v>
      </c>
      <c r="C628" s="18" t="n">
        <v>0.75</v>
      </c>
      <c r="D628" s="21" t="n">
        <v>0</v>
      </c>
      <c r="E628" s="21" t="n">
        <v>0.01</v>
      </c>
      <c r="F628" s="21" t="n">
        <v>0</v>
      </c>
      <c r="G628" s="21" t="n">
        <v>0.02</v>
      </c>
      <c r="H628" s="21" t="n">
        <v>-0.02</v>
      </c>
      <c r="I628" s="21" t="n">
        <v>0.05</v>
      </c>
      <c r="J628" s="21" t="n">
        <v>-0.05</v>
      </c>
      <c r="K628" s="21" t="n">
        <v>0</v>
      </c>
      <c r="L628" s="21" t="n">
        <v>0.01</v>
      </c>
      <c r="M628" s="21" t="n">
        <v>0</v>
      </c>
      <c r="N628" s="21" t="n">
        <v>0.02</v>
      </c>
      <c r="O628" s="21" t="n">
        <v>-0.02</v>
      </c>
      <c r="P628" s="21" t="n">
        <v>0.05</v>
      </c>
      <c r="Q628" s="21" t="n">
        <v>-0.05</v>
      </c>
      <c r="R628" s="18" t="n">
        <f aca="false">ABS(D628)+MAX(ABS(G628),ABS(H628))+MAX(ABS(I628),ABS(J628))</f>
        <v>0.07</v>
      </c>
      <c r="S628" s="18" t="n">
        <f aca="false">ABS(K628)+MAX(ABS(N628),ABS(O628))+MAX(ABS(P628),ABS(Q628))</f>
        <v>0.07</v>
      </c>
      <c r="T628" s="18" t="n">
        <f aca="false">MAX(ABS(E628),ABS(F628))</f>
        <v>0.01</v>
      </c>
      <c r="U628" s="18" t="n">
        <f aca="false">MAX(ABS(L628),ABS(M628))</f>
        <v>0.01</v>
      </c>
    </row>
    <row r="629" customFormat="false" ht="15" hidden="false" customHeight="false" outlineLevel="0" collapsed="false">
      <c r="A629" s="4" t="n">
        <v>349</v>
      </c>
      <c r="B629" s="4" t="n">
        <v>126</v>
      </c>
      <c r="C629" s="18" t="n">
        <v>1</v>
      </c>
      <c r="D629" s="21" t="n">
        <v>0</v>
      </c>
      <c r="E629" s="21" t="n">
        <v>0.01</v>
      </c>
      <c r="F629" s="21" t="n">
        <v>0</v>
      </c>
      <c r="G629" s="21" t="n">
        <v>0.03</v>
      </c>
      <c r="H629" s="21" t="n">
        <v>-0.03</v>
      </c>
      <c r="I629" s="21" t="n">
        <v>0.05</v>
      </c>
      <c r="J629" s="21" t="n">
        <v>-0.05</v>
      </c>
      <c r="K629" s="21" t="n">
        <v>0</v>
      </c>
      <c r="L629" s="21" t="n">
        <v>0.01</v>
      </c>
      <c r="M629" s="21" t="n">
        <v>0</v>
      </c>
      <c r="N629" s="21" t="n">
        <v>0.03</v>
      </c>
      <c r="O629" s="21" t="n">
        <v>-0.03</v>
      </c>
      <c r="P629" s="21" t="n">
        <v>0.05</v>
      </c>
      <c r="Q629" s="21" t="n">
        <v>-0.05</v>
      </c>
      <c r="R629" s="18" t="n">
        <f aca="false">ABS(D629)+MAX(ABS(G629),ABS(H629))+MAX(ABS(I629),ABS(J629))</f>
        <v>0.08</v>
      </c>
      <c r="S629" s="18" t="n">
        <f aca="false">ABS(K629)+MAX(ABS(N629),ABS(O629))+MAX(ABS(P629),ABS(Q629))</f>
        <v>0.08</v>
      </c>
      <c r="T629" s="18" t="n">
        <f aca="false">MAX(ABS(E629),ABS(F629))</f>
        <v>0.01</v>
      </c>
      <c r="U629" s="18" t="n">
        <f aca="false">MAX(ABS(L629),ABS(M629))</f>
        <v>0.01</v>
      </c>
    </row>
    <row r="630" customFormat="false" ht="15" hidden="false" customHeight="false" outlineLevel="0" collapsed="false">
      <c r="A630" s="4" t="n">
        <v>350</v>
      </c>
      <c r="B630" s="4" t="n">
        <v>127</v>
      </c>
      <c r="C630" s="18" t="n">
        <v>0</v>
      </c>
      <c r="D630" s="21" t="n">
        <v>0</v>
      </c>
      <c r="E630" s="21" t="n">
        <v>0</v>
      </c>
      <c r="F630" s="21" t="n">
        <v>0</v>
      </c>
      <c r="G630" s="21" t="n">
        <v>0.02</v>
      </c>
      <c r="H630" s="21" t="n">
        <v>-0.02</v>
      </c>
      <c r="I630" s="21" t="n">
        <v>0.05</v>
      </c>
      <c r="J630" s="21" t="n">
        <v>-0.05</v>
      </c>
      <c r="K630" s="21" t="n">
        <v>0</v>
      </c>
      <c r="L630" s="21" t="n">
        <v>0</v>
      </c>
      <c r="M630" s="21" t="n">
        <v>0</v>
      </c>
      <c r="N630" s="21" t="n">
        <v>0.02</v>
      </c>
      <c r="O630" s="21" t="n">
        <v>-0.02</v>
      </c>
      <c r="P630" s="21" t="n">
        <v>0.05</v>
      </c>
      <c r="Q630" s="21" t="n">
        <v>-0.05</v>
      </c>
      <c r="R630" s="18" t="n">
        <f aca="false">ABS(D630)+MAX(ABS(G630),ABS(H630))+MAX(ABS(I630),ABS(J630))</f>
        <v>0.07</v>
      </c>
      <c r="S630" s="18" t="n">
        <f aca="false">ABS(K630)+MAX(ABS(N630),ABS(O630))+MAX(ABS(P630),ABS(Q630))</f>
        <v>0.07</v>
      </c>
      <c r="T630" s="18" t="n">
        <f aca="false">MAX(ABS(E630),ABS(F630))</f>
        <v>0</v>
      </c>
      <c r="U630" s="18" t="n">
        <f aca="false">MAX(ABS(L630),ABS(M630))</f>
        <v>0</v>
      </c>
    </row>
    <row r="631" customFormat="false" ht="15" hidden="false" customHeight="false" outlineLevel="0" collapsed="false">
      <c r="A631" s="4" t="n">
        <v>350</v>
      </c>
      <c r="B631" s="4" t="n">
        <v>127</v>
      </c>
      <c r="C631" s="18" t="n">
        <v>0.25</v>
      </c>
      <c r="D631" s="21" t="n">
        <v>0</v>
      </c>
      <c r="E631" s="21" t="n">
        <v>0</v>
      </c>
      <c r="F631" s="21" t="n">
        <v>0</v>
      </c>
      <c r="G631" s="21" t="n">
        <v>0.02</v>
      </c>
      <c r="H631" s="21" t="n">
        <v>-0.02</v>
      </c>
      <c r="I631" s="21" t="n">
        <v>0.05</v>
      </c>
      <c r="J631" s="21" t="n">
        <v>-0.05</v>
      </c>
      <c r="K631" s="21" t="n">
        <v>0</v>
      </c>
      <c r="L631" s="21" t="n">
        <v>0</v>
      </c>
      <c r="M631" s="21" t="n">
        <v>0</v>
      </c>
      <c r="N631" s="21" t="n">
        <v>0.02</v>
      </c>
      <c r="O631" s="21" t="n">
        <v>-0.02</v>
      </c>
      <c r="P631" s="21" t="n">
        <v>0.05</v>
      </c>
      <c r="Q631" s="21" t="n">
        <v>-0.05</v>
      </c>
      <c r="R631" s="18" t="n">
        <f aca="false">ABS(D631)+MAX(ABS(G631),ABS(H631))+MAX(ABS(I631),ABS(J631))</f>
        <v>0.07</v>
      </c>
      <c r="S631" s="18" t="n">
        <f aca="false">ABS(K631)+MAX(ABS(N631),ABS(O631))+MAX(ABS(P631),ABS(Q631))</f>
        <v>0.07</v>
      </c>
      <c r="T631" s="18" t="n">
        <f aca="false">MAX(ABS(E631),ABS(F631))</f>
        <v>0</v>
      </c>
      <c r="U631" s="18" t="n">
        <f aca="false">MAX(ABS(L631),ABS(M631))</f>
        <v>0</v>
      </c>
    </row>
    <row r="632" customFormat="false" ht="15" hidden="false" customHeight="false" outlineLevel="0" collapsed="false">
      <c r="A632" s="4" t="n">
        <v>350</v>
      </c>
      <c r="B632" s="4" t="n">
        <v>127</v>
      </c>
      <c r="C632" s="18" t="n">
        <v>0.5</v>
      </c>
      <c r="D632" s="21" t="n">
        <v>0</v>
      </c>
      <c r="E632" s="21" t="n">
        <v>0</v>
      </c>
      <c r="F632" s="21" t="n">
        <v>0</v>
      </c>
      <c r="G632" s="21" t="n">
        <v>0.02</v>
      </c>
      <c r="H632" s="21" t="n">
        <v>-0.02</v>
      </c>
      <c r="I632" s="21" t="n">
        <v>0.05</v>
      </c>
      <c r="J632" s="21" t="n">
        <v>-0.05</v>
      </c>
      <c r="K632" s="21" t="n">
        <v>0</v>
      </c>
      <c r="L632" s="21" t="n">
        <v>0</v>
      </c>
      <c r="M632" s="21" t="n">
        <v>0</v>
      </c>
      <c r="N632" s="21" t="n">
        <v>0.02</v>
      </c>
      <c r="O632" s="21" t="n">
        <v>-0.02</v>
      </c>
      <c r="P632" s="21" t="n">
        <v>0.05</v>
      </c>
      <c r="Q632" s="21" t="n">
        <v>-0.05</v>
      </c>
      <c r="R632" s="18" t="n">
        <f aca="false">ABS(D632)+MAX(ABS(G632),ABS(H632))+MAX(ABS(I632),ABS(J632))</f>
        <v>0.07</v>
      </c>
      <c r="S632" s="18" t="n">
        <f aca="false">ABS(K632)+MAX(ABS(N632),ABS(O632))+MAX(ABS(P632),ABS(Q632))</f>
        <v>0.07</v>
      </c>
      <c r="T632" s="18" t="n">
        <f aca="false">MAX(ABS(E632),ABS(F632))</f>
        <v>0</v>
      </c>
      <c r="U632" s="18" t="n">
        <f aca="false">MAX(ABS(L632),ABS(M632))</f>
        <v>0</v>
      </c>
    </row>
    <row r="633" customFormat="false" ht="15" hidden="false" customHeight="false" outlineLevel="0" collapsed="false">
      <c r="A633" s="4" t="n">
        <v>350</v>
      </c>
      <c r="B633" s="4" t="n">
        <v>127</v>
      </c>
      <c r="C633" s="18" t="n">
        <v>0.75</v>
      </c>
      <c r="D633" s="21" t="n">
        <v>0</v>
      </c>
      <c r="E633" s="21" t="n">
        <v>0</v>
      </c>
      <c r="F633" s="21" t="n">
        <v>0</v>
      </c>
      <c r="G633" s="21" t="n">
        <v>0.02</v>
      </c>
      <c r="H633" s="21" t="n">
        <v>-0.02</v>
      </c>
      <c r="I633" s="21" t="n">
        <v>0.05</v>
      </c>
      <c r="J633" s="21" t="n">
        <v>-0.05</v>
      </c>
      <c r="K633" s="21" t="n">
        <v>0</v>
      </c>
      <c r="L633" s="21" t="n">
        <v>0</v>
      </c>
      <c r="M633" s="21" t="n">
        <v>0</v>
      </c>
      <c r="N633" s="21" t="n">
        <v>0.02</v>
      </c>
      <c r="O633" s="21" t="n">
        <v>-0.02</v>
      </c>
      <c r="P633" s="21" t="n">
        <v>0.06</v>
      </c>
      <c r="Q633" s="21" t="n">
        <v>-0.06</v>
      </c>
      <c r="R633" s="18" t="n">
        <f aca="false">ABS(D633)+MAX(ABS(G633),ABS(H633))+MAX(ABS(I633),ABS(J633))</f>
        <v>0.07</v>
      </c>
      <c r="S633" s="18" t="n">
        <f aca="false">ABS(K633)+MAX(ABS(N633),ABS(O633))+MAX(ABS(P633),ABS(Q633))</f>
        <v>0.08</v>
      </c>
      <c r="T633" s="18" t="n">
        <f aca="false">MAX(ABS(E633),ABS(F633))</f>
        <v>0</v>
      </c>
      <c r="U633" s="18" t="n">
        <f aca="false">MAX(ABS(L633),ABS(M633))</f>
        <v>0</v>
      </c>
    </row>
    <row r="634" customFormat="false" ht="15" hidden="false" customHeight="false" outlineLevel="0" collapsed="false">
      <c r="A634" s="4" t="n">
        <v>350</v>
      </c>
      <c r="B634" s="4" t="n">
        <v>127</v>
      </c>
      <c r="C634" s="18" t="n">
        <v>1</v>
      </c>
      <c r="D634" s="21" t="n">
        <v>0</v>
      </c>
      <c r="E634" s="21" t="n">
        <v>0</v>
      </c>
      <c r="F634" s="21" t="n">
        <v>0</v>
      </c>
      <c r="G634" s="21" t="n">
        <v>0.02</v>
      </c>
      <c r="H634" s="21" t="n">
        <v>-0.02</v>
      </c>
      <c r="I634" s="21" t="n">
        <v>0.06</v>
      </c>
      <c r="J634" s="21" t="n">
        <v>-0.06</v>
      </c>
      <c r="K634" s="21" t="n">
        <v>0</v>
      </c>
      <c r="L634" s="21" t="n">
        <v>0</v>
      </c>
      <c r="M634" s="21" t="n">
        <v>0</v>
      </c>
      <c r="N634" s="21" t="n">
        <v>0.02</v>
      </c>
      <c r="O634" s="21" t="n">
        <v>-0.02</v>
      </c>
      <c r="P634" s="21" t="n">
        <v>0.06</v>
      </c>
      <c r="Q634" s="21" t="n">
        <v>-0.06</v>
      </c>
      <c r="R634" s="18" t="n">
        <f aca="false">ABS(D634)+MAX(ABS(G634),ABS(H634))+MAX(ABS(I634),ABS(J634))</f>
        <v>0.08</v>
      </c>
      <c r="S634" s="18" t="n">
        <f aca="false">ABS(K634)+MAX(ABS(N634),ABS(O634))+MAX(ABS(P634),ABS(Q634))</f>
        <v>0.08</v>
      </c>
      <c r="T634" s="18" t="n">
        <f aca="false">MAX(ABS(E634),ABS(F634))</f>
        <v>0</v>
      </c>
      <c r="U634" s="18" t="n">
        <f aca="false">MAX(ABS(L634),ABS(M634))</f>
        <v>0</v>
      </c>
    </row>
    <row r="635" customFormat="false" ht="15" hidden="false" customHeight="false" outlineLevel="0" collapsed="false">
      <c r="A635" s="4" t="n">
        <v>351</v>
      </c>
      <c r="B635" s="4" t="n">
        <v>128</v>
      </c>
      <c r="C635" s="18" t="n">
        <v>0</v>
      </c>
      <c r="D635" s="21" t="n">
        <v>0</v>
      </c>
      <c r="E635" s="21" t="n">
        <v>0.01</v>
      </c>
      <c r="F635" s="21" t="n">
        <v>0</v>
      </c>
      <c r="G635" s="21" t="n">
        <v>0.03</v>
      </c>
      <c r="H635" s="21" t="n">
        <v>-0.03</v>
      </c>
      <c r="I635" s="21" t="n">
        <v>0.05</v>
      </c>
      <c r="J635" s="21" t="n">
        <v>-0.05</v>
      </c>
      <c r="K635" s="21" t="n">
        <v>0</v>
      </c>
      <c r="L635" s="21" t="n">
        <v>0.01</v>
      </c>
      <c r="M635" s="21" t="n">
        <v>0</v>
      </c>
      <c r="N635" s="21" t="n">
        <v>0.02</v>
      </c>
      <c r="O635" s="21" t="n">
        <v>-0.02</v>
      </c>
      <c r="P635" s="21" t="n">
        <v>0.06</v>
      </c>
      <c r="Q635" s="21" t="n">
        <v>-0.06</v>
      </c>
      <c r="R635" s="18" t="n">
        <f aca="false">ABS(D635)+MAX(ABS(G635),ABS(H635))+MAX(ABS(I635),ABS(J635))</f>
        <v>0.08</v>
      </c>
      <c r="S635" s="18" t="n">
        <f aca="false">ABS(K635)+MAX(ABS(N635),ABS(O635))+MAX(ABS(P635),ABS(Q635))</f>
        <v>0.08</v>
      </c>
      <c r="T635" s="18" t="n">
        <f aca="false">MAX(ABS(E635),ABS(F635))</f>
        <v>0.01</v>
      </c>
      <c r="U635" s="18" t="n">
        <f aca="false">MAX(ABS(L635),ABS(M635))</f>
        <v>0.01</v>
      </c>
    </row>
    <row r="636" customFormat="false" ht="15" hidden="false" customHeight="false" outlineLevel="0" collapsed="false">
      <c r="A636" s="4" t="n">
        <v>351</v>
      </c>
      <c r="B636" s="4" t="n">
        <v>128</v>
      </c>
      <c r="C636" s="18" t="n">
        <v>0.25</v>
      </c>
      <c r="D636" s="21" t="n">
        <v>0</v>
      </c>
      <c r="E636" s="21" t="n">
        <v>0.01</v>
      </c>
      <c r="F636" s="21" t="n">
        <v>0</v>
      </c>
      <c r="G636" s="21" t="n">
        <v>0.02</v>
      </c>
      <c r="H636" s="21" t="n">
        <v>-0.02</v>
      </c>
      <c r="I636" s="21" t="n">
        <v>0.05</v>
      </c>
      <c r="J636" s="21" t="n">
        <v>-0.05</v>
      </c>
      <c r="K636" s="21" t="n">
        <v>0</v>
      </c>
      <c r="L636" s="21" t="n">
        <v>0.01</v>
      </c>
      <c r="M636" s="21" t="n">
        <v>0</v>
      </c>
      <c r="N636" s="21" t="n">
        <v>0.02</v>
      </c>
      <c r="O636" s="21" t="n">
        <v>-0.02</v>
      </c>
      <c r="P636" s="21" t="n">
        <v>0.05</v>
      </c>
      <c r="Q636" s="21" t="n">
        <v>-0.05</v>
      </c>
      <c r="R636" s="18" t="n">
        <f aca="false">ABS(D636)+MAX(ABS(G636),ABS(H636))+MAX(ABS(I636),ABS(J636))</f>
        <v>0.07</v>
      </c>
      <c r="S636" s="18" t="n">
        <f aca="false">ABS(K636)+MAX(ABS(N636),ABS(O636))+MAX(ABS(P636),ABS(Q636))</f>
        <v>0.07</v>
      </c>
      <c r="T636" s="18" t="n">
        <f aca="false">MAX(ABS(E636),ABS(F636))</f>
        <v>0.01</v>
      </c>
      <c r="U636" s="18" t="n">
        <f aca="false">MAX(ABS(L636),ABS(M636))</f>
        <v>0.01</v>
      </c>
    </row>
    <row r="637" customFormat="false" ht="15" hidden="false" customHeight="false" outlineLevel="0" collapsed="false">
      <c r="A637" s="4" t="n">
        <v>351</v>
      </c>
      <c r="B637" s="4" t="n">
        <v>128</v>
      </c>
      <c r="C637" s="18" t="n">
        <v>0.5</v>
      </c>
      <c r="D637" s="21" t="n">
        <v>0</v>
      </c>
      <c r="E637" s="21" t="n">
        <v>0.01</v>
      </c>
      <c r="F637" s="21" t="n">
        <v>0</v>
      </c>
      <c r="G637" s="21" t="n">
        <v>0.02</v>
      </c>
      <c r="H637" s="21" t="n">
        <v>-0.02</v>
      </c>
      <c r="I637" s="21" t="n">
        <v>0.05</v>
      </c>
      <c r="J637" s="21" t="n">
        <v>-0.05</v>
      </c>
      <c r="K637" s="21" t="n">
        <v>0</v>
      </c>
      <c r="L637" s="21" t="n">
        <v>0.01</v>
      </c>
      <c r="M637" s="21" t="n">
        <v>0</v>
      </c>
      <c r="N637" s="21" t="n">
        <v>0.02</v>
      </c>
      <c r="O637" s="21" t="n">
        <v>-0.02</v>
      </c>
      <c r="P637" s="21" t="n">
        <v>0.05</v>
      </c>
      <c r="Q637" s="21" t="n">
        <v>-0.05</v>
      </c>
      <c r="R637" s="18" t="n">
        <f aca="false">ABS(D637)+MAX(ABS(G637),ABS(H637))+MAX(ABS(I637),ABS(J637))</f>
        <v>0.07</v>
      </c>
      <c r="S637" s="18" t="n">
        <f aca="false">ABS(K637)+MAX(ABS(N637),ABS(O637))+MAX(ABS(P637),ABS(Q637))</f>
        <v>0.07</v>
      </c>
      <c r="T637" s="18" t="n">
        <f aca="false">MAX(ABS(E637),ABS(F637))</f>
        <v>0.01</v>
      </c>
      <c r="U637" s="18" t="n">
        <f aca="false">MAX(ABS(L637),ABS(M637))</f>
        <v>0.01</v>
      </c>
    </row>
    <row r="638" customFormat="false" ht="15" hidden="false" customHeight="false" outlineLevel="0" collapsed="false">
      <c r="A638" s="4" t="n">
        <v>351</v>
      </c>
      <c r="B638" s="4" t="n">
        <v>128</v>
      </c>
      <c r="C638" s="18" t="n">
        <v>0.75</v>
      </c>
      <c r="D638" s="21" t="n">
        <v>0</v>
      </c>
      <c r="E638" s="21" t="n">
        <v>0.01</v>
      </c>
      <c r="F638" s="21" t="n">
        <v>0</v>
      </c>
      <c r="G638" s="21" t="n">
        <v>0.02</v>
      </c>
      <c r="H638" s="21" t="n">
        <v>-0.02</v>
      </c>
      <c r="I638" s="21" t="n">
        <v>0.05</v>
      </c>
      <c r="J638" s="21" t="n">
        <v>-0.05</v>
      </c>
      <c r="K638" s="21" t="n">
        <v>0</v>
      </c>
      <c r="L638" s="21" t="n">
        <v>0.01</v>
      </c>
      <c r="M638" s="21" t="n">
        <v>0</v>
      </c>
      <c r="N638" s="21" t="n">
        <v>0.02</v>
      </c>
      <c r="O638" s="21" t="n">
        <v>-0.02</v>
      </c>
      <c r="P638" s="21" t="n">
        <v>0.05</v>
      </c>
      <c r="Q638" s="21" t="n">
        <v>-0.05</v>
      </c>
      <c r="R638" s="18" t="n">
        <f aca="false">ABS(D638)+MAX(ABS(G638),ABS(H638))+MAX(ABS(I638),ABS(J638))</f>
        <v>0.07</v>
      </c>
      <c r="S638" s="18" t="n">
        <f aca="false">ABS(K638)+MAX(ABS(N638),ABS(O638))+MAX(ABS(P638),ABS(Q638))</f>
        <v>0.07</v>
      </c>
      <c r="T638" s="18" t="n">
        <f aca="false">MAX(ABS(E638),ABS(F638))</f>
        <v>0.01</v>
      </c>
      <c r="U638" s="18" t="n">
        <f aca="false">MAX(ABS(L638),ABS(M638))</f>
        <v>0.01</v>
      </c>
    </row>
    <row r="639" customFormat="false" ht="15" hidden="false" customHeight="false" outlineLevel="0" collapsed="false">
      <c r="A639" s="4" t="n">
        <v>351</v>
      </c>
      <c r="B639" s="4" t="n">
        <v>128</v>
      </c>
      <c r="C639" s="18" t="n">
        <v>1</v>
      </c>
      <c r="D639" s="21" t="n">
        <v>0</v>
      </c>
      <c r="E639" s="21" t="n">
        <v>0.01</v>
      </c>
      <c r="F639" s="21" t="n">
        <v>0</v>
      </c>
      <c r="G639" s="21" t="n">
        <v>0.01</v>
      </c>
      <c r="H639" s="21" t="n">
        <v>-0.01</v>
      </c>
      <c r="I639" s="21" t="n">
        <v>0.04</v>
      </c>
      <c r="J639" s="21" t="n">
        <v>-0.04</v>
      </c>
      <c r="K639" s="21" t="n">
        <v>0</v>
      </c>
      <c r="L639" s="21" t="n">
        <v>0.01</v>
      </c>
      <c r="M639" s="21" t="n">
        <v>0</v>
      </c>
      <c r="N639" s="21" t="n">
        <v>0.01</v>
      </c>
      <c r="O639" s="21" t="n">
        <v>-0.01</v>
      </c>
      <c r="P639" s="21" t="n">
        <v>0.05</v>
      </c>
      <c r="Q639" s="21" t="n">
        <v>-0.05</v>
      </c>
      <c r="R639" s="18" t="n">
        <f aca="false">ABS(D639)+MAX(ABS(G639),ABS(H639))+MAX(ABS(I639),ABS(J639))</f>
        <v>0.05</v>
      </c>
      <c r="S639" s="18" t="n">
        <f aca="false">ABS(K639)+MAX(ABS(N639),ABS(O639))+MAX(ABS(P639),ABS(Q639))</f>
        <v>0.06</v>
      </c>
      <c r="T639" s="18" t="n">
        <f aca="false">MAX(ABS(E639),ABS(F639))</f>
        <v>0.01</v>
      </c>
      <c r="U639" s="18" t="n">
        <f aca="false">MAX(ABS(L639),ABS(M639))</f>
        <v>0.01</v>
      </c>
    </row>
    <row r="640" customFormat="false" ht="15" hidden="false" customHeight="false" outlineLevel="0" collapsed="false">
      <c r="A640" s="4" t="n">
        <v>352</v>
      </c>
      <c r="B640" s="4" t="n">
        <v>129</v>
      </c>
      <c r="C640" s="18" t="n">
        <v>0</v>
      </c>
      <c r="D640" s="21" t="n">
        <v>0</v>
      </c>
      <c r="E640" s="21" t="n">
        <v>0.01</v>
      </c>
      <c r="F640" s="21" t="n">
        <v>0</v>
      </c>
      <c r="G640" s="21" t="n">
        <v>0.02</v>
      </c>
      <c r="H640" s="21" t="n">
        <v>-0.02</v>
      </c>
      <c r="I640" s="21" t="n">
        <v>0.04</v>
      </c>
      <c r="J640" s="21" t="n">
        <v>-0.04</v>
      </c>
      <c r="K640" s="21" t="n">
        <v>0</v>
      </c>
      <c r="L640" s="21" t="n">
        <v>0.01</v>
      </c>
      <c r="M640" s="21" t="n">
        <v>0</v>
      </c>
      <c r="N640" s="21" t="n">
        <v>0.02</v>
      </c>
      <c r="O640" s="21" t="n">
        <v>-0.02</v>
      </c>
      <c r="P640" s="21" t="n">
        <v>0.05</v>
      </c>
      <c r="Q640" s="21" t="n">
        <v>-0.05</v>
      </c>
      <c r="R640" s="18" t="n">
        <f aca="false">ABS(D640)+MAX(ABS(G640),ABS(H640))+MAX(ABS(I640),ABS(J640))</f>
        <v>0.06</v>
      </c>
      <c r="S640" s="18" t="n">
        <f aca="false">ABS(K640)+MAX(ABS(N640),ABS(O640))+MAX(ABS(P640),ABS(Q640))</f>
        <v>0.07</v>
      </c>
      <c r="T640" s="18" t="n">
        <f aca="false">MAX(ABS(E640),ABS(F640))</f>
        <v>0.01</v>
      </c>
      <c r="U640" s="18" t="n">
        <f aca="false">MAX(ABS(L640),ABS(M640))</f>
        <v>0.01</v>
      </c>
    </row>
    <row r="641" customFormat="false" ht="15" hidden="false" customHeight="false" outlineLevel="0" collapsed="false">
      <c r="A641" s="4" t="n">
        <v>352</v>
      </c>
      <c r="B641" s="4" t="n">
        <v>129</v>
      </c>
      <c r="C641" s="18" t="n">
        <v>0.25</v>
      </c>
      <c r="D641" s="21" t="n">
        <v>0</v>
      </c>
      <c r="E641" s="21" t="n">
        <v>0.01</v>
      </c>
      <c r="F641" s="21" t="n">
        <v>0</v>
      </c>
      <c r="G641" s="21" t="n">
        <v>0.01</v>
      </c>
      <c r="H641" s="21" t="n">
        <v>-0.01</v>
      </c>
      <c r="I641" s="21" t="n">
        <v>0.04</v>
      </c>
      <c r="J641" s="21" t="n">
        <v>-0.04</v>
      </c>
      <c r="K641" s="21" t="n">
        <v>0</v>
      </c>
      <c r="L641" s="21" t="n">
        <v>0.01</v>
      </c>
      <c r="M641" s="21" t="n">
        <v>0</v>
      </c>
      <c r="N641" s="21" t="n">
        <v>0.01</v>
      </c>
      <c r="O641" s="21" t="n">
        <v>-0.01</v>
      </c>
      <c r="P641" s="21" t="n">
        <v>0.04</v>
      </c>
      <c r="Q641" s="21" t="n">
        <v>-0.04</v>
      </c>
      <c r="R641" s="18" t="n">
        <f aca="false">ABS(D641)+MAX(ABS(G641),ABS(H641))+MAX(ABS(I641),ABS(J641))</f>
        <v>0.05</v>
      </c>
      <c r="S641" s="18" t="n">
        <f aca="false">ABS(K641)+MAX(ABS(N641),ABS(O641))+MAX(ABS(P641),ABS(Q641))</f>
        <v>0.05</v>
      </c>
      <c r="T641" s="18" t="n">
        <f aca="false">MAX(ABS(E641),ABS(F641))</f>
        <v>0.01</v>
      </c>
      <c r="U641" s="18" t="n">
        <f aca="false">MAX(ABS(L641),ABS(M641))</f>
        <v>0.01</v>
      </c>
    </row>
    <row r="642" customFormat="false" ht="15" hidden="false" customHeight="false" outlineLevel="0" collapsed="false">
      <c r="A642" s="4" t="n">
        <v>352</v>
      </c>
      <c r="B642" s="4" t="n">
        <v>129</v>
      </c>
      <c r="C642" s="18" t="n">
        <v>0.5</v>
      </c>
      <c r="D642" s="21" t="n">
        <v>0</v>
      </c>
      <c r="E642" s="21" t="n">
        <v>0.01</v>
      </c>
      <c r="F642" s="21" t="n">
        <v>0</v>
      </c>
      <c r="G642" s="21" t="n">
        <v>0.01</v>
      </c>
      <c r="H642" s="21" t="n">
        <v>-0.01</v>
      </c>
      <c r="I642" s="21" t="n">
        <v>0.03</v>
      </c>
      <c r="J642" s="21" t="n">
        <v>-0.03</v>
      </c>
      <c r="K642" s="21" t="n">
        <v>0</v>
      </c>
      <c r="L642" s="21" t="n">
        <v>0.01</v>
      </c>
      <c r="M642" s="21" t="n">
        <v>0</v>
      </c>
      <c r="N642" s="21" t="n">
        <v>0</v>
      </c>
      <c r="O642" s="21" t="n">
        <v>0</v>
      </c>
      <c r="P642" s="21" t="n">
        <v>0.03</v>
      </c>
      <c r="Q642" s="21" t="n">
        <v>-0.03</v>
      </c>
      <c r="R642" s="18" t="n">
        <f aca="false">ABS(D642)+MAX(ABS(G642),ABS(H642))+MAX(ABS(I642),ABS(J642))</f>
        <v>0.04</v>
      </c>
      <c r="S642" s="18" t="n">
        <f aca="false">ABS(K642)+MAX(ABS(N642),ABS(O642))+MAX(ABS(P642),ABS(Q642))</f>
        <v>0.03</v>
      </c>
      <c r="T642" s="18" t="n">
        <f aca="false">MAX(ABS(E642),ABS(F642))</f>
        <v>0.01</v>
      </c>
      <c r="U642" s="18" t="n">
        <f aca="false">MAX(ABS(L642),ABS(M642))</f>
        <v>0.01</v>
      </c>
    </row>
    <row r="643" customFormat="false" ht="15" hidden="false" customHeight="false" outlineLevel="0" collapsed="false">
      <c r="A643" s="4" t="n">
        <v>352</v>
      </c>
      <c r="B643" s="4" t="n">
        <v>129</v>
      </c>
      <c r="C643" s="18" t="n">
        <v>0.75</v>
      </c>
      <c r="D643" s="21" t="n">
        <v>0</v>
      </c>
      <c r="E643" s="21" t="n">
        <v>0.01</v>
      </c>
      <c r="F643" s="21" t="n">
        <v>0</v>
      </c>
      <c r="G643" s="21" t="n">
        <v>0</v>
      </c>
      <c r="H643" s="21" t="n">
        <v>0</v>
      </c>
      <c r="I643" s="21" t="n">
        <v>0.02</v>
      </c>
      <c r="J643" s="21" t="n">
        <v>-0.02</v>
      </c>
      <c r="K643" s="21" t="n">
        <v>0</v>
      </c>
      <c r="L643" s="21" t="n">
        <v>0.01</v>
      </c>
      <c r="M643" s="21" t="n">
        <v>0</v>
      </c>
      <c r="N643" s="21" t="n">
        <v>0</v>
      </c>
      <c r="O643" s="21" t="n">
        <v>0</v>
      </c>
      <c r="P643" s="21" t="n">
        <v>0.02</v>
      </c>
      <c r="Q643" s="21" t="n">
        <v>-0.02</v>
      </c>
      <c r="R643" s="18" t="n">
        <f aca="false">ABS(D643)+MAX(ABS(G643),ABS(H643))+MAX(ABS(I643),ABS(J643))</f>
        <v>0.02</v>
      </c>
      <c r="S643" s="18" t="n">
        <f aca="false">ABS(K643)+MAX(ABS(N643),ABS(O643))+MAX(ABS(P643),ABS(Q643))</f>
        <v>0.02</v>
      </c>
      <c r="T643" s="18" t="n">
        <f aca="false">MAX(ABS(E643),ABS(F643))</f>
        <v>0.01</v>
      </c>
      <c r="U643" s="18" t="n">
        <f aca="false">MAX(ABS(L643),ABS(M643))</f>
        <v>0.01</v>
      </c>
    </row>
    <row r="644" customFormat="false" ht="15" hidden="false" customHeight="false" outlineLevel="0" collapsed="false">
      <c r="A644" s="4" t="n">
        <v>352</v>
      </c>
      <c r="B644" s="4" t="n">
        <v>129</v>
      </c>
      <c r="C644" s="18" t="n">
        <v>1</v>
      </c>
      <c r="D644" s="21" t="n">
        <v>0</v>
      </c>
      <c r="E644" s="21" t="n">
        <v>0.01</v>
      </c>
      <c r="F644" s="21" t="n">
        <v>0</v>
      </c>
      <c r="G644" s="21" t="n">
        <v>-0.01</v>
      </c>
      <c r="H644" s="21" t="n">
        <v>0.01</v>
      </c>
      <c r="I644" s="21" t="n">
        <v>0.01</v>
      </c>
      <c r="J644" s="21" t="n">
        <v>-0.01</v>
      </c>
      <c r="K644" s="21" t="n">
        <v>0</v>
      </c>
      <c r="L644" s="21" t="n">
        <v>0.01</v>
      </c>
      <c r="M644" s="21" t="n">
        <v>0</v>
      </c>
      <c r="N644" s="21" t="n">
        <v>-0.01</v>
      </c>
      <c r="O644" s="21" t="n">
        <v>0.01</v>
      </c>
      <c r="P644" s="21" t="n">
        <v>0.01</v>
      </c>
      <c r="Q644" s="21" t="n">
        <v>-0.01</v>
      </c>
      <c r="R644" s="18" t="n">
        <f aca="false">ABS(D644)+MAX(ABS(G644),ABS(H644))+MAX(ABS(I644),ABS(J644))</f>
        <v>0.02</v>
      </c>
      <c r="S644" s="18" t="n">
        <f aca="false">ABS(K644)+MAX(ABS(N644),ABS(O644))+MAX(ABS(P644),ABS(Q644))</f>
        <v>0.02</v>
      </c>
      <c r="T644" s="18" t="n">
        <f aca="false">MAX(ABS(E644),ABS(F644))</f>
        <v>0.01</v>
      </c>
      <c r="U644" s="18" t="n">
        <f aca="false">MAX(ABS(L644),ABS(M644))</f>
        <v>0.01</v>
      </c>
    </row>
    <row r="645" customFormat="false" ht="15" hidden="false" customHeight="false" outlineLevel="0" collapsed="false">
      <c r="A645" s="4" t="n">
        <v>353</v>
      </c>
      <c r="B645" s="4" t="n">
        <v>130</v>
      </c>
      <c r="C645" s="18" t="n">
        <v>0</v>
      </c>
      <c r="D645" s="21" t="n">
        <v>0</v>
      </c>
      <c r="E645" s="21" t="n">
        <v>0</v>
      </c>
      <c r="F645" s="21" t="n">
        <v>0</v>
      </c>
      <c r="G645" s="21" t="n">
        <v>0</v>
      </c>
      <c r="H645" s="21" t="n">
        <v>0</v>
      </c>
      <c r="I645" s="21" t="n">
        <v>0.01</v>
      </c>
      <c r="J645" s="21" t="n">
        <v>-0.01</v>
      </c>
      <c r="K645" s="21" t="n">
        <v>0</v>
      </c>
      <c r="L645" s="21" t="n">
        <v>0</v>
      </c>
      <c r="M645" s="21" t="n">
        <v>0</v>
      </c>
      <c r="N645" s="21" t="n">
        <v>0</v>
      </c>
      <c r="O645" s="21" t="n">
        <v>0</v>
      </c>
      <c r="P645" s="21" t="n">
        <v>0.01</v>
      </c>
      <c r="Q645" s="21" t="n">
        <v>-0.01</v>
      </c>
      <c r="R645" s="18" t="n">
        <f aca="false">ABS(D645)+MAX(ABS(G645),ABS(H645))+MAX(ABS(I645),ABS(J645))</f>
        <v>0.01</v>
      </c>
      <c r="S645" s="18" t="n">
        <f aca="false">ABS(K645)+MAX(ABS(N645),ABS(O645))+MAX(ABS(P645),ABS(Q645))</f>
        <v>0.01</v>
      </c>
      <c r="T645" s="18" t="n">
        <f aca="false">MAX(ABS(E645),ABS(F645))</f>
        <v>0</v>
      </c>
      <c r="U645" s="18" t="n">
        <f aca="false">MAX(ABS(L645),ABS(M645))</f>
        <v>0</v>
      </c>
    </row>
    <row r="646" customFormat="false" ht="15" hidden="false" customHeight="false" outlineLevel="0" collapsed="false">
      <c r="A646" s="4" t="n">
        <v>353</v>
      </c>
      <c r="B646" s="4" t="n">
        <v>130</v>
      </c>
      <c r="C646" s="18" t="n">
        <v>0.25</v>
      </c>
      <c r="D646" s="21" t="n">
        <v>0</v>
      </c>
      <c r="E646" s="21" t="n">
        <v>0</v>
      </c>
      <c r="F646" s="21" t="n">
        <v>0</v>
      </c>
      <c r="G646" s="21" t="n">
        <v>0</v>
      </c>
      <c r="H646" s="21" t="n">
        <v>0</v>
      </c>
      <c r="I646" s="21" t="n">
        <v>0.01</v>
      </c>
      <c r="J646" s="21" t="n">
        <v>-0.01</v>
      </c>
      <c r="K646" s="21" t="n">
        <v>0</v>
      </c>
      <c r="L646" s="21" t="n">
        <v>0</v>
      </c>
      <c r="M646" s="21" t="n">
        <v>0</v>
      </c>
      <c r="N646" s="21" t="n">
        <v>0</v>
      </c>
      <c r="O646" s="21" t="n">
        <v>0</v>
      </c>
      <c r="P646" s="21" t="n">
        <v>0.01</v>
      </c>
      <c r="Q646" s="21" t="n">
        <v>-0.01</v>
      </c>
      <c r="R646" s="18" t="n">
        <f aca="false">ABS(D646)+MAX(ABS(G646),ABS(H646))+MAX(ABS(I646),ABS(J646))</f>
        <v>0.01</v>
      </c>
      <c r="S646" s="18" t="n">
        <f aca="false">ABS(K646)+MAX(ABS(N646),ABS(O646))+MAX(ABS(P646),ABS(Q646))</f>
        <v>0.01</v>
      </c>
      <c r="T646" s="18" t="n">
        <f aca="false">MAX(ABS(E646),ABS(F646))</f>
        <v>0</v>
      </c>
      <c r="U646" s="18" t="n">
        <f aca="false">MAX(ABS(L646),ABS(M646))</f>
        <v>0</v>
      </c>
    </row>
    <row r="647" customFormat="false" ht="15" hidden="false" customHeight="false" outlineLevel="0" collapsed="false">
      <c r="A647" s="4" t="n">
        <v>353</v>
      </c>
      <c r="B647" s="4" t="n">
        <v>130</v>
      </c>
      <c r="C647" s="18" t="n">
        <v>0.5</v>
      </c>
      <c r="D647" s="21" t="n">
        <v>0</v>
      </c>
      <c r="E647" s="21" t="n">
        <v>0</v>
      </c>
      <c r="F647" s="21" t="n">
        <v>0</v>
      </c>
      <c r="G647" s="21" t="n">
        <v>0</v>
      </c>
      <c r="H647" s="21" t="n">
        <v>0</v>
      </c>
      <c r="I647" s="21" t="n">
        <v>0.01</v>
      </c>
      <c r="J647" s="21" t="n">
        <v>-0.01</v>
      </c>
      <c r="K647" s="21" t="n">
        <v>0</v>
      </c>
      <c r="L647" s="21" t="n">
        <v>0</v>
      </c>
      <c r="M647" s="21" t="n">
        <v>0</v>
      </c>
      <c r="N647" s="21" t="n">
        <v>-0.01</v>
      </c>
      <c r="O647" s="21" t="n">
        <v>0.01</v>
      </c>
      <c r="P647" s="21" t="n">
        <v>0.01</v>
      </c>
      <c r="Q647" s="21" t="n">
        <v>-0.01</v>
      </c>
      <c r="R647" s="18" t="n">
        <f aca="false">ABS(D647)+MAX(ABS(G647),ABS(H647))+MAX(ABS(I647),ABS(J647))</f>
        <v>0.01</v>
      </c>
      <c r="S647" s="18" t="n">
        <f aca="false">ABS(K647)+MAX(ABS(N647),ABS(O647))+MAX(ABS(P647),ABS(Q647))</f>
        <v>0.02</v>
      </c>
      <c r="T647" s="18" t="n">
        <f aca="false">MAX(ABS(E647),ABS(F647))</f>
        <v>0</v>
      </c>
      <c r="U647" s="18" t="n">
        <f aca="false">MAX(ABS(L647),ABS(M647))</f>
        <v>0</v>
      </c>
    </row>
    <row r="648" customFormat="false" ht="15" hidden="false" customHeight="false" outlineLevel="0" collapsed="false">
      <c r="A648" s="4" t="n">
        <v>353</v>
      </c>
      <c r="B648" s="4" t="n">
        <v>130</v>
      </c>
      <c r="C648" s="18" t="n">
        <v>0.75</v>
      </c>
      <c r="D648" s="21" t="n">
        <v>0</v>
      </c>
      <c r="E648" s="21" t="n">
        <v>0</v>
      </c>
      <c r="F648" s="21" t="n">
        <v>0</v>
      </c>
      <c r="G648" s="21" t="n">
        <v>-0.01</v>
      </c>
      <c r="H648" s="21" t="n">
        <v>0.01</v>
      </c>
      <c r="I648" s="21" t="n">
        <v>0</v>
      </c>
      <c r="J648" s="21" t="n">
        <v>0</v>
      </c>
      <c r="K648" s="21" t="n">
        <v>0</v>
      </c>
      <c r="L648" s="21" t="n">
        <v>0</v>
      </c>
      <c r="M648" s="21" t="n">
        <v>0</v>
      </c>
      <c r="N648" s="21" t="n">
        <v>-0.01</v>
      </c>
      <c r="O648" s="21" t="n">
        <v>0.01</v>
      </c>
      <c r="P648" s="21" t="n">
        <v>0</v>
      </c>
      <c r="Q648" s="21" t="n">
        <v>0</v>
      </c>
      <c r="R648" s="18" t="n">
        <f aca="false">ABS(D648)+MAX(ABS(G648),ABS(H648))+MAX(ABS(I648),ABS(J648))</f>
        <v>0.01</v>
      </c>
      <c r="S648" s="18" t="n">
        <f aca="false">ABS(K648)+MAX(ABS(N648),ABS(O648))+MAX(ABS(P648),ABS(Q648))</f>
        <v>0.01</v>
      </c>
      <c r="T648" s="18" t="n">
        <f aca="false">MAX(ABS(E648),ABS(F648))</f>
        <v>0</v>
      </c>
      <c r="U648" s="18" t="n">
        <f aca="false">MAX(ABS(L648),ABS(M648))</f>
        <v>0</v>
      </c>
    </row>
    <row r="649" customFormat="false" ht="15" hidden="false" customHeight="false" outlineLevel="0" collapsed="false">
      <c r="A649" s="4" t="n">
        <v>353</v>
      </c>
      <c r="B649" s="4" t="n">
        <v>130</v>
      </c>
      <c r="C649" s="18" t="n">
        <v>1</v>
      </c>
      <c r="D649" s="21" t="n">
        <v>0</v>
      </c>
      <c r="E649" s="21" t="n">
        <v>0</v>
      </c>
      <c r="F649" s="21" t="n">
        <v>0</v>
      </c>
      <c r="G649" s="21" t="n">
        <v>-0.01</v>
      </c>
      <c r="H649" s="21" t="n">
        <v>0.01</v>
      </c>
      <c r="I649" s="21" t="n">
        <v>0</v>
      </c>
      <c r="J649" s="21" t="n">
        <v>0</v>
      </c>
      <c r="K649" s="21" t="n">
        <v>0</v>
      </c>
      <c r="L649" s="21" t="n">
        <v>0</v>
      </c>
      <c r="M649" s="21" t="n">
        <v>0</v>
      </c>
      <c r="N649" s="21" t="n">
        <v>-0.01</v>
      </c>
      <c r="O649" s="21" t="n">
        <v>0.01</v>
      </c>
      <c r="P649" s="21" t="n">
        <v>0</v>
      </c>
      <c r="Q649" s="21" t="n">
        <v>0</v>
      </c>
      <c r="R649" s="18" t="n">
        <f aca="false">ABS(D649)+MAX(ABS(G649),ABS(H649))+MAX(ABS(I649),ABS(J649))</f>
        <v>0.01</v>
      </c>
      <c r="S649" s="18" t="n">
        <f aca="false">ABS(K649)+MAX(ABS(N649),ABS(O649))+MAX(ABS(P649),ABS(Q649))</f>
        <v>0.01</v>
      </c>
      <c r="T649" s="18" t="n">
        <f aca="false">MAX(ABS(E649),ABS(F649))</f>
        <v>0</v>
      </c>
      <c r="U649" s="18" t="n">
        <f aca="false">MAX(ABS(L649),ABS(M649))</f>
        <v>0</v>
      </c>
    </row>
    <row r="650" customFormat="false" ht="15" hidden="false" customHeight="false" outlineLevel="0" collapsed="false">
      <c r="A650" s="4" t="n">
        <v>354</v>
      </c>
      <c r="B650" s="4" t="n">
        <v>131</v>
      </c>
      <c r="C650" s="18" t="n">
        <v>0</v>
      </c>
      <c r="D650" s="21" t="n">
        <v>0</v>
      </c>
      <c r="E650" s="21" t="n">
        <v>0.02</v>
      </c>
      <c r="F650" s="21" t="n">
        <v>0.02</v>
      </c>
      <c r="G650" s="21" t="n">
        <v>-0.04</v>
      </c>
      <c r="H650" s="21" t="n">
        <v>0.04</v>
      </c>
      <c r="I650" s="21" t="n">
        <v>-0.13</v>
      </c>
      <c r="J650" s="21" t="n">
        <v>0.13</v>
      </c>
      <c r="K650" s="21" t="n">
        <v>0</v>
      </c>
      <c r="L650" s="21" t="n">
        <v>0.03</v>
      </c>
      <c r="M650" s="21" t="n">
        <v>0.03</v>
      </c>
      <c r="N650" s="21" t="n">
        <v>-0.04</v>
      </c>
      <c r="O650" s="21" t="n">
        <v>0.04</v>
      </c>
      <c r="P650" s="21" t="n">
        <v>-0.13</v>
      </c>
      <c r="Q650" s="21" t="n">
        <v>0.13</v>
      </c>
      <c r="R650" s="18" t="n">
        <f aca="false">ABS(D650)+MAX(ABS(G650),ABS(H650))+MAX(ABS(I650),ABS(J650))</f>
        <v>0.17</v>
      </c>
      <c r="S650" s="18" t="n">
        <f aca="false">ABS(K650)+MAX(ABS(N650),ABS(O650))+MAX(ABS(P650),ABS(Q650))</f>
        <v>0.17</v>
      </c>
      <c r="T650" s="18" t="n">
        <f aca="false">MAX(ABS(E650),ABS(F650))</f>
        <v>0.02</v>
      </c>
      <c r="U650" s="18" t="n">
        <f aca="false">MAX(ABS(L650),ABS(M650))</f>
        <v>0.03</v>
      </c>
    </row>
    <row r="651" customFormat="false" ht="15" hidden="false" customHeight="false" outlineLevel="0" collapsed="false">
      <c r="A651" s="4" t="n">
        <v>354</v>
      </c>
      <c r="B651" s="4" t="n">
        <v>131</v>
      </c>
      <c r="C651" s="18" t="n">
        <v>0.25</v>
      </c>
      <c r="D651" s="21" t="n">
        <v>0</v>
      </c>
      <c r="E651" s="21" t="n">
        <v>0.02</v>
      </c>
      <c r="F651" s="21" t="n">
        <v>0.02</v>
      </c>
      <c r="G651" s="21" t="n">
        <v>-0.02</v>
      </c>
      <c r="H651" s="21" t="n">
        <v>0.02</v>
      </c>
      <c r="I651" s="21" t="n">
        <v>-0.07</v>
      </c>
      <c r="J651" s="21" t="n">
        <v>0.07</v>
      </c>
      <c r="K651" s="21" t="n">
        <v>0</v>
      </c>
      <c r="L651" s="21" t="n">
        <v>0.03</v>
      </c>
      <c r="M651" s="21" t="n">
        <v>0.03</v>
      </c>
      <c r="N651" s="21" t="n">
        <v>-0.02</v>
      </c>
      <c r="O651" s="21" t="n">
        <v>0.02</v>
      </c>
      <c r="P651" s="21" t="n">
        <v>-0.07</v>
      </c>
      <c r="Q651" s="21" t="n">
        <v>0.07</v>
      </c>
      <c r="R651" s="18" t="n">
        <f aca="false">ABS(D651)+MAX(ABS(G651),ABS(H651))+MAX(ABS(I651),ABS(J651))</f>
        <v>0.09</v>
      </c>
      <c r="S651" s="18" t="n">
        <f aca="false">ABS(K651)+MAX(ABS(N651),ABS(O651))+MAX(ABS(P651),ABS(Q651))</f>
        <v>0.09</v>
      </c>
      <c r="T651" s="18" t="n">
        <f aca="false">MAX(ABS(E651),ABS(F651))</f>
        <v>0.02</v>
      </c>
      <c r="U651" s="18" t="n">
        <f aca="false">MAX(ABS(L651),ABS(M651))</f>
        <v>0.03</v>
      </c>
    </row>
    <row r="652" customFormat="false" ht="15" hidden="false" customHeight="false" outlineLevel="0" collapsed="false">
      <c r="A652" s="4" t="n">
        <v>354</v>
      </c>
      <c r="B652" s="4" t="n">
        <v>131</v>
      </c>
      <c r="C652" s="18" t="n">
        <v>0.5</v>
      </c>
      <c r="D652" s="21" t="n">
        <v>0</v>
      </c>
      <c r="E652" s="21" t="n">
        <v>0.02</v>
      </c>
      <c r="F652" s="21" t="n">
        <v>0.02</v>
      </c>
      <c r="G652" s="21" t="n">
        <v>0</v>
      </c>
      <c r="H652" s="21" t="n">
        <v>0</v>
      </c>
      <c r="I652" s="21" t="n">
        <v>-0.02</v>
      </c>
      <c r="J652" s="21" t="n">
        <v>0.02</v>
      </c>
      <c r="K652" s="21" t="n">
        <v>0</v>
      </c>
      <c r="L652" s="21" t="n">
        <v>0.03</v>
      </c>
      <c r="M652" s="21" t="n">
        <v>0.03</v>
      </c>
      <c r="N652" s="21" t="n">
        <v>0</v>
      </c>
      <c r="O652" s="21" t="n">
        <v>0</v>
      </c>
      <c r="P652" s="21" t="n">
        <v>-0.01</v>
      </c>
      <c r="Q652" s="21" t="n">
        <v>0.01</v>
      </c>
      <c r="R652" s="18" t="n">
        <f aca="false">ABS(D652)+MAX(ABS(G652),ABS(H652))+MAX(ABS(I652),ABS(J652))</f>
        <v>0.02</v>
      </c>
      <c r="S652" s="18" t="n">
        <f aca="false">ABS(K652)+MAX(ABS(N652),ABS(O652))+MAX(ABS(P652),ABS(Q652))</f>
        <v>0.01</v>
      </c>
      <c r="T652" s="18" t="n">
        <f aca="false">MAX(ABS(E652),ABS(F652))</f>
        <v>0.02</v>
      </c>
      <c r="U652" s="18" t="n">
        <f aca="false">MAX(ABS(L652),ABS(M652))</f>
        <v>0.03</v>
      </c>
    </row>
    <row r="653" customFormat="false" ht="15" hidden="false" customHeight="false" outlineLevel="0" collapsed="false">
      <c r="A653" s="4" t="n">
        <v>354</v>
      </c>
      <c r="B653" s="4" t="n">
        <v>131</v>
      </c>
      <c r="C653" s="18" t="n">
        <v>0.75</v>
      </c>
      <c r="D653" s="21" t="n">
        <v>0</v>
      </c>
      <c r="E653" s="21" t="n">
        <v>0.02</v>
      </c>
      <c r="F653" s="21" t="n">
        <v>0.02</v>
      </c>
      <c r="G653" s="21" t="n">
        <v>0.02</v>
      </c>
      <c r="H653" s="21" t="n">
        <v>-0.02</v>
      </c>
      <c r="I653" s="21" t="n">
        <v>0.03</v>
      </c>
      <c r="J653" s="21" t="n">
        <v>-0.03</v>
      </c>
      <c r="K653" s="21" t="n">
        <v>0</v>
      </c>
      <c r="L653" s="21" t="n">
        <v>0.03</v>
      </c>
      <c r="M653" s="21" t="n">
        <v>0.03</v>
      </c>
      <c r="N653" s="21" t="n">
        <v>0.02</v>
      </c>
      <c r="O653" s="21" t="n">
        <v>-0.02</v>
      </c>
      <c r="P653" s="21" t="n">
        <v>0.04</v>
      </c>
      <c r="Q653" s="21" t="n">
        <v>-0.04</v>
      </c>
      <c r="R653" s="18" t="n">
        <f aca="false">ABS(D653)+MAX(ABS(G653),ABS(H653))+MAX(ABS(I653),ABS(J653))</f>
        <v>0.05</v>
      </c>
      <c r="S653" s="18" t="n">
        <f aca="false">ABS(K653)+MAX(ABS(N653),ABS(O653))+MAX(ABS(P653),ABS(Q653))</f>
        <v>0.06</v>
      </c>
      <c r="T653" s="18" t="n">
        <f aca="false">MAX(ABS(E653),ABS(F653))</f>
        <v>0.02</v>
      </c>
      <c r="U653" s="18" t="n">
        <f aca="false">MAX(ABS(L653),ABS(M653))</f>
        <v>0.03</v>
      </c>
    </row>
    <row r="654" customFormat="false" ht="15" hidden="false" customHeight="false" outlineLevel="0" collapsed="false">
      <c r="A654" s="4" t="n">
        <v>354</v>
      </c>
      <c r="B654" s="4" t="n">
        <v>131</v>
      </c>
      <c r="C654" s="18" t="n">
        <v>1</v>
      </c>
      <c r="D654" s="21" t="n">
        <v>0</v>
      </c>
      <c r="E654" s="21" t="n">
        <v>0.02</v>
      </c>
      <c r="F654" s="21" t="n">
        <v>0.02</v>
      </c>
      <c r="G654" s="21" t="n">
        <v>0.03</v>
      </c>
      <c r="H654" s="21" t="n">
        <v>-0.03</v>
      </c>
      <c r="I654" s="21" t="n">
        <v>0.08</v>
      </c>
      <c r="J654" s="21" t="n">
        <v>-0.08</v>
      </c>
      <c r="K654" s="21" t="n">
        <v>0</v>
      </c>
      <c r="L654" s="21" t="n">
        <v>0.03</v>
      </c>
      <c r="M654" s="21" t="n">
        <v>0.03</v>
      </c>
      <c r="N654" s="21" t="n">
        <v>0.04</v>
      </c>
      <c r="O654" s="21" t="n">
        <v>-0.04</v>
      </c>
      <c r="P654" s="21" t="n">
        <v>0.1</v>
      </c>
      <c r="Q654" s="21" t="n">
        <v>-0.1</v>
      </c>
      <c r="R654" s="18" t="n">
        <f aca="false">ABS(D654)+MAX(ABS(G654),ABS(H654))+MAX(ABS(I654),ABS(J654))</f>
        <v>0.11</v>
      </c>
      <c r="S654" s="18" t="n">
        <f aca="false">ABS(K654)+MAX(ABS(N654),ABS(O654))+MAX(ABS(P654),ABS(Q654))</f>
        <v>0.14</v>
      </c>
      <c r="T654" s="18" t="n">
        <f aca="false">MAX(ABS(E654),ABS(F654))</f>
        <v>0.02</v>
      </c>
      <c r="U654" s="18" t="n">
        <f aca="false">MAX(ABS(L654),ABS(M654))</f>
        <v>0.03</v>
      </c>
    </row>
    <row r="655" customFormat="false" ht="15" hidden="false" customHeight="false" outlineLevel="0" collapsed="false">
      <c r="A655" s="4" t="n">
        <v>355</v>
      </c>
      <c r="B655" s="4" t="n">
        <v>132</v>
      </c>
      <c r="C655" s="18" t="n">
        <v>0</v>
      </c>
      <c r="D655" s="21" t="n">
        <v>0</v>
      </c>
      <c r="E655" s="21" t="n">
        <v>0</v>
      </c>
      <c r="F655" s="21" t="n">
        <v>0</v>
      </c>
      <c r="G655" s="21" t="n">
        <v>0.03</v>
      </c>
      <c r="H655" s="21" t="n">
        <v>-0.03</v>
      </c>
      <c r="I655" s="21" t="n">
        <v>0.07</v>
      </c>
      <c r="J655" s="21" t="n">
        <v>-0.07</v>
      </c>
      <c r="K655" s="21" t="n">
        <v>0</v>
      </c>
      <c r="L655" s="21" t="n">
        <v>0</v>
      </c>
      <c r="M655" s="21" t="n">
        <v>0</v>
      </c>
      <c r="N655" s="21" t="n">
        <v>0.03</v>
      </c>
      <c r="O655" s="21" t="n">
        <v>-0.03</v>
      </c>
      <c r="P655" s="21" t="n">
        <v>0.07</v>
      </c>
      <c r="Q655" s="21" t="n">
        <v>-0.07</v>
      </c>
      <c r="R655" s="18" t="n">
        <f aca="false">ABS(D655)+MAX(ABS(G655),ABS(H655))+MAX(ABS(I655),ABS(J655))</f>
        <v>0.1</v>
      </c>
      <c r="S655" s="18" t="n">
        <f aca="false">ABS(K655)+MAX(ABS(N655),ABS(O655))+MAX(ABS(P655),ABS(Q655))</f>
        <v>0.1</v>
      </c>
      <c r="T655" s="18" t="n">
        <f aca="false">MAX(ABS(E655),ABS(F655))</f>
        <v>0</v>
      </c>
      <c r="U655" s="18" t="n">
        <f aca="false">MAX(ABS(L655),ABS(M655))</f>
        <v>0</v>
      </c>
    </row>
    <row r="656" customFormat="false" ht="15" hidden="false" customHeight="false" outlineLevel="0" collapsed="false">
      <c r="A656" s="4" t="n">
        <v>355</v>
      </c>
      <c r="B656" s="4" t="n">
        <v>132</v>
      </c>
      <c r="C656" s="18" t="n">
        <v>0.25</v>
      </c>
      <c r="D656" s="21" t="n">
        <v>0</v>
      </c>
      <c r="E656" s="21" t="n">
        <v>0</v>
      </c>
      <c r="F656" s="21" t="n">
        <v>0</v>
      </c>
      <c r="G656" s="21" t="n">
        <v>0.03</v>
      </c>
      <c r="H656" s="21" t="n">
        <v>-0.03</v>
      </c>
      <c r="I656" s="21" t="n">
        <v>0.07</v>
      </c>
      <c r="J656" s="21" t="n">
        <v>-0.07</v>
      </c>
      <c r="K656" s="21" t="n">
        <v>0</v>
      </c>
      <c r="L656" s="21" t="n">
        <v>0</v>
      </c>
      <c r="M656" s="21" t="n">
        <v>0</v>
      </c>
      <c r="N656" s="21" t="n">
        <v>0.03</v>
      </c>
      <c r="O656" s="21" t="n">
        <v>-0.03</v>
      </c>
      <c r="P656" s="21" t="n">
        <v>0.07</v>
      </c>
      <c r="Q656" s="21" t="n">
        <v>-0.07</v>
      </c>
      <c r="R656" s="18" t="n">
        <f aca="false">ABS(D656)+MAX(ABS(G656),ABS(H656))+MAX(ABS(I656),ABS(J656))</f>
        <v>0.1</v>
      </c>
      <c r="S656" s="18" t="n">
        <f aca="false">ABS(K656)+MAX(ABS(N656),ABS(O656))+MAX(ABS(P656),ABS(Q656))</f>
        <v>0.1</v>
      </c>
      <c r="T656" s="18" t="n">
        <f aca="false">MAX(ABS(E656),ABS(F656))</f>
        <v>0</v>
      </c>
      <c r="U656" s="18" t="n">
        <f aca="false">MAX(ABS(L656),ABS(M656))</f>
        <v>0</v>
      </c>
    </row>
    <row r="657" customFormat="false" ht="15" hidden="false" customHeight="false" outlineLevel="0" collapsed="false">
      <c r="A657" s="4" t="n">
        <v>355</v>
      </c>
      <c r="B657" s="4" t="n">
        <v>132</v>
      </c>
      <c r="C657" s="18" t="n">
        <v>0.5</v>
      </c>
      <c r="D657" s="21" t="n">
        <v>0</v>
      </c>
      <c r="E657" s="21" t="n">
        <v>0</v>
      </c>
      <c r="F657" s="21" t="n">
        <v>0</v>
      </c>
      <c r="G657" s="21" t="n">
        <v>0.03</v>
      </c>
      <c r="H657" s="21" t="n">
        <v>-0.03</v>
      </c>
      <c r="I657" s="21" t="n">
        <v>0.07</v>
      </c>
      <c r="J657" s="21" t="n">
        <v>-0.07</v>
      </c>
      <c r="K657" s="21" t="n">
        <v>0</v>
      </c>
      <c r="L657" s="21" t="n">
        <v>0</v>
      </c>
      <c r="M657" s="21" t="n">
        <v>0</v>
      </c>
      <c r="N657" s="21" t="n">
        <v>0.03</v>
      </c>
      <c r="O657" s="21" t="n">
        <v>-0.03</v>
      </c>
      <c r="P657" s="21" t="n">
        <v>0.07</v>
      </c>
      <c r="Q657" s="21" t="n">
        <v>-0.07</v>
      </c>
      <c r="R657" s="18" t="n">
        <f aca="false">ABS(D657)+MAX(ABS(G657),ABS(H657))+MAX(ABS(I657),ABS(J657))</f>
        <v>0.1</v>
      </c>
      <c r="S657" s="18" t="n">
        <f aca="false">ABS(K657)+MAX(ABS(N657),ABS(O657))+MAX(ABS(P657),ABS(Q657))</f>
        <v>0.1</v>
      </c>
      <c r="T657" s="18" t="n">
        <f aca="false">MAX(ABS(E657),ABS(F657))</f>
        <v>0</v>
      </c>
      <c r="U657" s="18" t="n">
        <f aca="false">MAX(ABS(L657),ABS(M657))</f>
        <v>0</v>
      </c>
    </row>
    <row r="658" customFormat="false" ht="15" hidden="false" customHeight="false" outlineLevel="0" collapsed="false">
      <c r="A658" s="4" t="n">
        <v>355</v>
      </c>
      <c r="B658" s="4" t="n">
        <v>132</v>
      </c>
      <c r="C658" s="18" t="n">
        <v>0.75</v>
      </c>
      <c r="D658" s="21" t="n">
        <v>0</v>
      </c>
      <c r="E658" s="21" t="n">
        <v>0</v>
      </c>
      <c r="F658" s="21" t="n">
        <v>0</v>
      </c>
      <c r="G658" s="21" t="n">
        <v>0.03</v>
      </c>
      <c r="H658" s="21" t="n">
        <v>-0.03</v>
      </c>
      <c r="I658" s="21" t="n">
        <v>0.07</v>
      </c>
      <c r="J658" s="21" t="n">
        <v>-0.07</v>
      </c>
      <c r="K658" s="21" t="n">
        <v>0</v>
      </c>
      <c r="L658" s="21" t="n">
        <v>0</v>
      </c>
      <c r="M658" s="21" t="n">
        <v>0</v>
      </c>
      <c r="N658" s="21" t="n">
        <v>0.02</v>
      </c>
      <c r="O658" s="21" t="n">
        <v>-0.02</v>
      </c>
      <c r="P658" s="21" t="n">
        <v>0.07</v>
      </c>
      <c r="Q658" s="21" t="n">
        <v>-0.07</v>
      </c>
      <c r="R658" s="18" t="n">
        <f aca="false">ABS(D658)+MAX(ABS(G658),ABS(H658))+MAX(ABS(I658),ABS(J658))</f>
        <v>0.1</v>
      </c>
      <c r="S658" s="18" t="n">
        <f aca="false">ABS(K658)+MAX(ABS(N658),ABS(O658))+MAX(ABS(P658),ABS(Q658))</f>
        <v>0.09</v>
      </c>
      <c r="T658" s="18" t="n">
        <f aca="false">MAX(ABS(E658),ABS(F658))</f>
        <v>0</v>
      </c>
      <c r="U658" s="18" t="n">
        <f aca="false">MAX(ABS(L658),ABS(M658))</f>
        <v>0</v>
      </c>
    </row>
    <row r="659" customFormat="false" ht="15" hidden="false" customHeight="false" outlineLevel="0" collapsed="false">
      <c r="A659" s="4" t="n">
        <v>355</v>
      </c>
      <c r="B659" s="4" t="n">
        <v>132</v>
      </c>
      <c r="C659" s="18" t="n">
        <v>1</v>
      </c>
      <c r="D659" s="21" t="n">
        <v>0</v>
      </c>
      <c r="E659" s="21" t="n">
        <v>0</v>
      </c>
      <c r="F659" s="21" t="n">
        <v>0</v>
      </c>
      <c r="G659" s="21" t="n">
        <v>0.03</v>
      </c>
      <c r="H659" s="21" t="n">
        <v>-0.03</v>
      </c>
      <c r="I659" s="21" t="n">
        <v>0.07</v>
      </c>
      <c r="J659" s="21" t="n">
        <v>-0.07</v>
      </c>
      <c r="K659" s="21" t="n">
        <v>0</v>
      </c>
      <c r="L659" s="21" t="n">
        <v>0</v>
      </c>
      <c r="M659" s="21" t="n">
        <v>0</v>
      </c>
      <c r="N659" s="21" t="n">
        <v>0.02</v>
      </c>
      <c r="O659" s="21" t="n">
        <v>-0.02</v>
      </c>
      <c r="P659" s="21" t="n">
        <v>0.07</v>
      </c>
      <c r="Q659" s="21" t="n">
        <v>-0.07</v>
      </c>
      <c r="R659" s="18" t="n">
        <f aca="false">ABS(D659)+MAX(ABS(G659),ABS(H659))+MAX(ABS(I659),ABS(J659))</f>
        <v>0.1</v>
      </c>
      <c r="S659" s="18" t="n">
        <f aca="false">ABS(K659)+MAX(ABS(N659),ABS(O659))+MAX(ABS(P659),ABS(Q659))</f>
        <v>0.09</v>
      </c>
      <c r="T659" s="18" t="n">
        <f aca="false">MAX(ABS(E659),ABS(F659))</f>
        <v>0</v>
      </c>
      <c r="U659" s="18" t="n">
        <f aca="false">MAX(ABS(L659),ABS(M659))</f>
        <v>0</v>
      </c>
    </row>
    <row r="660" customFormat="false" ht="15" hidden="false" customHeight="false" outlineLevel="0" collapsed="false">
      <c r="A660" s="4" t="n">
        <v>356</v>
      </c>
      <c r="B660" s="4" t="n">
        <v>133</v>
      </c>
      <c r="C660" s="18" t="n">
        <v>0</v>
      </c>
      <c r="D660" s="21" t="n">
        <v>0</v>
      </c>
      <c r="E660" s="21" t="n">
        <v>0</v>
      </c>
      <c r="F660" s="21" t="n">
        <v>0</v>
      </c>
      <c r="G660" s="21" t="n">
        <v>0.02</v>
      </c>
      <c r="H660" s="21" t="n">
        <v>-0.02</v>
      </c>
      <c r="I660" s="21" t="n">
        <v>0.07</v>
      </c>
      <c r="J660" s="21" t="n">
        <v>-0.07</v>
      </c>
      <c r="K660" s="21" t="n">
        <v>0</v>
      </c>
      <c r="L660" s="21" t="n">
        <v>0</v>
      </c>
      <c r="M660" s="21" t="n">
        <v>0</v>
      </c>
      <c r="N660" s="21" t="n">
        <v>0.02</v>
      </c>
      <c r="O660" s="21" t="n">
        <v>-0.02</v>
      </c>
      <c r="P660" s="21" t="n">
        <v>0.07</v>
      </c>
      <c r="Q660" s="21" t="n">
        <v>-0.07</v>
      </c>
      <c r="R660" s="18" t="n">
        <f aca="false">ABS(D660)+MAX(ABS(G660),ABS(H660))+MAX(ABS(I660),ABS(J660))</f>
        <v>0.09</v>
      </c>
      <c r="S660" s="18" t="n">
        <f aca="false">ABS(K660)+MAX(ABS(N660),ABS(O660))+MAX(ABS(P660),ABS(Q660))</f>
        <v>0.09</v>
      </c>
      <c r="T660" s="18" t="n">
        <f aca="false">MAX(ABS(E660),ABS(F660))</f>
        <v>0</v>
      </c>
      <c r="U660" s="18" t="n">
        <f aca="false">MAX(ABS(L660),ABS(M660))</f>
        <v>0</v>
      </c>
    </row>
    <row r="661" customFormat="false" ht="15" hidden="false" customHeight="false" outlineLevel="0" collapsed="false">
      <c r="A661" s="4" t="n">
        <v>356</v>
      </c>
      <c r="B661" s="4" t="n">
        <v>133</v>
      </c>
      <c r="C661" s="18" t="n">
        <v>0.25</v>
      </c>
      <c r="D661" s="21" t="n">
        <v>0</v>
      </c>
      <c r="E661" s="21" t="n">
        <v>0</v>
      </c>
      <c r="F661" s="21" t="n">
        <v>0</v>
      </c>
      <c r="G661" s="21" t="n">
        <v>0.02</v>
      </c>
      <c r="H661" s="21" t="n">
        <v>-0.02</v>
      </c>
      <c r="I661" s="21" t="n">
        <v>0.08</v>
      </c>
      <c r="J661" s="21" t="n">
        <v>-0.08</v>
      </c>
      <c r="K661" s="21" t="n">
        <v>0</v>
      </c>
      <c r="L661" s="21" t="n">
        <v>0</v>
      </c>
      <c r="M661" s="21" t="n">
        <v>0</v>
      </c>
      <c r="N661" s="21" t="n">
        <v>0.02</v>
      </c>
      <c r="O661" s="21" t="n">
        <v>-0.02</v>
      </c>
      <c r="P661" s="21" t="n">
        <v>0.08</v>
      </c>
      <c r="Q661" s="21" t="n">
        <v>-0.08</v>
      </c>
      <c r="R661" s="18" t="n">
        <f aca="false">ABS(D661)+MAX(ABS(G661),ABS(H661))+MAX(ABS(I661),ABS(J661))</f>
        <v>0.1</v>
      </c>
      <c r="S661" s="18" t="n">
        <f aca="false">ABS(K661)+MAX(ABS(N661),ABS(O661))+MAX(ABS(P661),ABS(Q661))</f>
        <v>0.1</v>
      </c>
      <c r="T661" s="18" t="n">
        <f aca="false">MAX(ABS(E661),ABS(F661))</f>
        <v>0</v>
      </c>
      <c r="U661" s="18" t="n">
        <f aca="false">MAX(ABS(L661),ABS(M661))</f>
        <v>0</v>
      </c>
    </row>
    <row r="662" customFormat="false" ht="15" hidden="false" customHeight="false" outlineLevel="0" collapsed="false">
      <c r="A662" s="4" t="n">
        <v>356</v>
      </c>
      <c r="B662" s="4" t="n">
        <v>133</v>
      </c>
      <c r="C662" s="18" t="n">
        <v>0.5</v>
      </c>
      <c r="D662" s="21" t="n">
        <v>0</v>
      </c>
      <c r="E662" s="21" t="n">
        <v>0</v>
      </c>
      <c r="F662" s="21" t="n">
        <v>0</v>
      </c>
      <c r="G662" s="21" t="n">
        <v>0.02</v>
      </c>
      <c r="H662" s="21" t="n">
        <v>-0.02</v>
      </c>
      <c r="I662" s="21" t="n">
        <v>0.08</v>
      </c>
      <c r="J662" s="21" t="n">
        <v>-0.08</v>
      </c>
      <c r="K662" s="21" t="n">
        <v>0</v>
      </c>
      <c r="L662" s="21" t="n">
        <v>0</v>
      </c>
      <c r="M662" s="21" t="n">
        <v>0</v>
      </c>
      <c r="N662" s="21" t="n">
        <v>0.02</v>
      </c>
      <c r="O662" s="21" t="n">
        <v>-0.02</v>
      </c>
      <c r="P662" s="21" t="n">
        <v>0.08</v>
      </c>
      <c r="Q662" s="21" t="n">
        <v>-0.08</v>
      </c>
      <c r="R662" s="18" t="n">
        <f aca="false">ABS(D662)+MAX(ABS(G662),ABS(H662))+MAX(ABS(I662),ABS(J662))</f>
        <v>0.1</v>
      </c>
      <c r="S662" s="18" t="n">
        <f aca="false">ABS(K662)+MAX(ABS(N662),ABS(O662))+MAX(ABS(P662),ABS(Q662))</f>
        <v>0.1</v>
      </c>
      <c r="T662" s="18" t="n">
        <f aca="false">MAX(ABS(E662),ABS(F662))</f>
        <v>0</v>
      </c>
      <c r="U662" s="18" t="n">
        <f aca="false">MAX(ABS(L662),ABS(M662))</f>
        <v>0</v>
      </c>
    </row>
    <row r="663" customFormat="false" ht="15" hidden="false" customHeight="false" outlineLevel="0" collapsed="false">
      <c r="A663" s="4" t="n">
        <v>356</v>
      </c>
      <c r="B663" s="4" t="n">
        <v>133</v>
      </c>
      <c r="C663" s="18" t="n">
        <v>0.75</v>
      </c>
      <c r="D663" s="21" t="n">
        <v>0</v>
      </c>
      <c r="E663" s="21" t="n">
        <v>0</v>
      </c>
      <c r="F663" s="21" t="n">
        <v>0</v>
      </c>
      <c r="G663" s="21" t="n">
        <v>0.03</v>
      </c>
      <c r="H663" s="21" t="n">
        <v>-0.03</v>
      </c>
      <c r="I663" s="21" t="n">
        <v>0.08</v>
      </c>
      <c r="J663" s="21" t="n">
        <v>-0.08</v>
      </c>
      <c r="K663" s="21" t="n">
        <v>0</v>
      </c>
      <c r="L663" s="21" t="n">
        <v>0</v>
      </c>
      <c r="M663" s="21" t="n">
        <v>0</v>
      </c>
      <c r="N663" s="21" t="n">
        <v>0.03</v>
      </c>
      <c r="O663" s="21" t="n">
        <v>-0.03</v>
      </c>
      <c r="P663" s="21" t="n">
        <v>0.09</v>
      </c>
      <c r="Q663" s="21" t="n">
        <v>-0.09</v>
      </c>
      <c r="R663" s="18" t="n">
        <f aca="false">ABS(D663)+MAX(ABS(G663),ABS(H663))+MAX(ABS(I663),ABS(J663))</f>
        <v>0.11</v>
      </c>
      <c r="S663" s="18" t="n">
        <f aca="false">ABS(K663)+MAX(ABS(N663),ABS(O663))+MAX(ABS(P663),ABS(Q663))</f>
        <v>0.12</v>
      </c>
      <c r="T663" s="18" t="n">
        <f aca="false">MAX(ABS(E663),ABS(F663))</f>
        <v>0</v>
      </c>
      <c r="U663" s="18" t="n">
        <f aca="false">MAX(ABS(L663),ABS(M663))</f>
        <v>0</v>
      </c>
    </row>
    <row r="664" customFormat="false" ht="15" hidden="false" customHeight="false" outlineLevel="0" collapsed="false">
      <c r="A664" s="4" t="n">
        <v>356</v>
      </c>
      <c r="B664" s="4" t="n">
        <v>133</v>
      </c>
      <c r="C664" s="18" t="n">
        <v>1</v>
      </c>
      <c r="D664" s="21" t="n">
        <v>0</v>
      </c>
      <c r="E664" s="21" t="n">
        <v>0</v>
      </c>
      <c r="F664" s="21" t="n">
        <v>0</v>
      </c>
      <c r="G664" s="21" t="n">
        <v>0.03</v>
      </c>
      <c r="H664" s="21" t="n">
        <v>-0.03</v>
      </c>
      <c r="I664" s="21" t="n">
        <v>0.09</v>
      </c>
      <c r="J664" s="21" t="n">
        <v>-0.09</v>
      </c>
      <c r="K664" s="21" t="n">
        <v>0</v>
      </c>
      <c r="L664" s="21" t="n">
        <v>0</v>
      </c>
      <c r="M664" s="21" t="n">
        <v>0</v>
      </c>
      <c r="N664" s="21" t="n">
        <v>0.03</v>
      </c>
      <c r="O664" s="21" t="n">
        <v>-0.03</v>
      </c>
      <c r="P664" s="21" t="n">
        <v>0.1</v>
      </c>
      <c r="Q664" s="21" t="n">
        <v>-0.1</v>
      </c>
      <c r="R664" s="18" t="n">
        <f aca="false">ABS(D664)+MAX(ABS(G664),ABS(H664))+MAX(ABS(I664),ABS(J664))</f>
        <v>0.12</v>
      </c>
      <c r="S664" s="18" t="n">
        <f aca="false">ABS(K664)+MAX(ABS(N664),ABS(O664))+MAX(ABS(P664),ABS(Q664))</f>
        <v>0.13</v>
      </c>
      <c r="T664" s="18" t="n">
        <f aca="false">MAX(ABS(E664),ABS(F664))</f>
        <v>0</v>
      </c>
      <c r="U664" s="18" t="n">
        <f aca="false">MAX(ABS(L664),ABS(M664))</f>
        <v>0</v>
      </c>
    </row>
    <row r="665" customFormat="false" ht="15" hidden="false" customHeight="false" outlineLevel="0" collapsed="false">
      <c r="A665" s="4" t="n">
        <v>357</v>
      </c>
      <c r="B665" s="4" t="n">
        <v>134</v>
      </c>
      <c r="C665" s="18" t="n">
        <v>0</v>
      </c>
      <c r="D665" s="21" t="n">
        <v>0</v>
      </c>
      <c r="E665" s="21" t="n">
        <v>0.01</v>
      </c>
      <c r="F665" s="21" t="n">
        <v>0.01</v>
      </c>
      <c r="G665" s="21" t="n">
        <v>0.03</v>
      </c>
      <c r="H665" s="21" t="n">
        <v>-0.03</v>
      </c>
      <c r="I665" s="21" t="n">
        <v>0.09</v>
      </c>
      <c r="J665" s="21" t="n">
        <v>-0.09</v>
      </c>
      <c r="K665" s="21" t="n">
        <v>0</v>
      </c>
      <c r="L665" s="21" t="n">
        <v>0.01</v>
      </c>
      <c r="M665" s="21" t="n">
        <v>0.01</v>
      </c>
      <c r="N665" s="21" t="n">
        <v>0.03</v>
      </c>
      <c r="O665" s="21" t="n">
        <v>-0.03</v>
      </c>
      <c r="P665" s="21" t="n">
        <v>0.08</v>
      </c>
      <c r="Q665" s="21" t="n">
        <v>-0.08</v>
      </c>
      <c r="R665" s="18" t="n">
        <f aca="false">ABS(D665)+MAX(ABS(G665),ABS(H665))+MAX(ABS(I665),ABS(J665))</f>
        <v>0.12</v>
      </c>
      <c r="S665" s="18" t="n">
        <f aca="false">ABS(K665)+MAX(ABS(N665),ABS(O665))+MAX(ABS(P665),ABS(Q665))</f>
        <v>0.11</v>
      </c>
      <c r="T665" s="18" t="n">
        <f aca="false">MAX(ABS(E665),ABS(F665))</f>
        <v>0.01</v>
      </c>
      <c r="U665" s="18" t="n">
        <f aca="false">MAX(ABS(L665),ABS(M665))</f>
        <v>0.01</v>
      </c>
    </row>
    <row r="666" customFormat="false" ht="15" hidden="false" customHeight="false" outlineLevel="0" collapsed="false">
      <c r="A666" s="4" t="n">
        <v>357</v>
      </c>
      <c r="B666" s="4" t="n">
        <v>134</v>
      </c>
      <c r="C666" s="18" t="n">
        <v>0.25</v>
      </c>
      <c r="D666" s="21" t="n">
        <v>0</v>
      </c>
      <c r="E666" s="21" t="n">
        <v>0.01</v>
      </c>
      <c r="F666" s="21" t="n">
        <v>0.01</v>
      </c>
      <c r="G666" s="21" t="n">
        <v>0.03</v>
      </c>
      <c r="H666" s="21" t="n">
        <v>-0.03</v>
      </c>
      <c r="I666" s="21" t="n">
        <v>0.08</v>
      </c>
      <c r="J666" s="21" t="n">
        <v>-0.08</v>
      </c>
      <c r="K666" s="21" t="n">
        <v>0</v>
      </c>
      <c r="L666" s="21" t="n">
        <v>0.01</v>
      </c>
      <c r="M666" s="21" t="n">
        <v>0.01</v>
      </c>
      <c r="N666" s="21" t="n">
        <v>0.02</v>
      </c>
      <c r="O666" s="21" t="n">
        <v>-0.02</v>
      </c>
      <c r="P666" s="21" t="n">
        <v>0.07</v>
      </c>
      <c r="Q666" s="21" t="n">
        <v>-0.07</v>
      </c>
      <c r="R666" s="18" t="n">
        <f aca="false">ABS(D666)+MAX(ABS(G666),ABS(H666))+MAX(ABS(I666),ABS(J666))</f>
        <v>0.11</v>
      </c>
      <c r="S666" s="18" t="n">
        <f aca="false">ABS(K666)+MAX(ABS(N666),ABS(O666))+MAX(ABS(P666),ABS(Q666))</f>
        <v>0.09</v>
      </c>
      <c r="T666" s="18" t="n">
        <f aca="false">MAX(ABS(E666),ABS(F666))</f>
        <v>0.01</v>
      </c>
      <c r="U666" s="18" t="n">
        <f aca="false">MAX(ABS(L666),ABS(M666))</f>
        <v>0.01</v>
      </c>
    </row>
    <row r="667" customFormat="false" ht="15" hidden="false" customHeight="false" outlineLevel="0" collapsed="false">
      <c r="A667" s="4" t="n">
        <v>357</v>
      </c>
      <c r="B667" s="4" t="n">
        <v>134</v>
      </c>
      <c r="C667" s="18" t="n">
        <v>0.5</v>
      </c>
      <c r="D667" s="21" t="n">
        <v>0</v>
      </c>
      <c r="E667" s="21" t="n">
        <v>0.01</v>
      </c>
      <c r="F667" s="21" t="n">
        <v>0.01</v>
      </c>
      <c r="G667" s="21" t="n">
        <v>0.02</v>
      </c>
      <c r="H667" s="21" t="n">
        <v>-0.02</v>
      </c>
      <c r="I667" s="21" t="n">
        <v>0.06</v>
      </c>
      <c r="J667" s="21" t="n">
        <v>-0.06</v>
      </c>
      <c r="K667" s="21" t="n">
        <v>0</v>
      </c>
      <c r="L667" s="21" t="n">
        <v>0.01</v>
      </c>
      <c r="M667" s="21" t="n">
        <v>0.01</v>
      </c>
      <c r="N667" s="21" t="n">
        <v>0.02</v>
      </c>
      <c r="O667" s="21" t="n">
        <v>-0.02</v>
      </c>
      <c r="P667" s="21" t="n">
        <v>0.06</v>
      </c>
      <c r="Q667" s="21" t="n">
        <v>-0.06</v>
      </c>
      <c r="R667" s="18" t="n">
        <f aca="false">ABS(D667)+MAX(ABS(G667),ABS(H667))+MAX(ABS(I667),ABS(J667))</f>
        <v>0.08</v>
      </c>
      <c r="S667" s="18" t="n">
        <f aca="false">ABS(K667)+MAX(ABS(N667),ABS(O667))+MAX(ABS(P667),ABS(Q667))</f>
        <v>0.08</v>
      </c>
      <c r="T667" s="18" t="n">
        <f aca="false">MAX(ABS(E667),ABS(F667))</f>
        <v>0.01</v>
      </c>
      <c r="U667" s="18" t="n">
        <f aca="false">MAX(ABS(L667),ABS(M667))</f>
        <v>0.01</v>
      </c>
    </row>
    <row r="668" customFormat="false" ht="15" hidden="false" customHeight="false" outlineLevel="0" collapsed="false">
      <c r="A668" s="4" t="n">
        <v>357</v>
      </c>
      <c r="B668" s="4" t="n">
        <v>134</v>
      </c>
      <c r="C668" s="18" t="n">
        <v>0.75</v>
      </c>
      <c r="D668" s="21" t="n">
        <v>0</v>
      </c>
      <c r="E668" s="21" t="n">
        <v>0.01</v>
      </c>
      <c r="F668" s="21" t="n">
        <v>0.01</v>
      </c>
      <c r="G668" s="21" t="n">
        <v>0.02</v>
      </c>
      <c r="H668" s="21" t="n">
        <v>-0.02</v>
      </c>
      <c r="I668" s="21" t="n">
        <v>0.05</v>
      </c>
      <c r="J668" s="21" t="n">
        <v>-0.05</v>
      </c>
      <c r="K668" s="21" t="n">
        <v>0</v>
      </c>
      <c r="L668" s="21" t="n">
        <v>0.01</v>
      </c>
      <c r="M668" s="21" t="n">
        <v>0.01</v>
      </c>
      <c r="N668" s="21" t="n">
        <v>0.02</v>
      </c>
      <c r="O668" s="21" t="n">
        <v>-0.02</v>
      </c>
      <c r="P668" s="21" t="n">
        <v>0.05</v>
      </c>
      <c r="Q668" s="21" t="n">
        <v>-0.05</v>
      </c>
      <c r="R668" s="18" t="n">
        <f aca="false">ABS(D668)+MAX(ABS(G668),ABS(H668))+MAX(ABS(I668),ABS(J668))</f>
        <v>0.07</v>
      </c>
      <c r="S668" s="18" t="n">
        <f aca="false">ABS(K668)+MAX(ABS(N668),ABS(O668))+MAX(ABS(P668),ABS(Q668))</f>
        <v>0.07</v>
      </c>
      <c r="T668" s="18" t="n">
        <f aca="false">MAX(ABS(E668),ABS(F668))</f>
        <v>0.01</v>
      </c>
      <c r="U668" s="18" t="n">
        <f aca="false">MAX(ABS(L668),ABS(M668))</f>
        <v>0.01</v>
      </c>
    </row>
    <row r="669" customFormat="false" ht="15" hidden="false" customHeight="false" outlineLevel="0" collapsed="false">
      <c r="A669" s="4" t="n">
        <v>357</v>
      </c>
      <c r="B669" s="4" t="n">
        <v>134</v>
      </c>
      <c r="C669" s="18" t="n">
        <v>1</v>
      </c>
      <c r="D669" s="21" t="n">
        <v>0</v>
      </c>
      <c r="E669" s="21" t="n">
        <v>0.01</v>
      </c>
      <c r="F669" s="21" t="n">
        <v>0.01</v>
      </c>
      <c r="G669" s="21" t="n">
        <v>0.02</v>
      </c>
      <c r="H669" s="21" t="n">
        <v>-0.02</v>
      </c>
      <c r="I669" s="21" t="n">
        <v>0.03</v>
      </c>
      <c r="J669" s="21" t="n">
        <v>-0.03</v>
      </c>
      <c r="K669" s="21" t="n">
        <v>0</v>
      </c>
      <c r="L669" s="21" t="n">
        <v>0.01</v>
      </c>
      <c r="M669" s="21" t="n">
        <v>0.01</v>
      </c>
      <c r="N669" s="21" t="n">
        <v>0.02</v>
      </c>
      <c r="O669" s="21" t="n">
        <v>-0.02</v>
      </c>
      <c r="P669" s="21" t="n">
        <v>0.04</v>
      </c>
      <c r="Q669" s="21" t="n">
        <v>-0.04</v>
      </c>
      <c r="R669" s="18" t="n">
        <f aca="false">ABS(D669)+MAX(ABS(G669),ABS(H669))+MAX(ABS(I669),ABS(J669))</f>
        <v>0.05</v>
      </c>
      <c r="S669" s="18" t="n">
        <f aca="false">ABS(K669)+MAX(ABS(N669),ABS(O669))+MAX(ABS(P669),ABS(Q669))</f>
        <v>0.06</v>
      </c>
      <c r="T669" s="18" t="n">
        <f aca="false">MAX(ABS(E669),ABS(F669))</f>
        <v>0.01</v>
      </c>
      <c r="U669" s="18" t="n">
        <f aca="false">MAX(ABS(L669),ABS(M669))</f>
        <v>0.01</v>
      </c>
    </row>
    <row r="670" customFormat="false" ht="15" hidden="false" customHeight="false" outlineLevel="0" collapsed="false">
      <c r="A670" s="4" t="n">
        <v>358</v>
      </c>
      <c r="B670" s="4" t="n">
        <v>135</v>
      </c>
      <c r="C670" s="18" t="n">
        <v>0</v>
      </c>
      <c r="D670" s="21" t="n">
        <v>0</v>
      </c>
      <c r="E670" s="21" t="n">
        <v>0.01</v>
      </c>
      <c r="F670" s="21" t="n">
        <v>0.01</v>
      </c>
      <c r="G670" s="21" t="n">
        <v>0.02</v>
      </c>
      <c r="H670" s="21" t="n">
        <v>-0.02</v>
      </c>
      <c r="I670" s="21" t="n">
        <v>0.03</v>
      </c>
      <c r="J670" s="21" t="n">
        <v>-0.03</v>
      </c>
      <c r="K670" s="21" t="n">
        <v>0</v>
      </c>
      <c r="L670" s="21" t="n">
        <v>0.01</v>
      </c>
      <c r="M670" s="21" t="n">
        <v>0.01</v>
      </c>
      <c r="N670" s="21" t="n">
        <v>0.02</v>
      </c>
      <c r="O670" s="21" t="n">
        <v>-0.02</v>
      </c>
      <c r="P670" s="21" t="n">
        <v>0.04</v>
      </c>
      <c r="Q670" s="21" t="n">
        <v>-0.04</v>
      </c>
      <c r="R670" s="18" t="n">
        <f aca="false">ABS(D670)+MAX(ABS(G670),ABS(H670))+MAX(ABS(I670),ABS(J670))</f>
        <v>0.05</v>
      </c>
      <c r="S670" s="18" t="n">
        <f aca="false">ABS(K670)+MAX(ABS(N670),ABS(O670))+MAX(ABS(P670),ABS(Q670))</f>
        <v>0.06</v>
      </c>
      <c r="T670" s="18" t="n">
        <f aca="false">MAX(ABS(E670),ABS(F670))</f>
        <v>0.01</v>
      </c>
      <c r="U670" s="18" t="n">
        <f aca="false">MAX(ABS(L670),ABS(M670))</f>
        <v>0.01</v>
      </c>
    </row>
    <row r="671" customFormat="false" ht="15" hidden="false" customHeight="false" outlineLevel="0" collapsed="false">
      <c r="A671" s="4" t="n">
        <v>358</v>
      </c>
      <c r="B671" s="4" t="n">
        <v>135</v>
      </c>
      <c r="C671" s="18" t="n">
        <v>0.25</v>
      </c>
      <c r="D671" s="21" t="n">
        <v>0</v>
      </c>
      <c r="E671" s="21" t="n">
        <v>0.01</v>
      </c>
      <c r="F671" s="21" t="n">
        <v>0.01</v>
      </c>
      <c r="G671" s="21" t="n">
        <v>0.01</v>
      </c>
      <c r="H671" s="21" t="n">
        <v>-0.01</v>
      </c>
      <c r="I671" s="21" t="n">
        <v>0.01</v>
      </c>
      <c r="J671" s="21" t="n">
        <v>-0.01</v>
      </c>
      <c r="K671" s="21" t="n">
        <v>0</v>
      </c>
      <c r="L671" s="21" t="n">
        <v>0.01</v>
      </c>
      <c r="M671" s="21" t="n">
        <v>0.01</v>
      </c>
      <c r="N671" s="21" t="n">
        <v>0.01</v>
      </c>
      <c r="O671" s="21" t="n">
        <v>-0.01</v>
      </c>
      <c r="P671" s="21" t="n">
        <v>0.01</v>
      </c>
      <c r="Q671" s="21" t="n">
        <v>-0.01</v>
      </c>
      <c r="R671" s="18" t="n">
        <f aca="false">ABS(D671)+MAX(ABS(G671),ABS(H671))+MAX(ABS(I671),ABS(J671))</f>
        <v>0.02</v>
      </c>
      <c r="S671" s="18" t="n">
        <f aca="false">ABS(K671)+MAX(ABS(N671),ABS(O671))+MAX(ABS(P671),ABS(Q671))</f>
        <v>0.02</v>
      </c>
      <c r="T671" s="18" t="n">
        <f aca="false">MAX(ABS(E671),ABS(F671))</f>
        <v>0.01</v>
      </c>
      <c r="U671" s="18" t="n">
        <f aca="false">MAX(ABS(L671),ABS(M671))</f>
        <v>0.01</v>
      </c>
    </row>
    <row r="672" customFormat="false" ht="15" hidden="false" customHeight="false" outlineLevel="0" collapsed="false">
      <c r="A672" s="4" t="n">
        <v>358</v>
      </c>
      <c r="B672" s="4" t="n">
        <v>135</v>
      </c>
      <c r="C672" s="18" t="n">
        <v>0.5</v>
      </c>
      <c r="D672" s="21" t="n">
        <v>0</v>
      </c>
      <c r="E672" s="21" t="n">
        <v>0.01</v>
      </c>
      <c r="F672" s="21" t="n">
        <v>0.01</v>
      </c>
      <c r="G672" s="21" t="n">
        <v>0</v>
      </c>
      <c r="H672" s="21" t="n">
        <v>0</v>
      </c>
      <c r="I672" s="21" t="n">
        <v>-0.02</v>
      </c>
      <c r="J672" s="21" t="n">
        <v>0.02</v>
      </c>
      <c r="K672" s="21" t="n">
        <v>0</v>
      </c>
      <c r="L672" s="21" t="n">
        <v>0.01</v>
      </c>
      <c r="M672" s="21" t="n">
        <v>0.01</v>
      </c>
      <c r="N672" s="21" t="n">
        <v>0</v>
      </c>
      <c r="O672" s="21" t="n">
        <v>0</v>
      </c>
      <c r="P672" s="21" t="n">
        <v>-0.01</v>
      </c>
      <c r="Q672" s="21" t="n">
        <v>0.01</v>
      </c>
      <c r="R672" s="18" t="n">
        <f aca="false">ABS(D672)+MAX(ABS(G672),ABS(H672))+MAX(ABS(I672),ABS(J672))</f>
        <v>0.02</v>
      </c>
      <c r="S672" s="18" t="n">
        <f aca="false">ABS(K672)+MAX(ABS(N672),ABS(O672))+MAX(ABS(P672),ABS(Q672))</f>
        <v>0.01</v>
      </c>
      <c r="T672" s="18" t="n">
        <f aca="false">MAX(ABS(E672),ABS(F672))</f>
        <v>0.01</v>
      </c>
      <c r="U672" s="18" t="n">
        <f aca="false">MAX(ABS(L672),ABS(M672))</f>
        <v>0.01</v>
      </c>
    </row>
    <row r="673" customFormat="false" ht="15" hidden="false" customHeight="false" outlineLevel="0" collapsed="false">
      <c r="A673" s="4" t="n">
        <v>358</v>
      </c>
      <c r="B673" s="4" t="n">
        <v>135</v>
      </c>
      <c r="C673" s="18" t="n">
        <v>0.75</v>
      </c>
      <c r="D673" s="21" t="n">
        <v>0</v>
      </c>
      <c r="E673" s="21" t="n">
        <v>0.01</v>
      </c>
      <c r="F673" s="21" t="n">
        <v>0.01</v>
      </c>
      <c r="G673" s="21" t="n">
        <v>-0.01</v>
      </c>
      <c r="H673" s="21" t="n">
        <v>0.01</v>
      </c>
      <c r="I673" s="21" t="n">
        <v>-0.05</v>
      </c>
      <c r="J673" s="21" t="n">
        <v>0.05</v>
      </c>
      <c r="K673" s="21" t="n">
        <v>0</v>
      </c>
      <c r="L673" s="21" t="n">
        <v>0.01</v>
      </c>
      <c r="M673" s="21" t="n">
        <v>0.01</v>
      </c>
      <c r="N673" s="21" t="n">
        <v>-0.01</v>
      </c>
      <c r="O673" s="21" t="n">
        <v>0.01</v>
      </c>
      <c r="P673" s="21" t="n">
        <v>-0.04</v>
      </c>
      <c r="Q673" s="21" t="n">
        <v>0.04</v>
      </c>
      <c r="R673" s="18" t="n">
        <f aca="false">ABS(D673)+MAX(ABS(G673),ABS(H673))+MAX(ABS(I673),ABS(J673))</f>
        <v>0.06</v>
      </c>
      <c r="S673" s="18" t="n">
        <f aca="false">ABS(K673)+MAX(ABS(N673),ABS(O673))+MAX(ABS(P673),ABS(Q673))</f>
        <v>0.05</v>
      </c>
      <c r="T673" s="18" t="n">
        <f aca="false">MAX(ABS(E673),ABS(F673))</f>
        <v>0.01</v>
      </c>
      <c r="U673" s="18" t="n">
        <f aca="false">MAX(ABS(L673),ABS(M673))</f>
        <v>0.01</v>
      </c>
    </row>
    <row r="674" customFormat="false" ht="15" hidden="false" customHeight="false" outlineLevel="0" collapsed="false">
      <c r="A674" s="4" t="n">
        <v>358</v>
      </c>
      <c r="B674" s="4" t="n">
        <v>135</v>
      </c>
      <c r="C674" s="18" t="n">
        <v>1</v>
      </c>
      <c r="D674" s="21" t="n">
        <v>0</v>
      </c>
      <c r="E674" s="21" t="n">
        <v>0.01</v>
      </c>
      <c r="F674" s="21" t="n">
        <v>0.01</v>
      </c>
      <c r="G674" s="21" t="n">
        <v>-0.02</v>
      </c>
      <c r="H674" s="21" t="n">
        <v>0.02</v>
      </c>
      <c r="I674" s="21" t="n">
        <v>-0.08</v>
      </c>
      <c r="J674" s="21" t="n">
        <v>0.08</v>
      </c>
      <c r="K674" s="21" t="n">
        <v>0</v>
      </c>
      <c r="L674" s="21" t="n">
        <v>0.01</v>
      </c>
      <c r="M674" s="21" t="n">
        <v>0.01</v>
      </c>
      <c r="N674" s="21" t="n">
        <v>-0.01</v>
      </c>
      <c r="O674" s="21" t="n">
        <v>0.01</v>
      </c>
      <c r="P674" s="21" t="n">
        <v>-0.06</v>
      </c>
      <c r="Q674" s="21" t="n">
        <v>0.06</v>
      </c>
      <c r="R674" s="18" t="n">
        <f aca="false">ABS(D674)+MAX(ABS(G674),ABS(H674))+MAX(ABS(I674),ABS(J674))</f>
        <v>0.1</v>
      </c>
      <c r="S674" s="18" t="n">
        <f aca="false">ABS(K674)+MAX(ABS(N674),ABS(O674))+MAX(ABS(P674),ABS(Q674))</f>
        <v>0.07</v>
      </c>
      <c r="T674" s="18" t="n">
        <f aca="false">MAX(ABS(E674),ABS(F674))</f>
        <v>0.01</v>
      </c>
      <c r="U674" s="18" t="n">
        <f aca="false">MAX(ABS(L674),ABS(M674))</f>
        <v>0.01</v>
      </c>
    </row>
    <row r="675" customFormat="false" ht="15" hidden="false" customHeight="false" outlineLevel="0" collapsed="false">
      <c r="A675" s="4" t="n">
        <v>359</v>
      </c>
      <c r="B675" s="4" t="n">
        <v>136</v>
      </c>
      <c r="C675" s="18" t="n">
        <v>0</v>
      </c>
      <c r="D675" s="21" t="n">
        <v>0</v>
      </c>
      <c r="E675" s="21" t="n">
        <v>0.07</v>
      </c>
      <c r="F675" s="21" t="n">
        <v>0.05</v>
      </c>
      <c r="G675" s="21" t="n">
        <v>-0.02</v>
      </c>
      <c r="H675" s="21" t="n">
        <v>0.02</v>
      </c>
      <c r="I675" s="21" t="n">
        <v>-0.07</v>
      </c>
      <c r="J675" s="21" t="n">
        <v>0.07</v>
      </c>
      <c r="K675" s="21" t="n">
        <v>0</v>
      </c>
      <c r="L675" s="21" t="n">
        <v>0.07</v>
      </c>
      <c r="M675" s="21" t="n">
        <v>0.05</v>
      </c>
      <c r="N675" s="21" t="n">
        <v>-0.02</v>
      </c>
      <c r="O675" s="21" t="n">
        <v>0.02</v>
      </c>
      <c r="P675" s="21" t="n">
        <v>-0.1</v>
      </c>
      <c r="Q675" s="21" t="n">
        <v>0.1</v>
      </c>
      <c r="R675" s="18" t="n">
        <f aca="false">ABS(D675)+MAX(ABS(G675),ABS(H675))+MAX(ABS(I675),ABS(J675))</f>
        <v>0.09</v>
      </c>
      <c r="S675" s="18" t="n">
        <f aca="false">ABS(K675)+MAX(ABS(N675),ABS(O675))+MAX(ABS(P675),ABS(Q675))</f>
        <v>0.12</v>
      </c>
      <c r="T675" s="18" t="n">
        <f aca="false">MAX(ABS(E675),ABS(F675))</f>
        <v>0.07</v>
      </c>
      <c r="U675" s="18" t="n">
        <f aca="false">MAX(ABS(L675),ABS(M675))</f>
        <v>0.07</v>
      </c>
    </row>
    <row r="676" customFormat="false" ht="15" hidden="false" customHeight="false" outlineLevel="0" collapsed="false">
      <c r="A676" s="4" t="n">
        <v>359</v>
      </c>
      <c r="B676" s="4" t="n">
        <v>136</v>
      </c>
      <c r="C676" s="18" t="n">
        <v>0.25</v>
      </c>
      <c r="D676" s="21" t="n">
        <v>0</v>
      </c>
      <c r="E676" s="21" t="n">
        <v>0.07</v>
      </c>
      <c r="F676" s="21" t="n">
        <v>0.05</v>
      </c>
      <c r="G676" s="21" t="n">
        <v>-0.04</v>
      </c>
      <c r="H676" s="21" t="n">
        <v>0.04</v>
      </c>
      <c r="I676" s="21" t="n">
        <v>-0.13</v>
      </c>
      <c r="J676" s="21" t="n">
        <v>0.13</v>
      </c>
      <c r="K676" s="21" t="n">
        <v>0</v>
      </c>
      <c r="L676" s="21" t="n">
        <v>0.07</v>
      </c>
      <c r="M676" s="21" t="n">
        <v>0.05</v>
      </c>
      <c r="N676" s="21" t="n">
        <v>-0.05</v>
      </c>
      <c r="O676" s="21" t="n">
        <v>0.05</v>
      </c>
      <c r="P676" s="21" t="n">
        <v>-0.15</v>
      </c>
      <c r="Q676" s="21" t="n">
        <v>0.15</v>
      </c>
      <c r="R676" s="18" t="n">
        <f aca="false">ABS(D676)+MAX(ABS(G676),ABS(H676))+MAX(ABS(I676),ABS(J676))</f>
        <v>0.17</v>
      </c>
      <c r="S676" s="18" t="n">
        <f aca="false">ABS(K676)+MAX(ABS(N676),ABS(O676))+MAX(ABS(P676),ABS(Q676))</f>
        <v>0.2</v>
      </c>
      <c r="T676" s="18" t="n">
        <f aca="false">MAX(ABS(E676),ABS(F676))</f>
        <v>0.07</v>
      </c>
      <c r="U676" s="18" t="n">
        <f aca="false">MAX(ABS(L676),ABS(M676))</f>
        <v>0.07</v>
      </c>
    </row>
    <row r="677" customFormat="false" ht="15" hidden="false" customHeight="false" outlineLevel="0" collapsed="false">
      <c r="A677" s="4" t="n">
        <v>359</v>
      </c>
      <c r="B677" s="4" t="n">
        <v>136</v>
      </c>
      <c r="C677" s="18" t="n">
        <v>0.5</v>
      </c>
      <c r="D677" s="21" t="n">
        <v>0</v>
      </c>
      <c r="E677" s="21" t="n">
        <v>0.07</v>
      </c>
      <c r="F677" s="21" t="n">
        <v>0.05</v>
      </c>
      <c r="G677" s="21" t="n">
        <v>-0.07</v>
      </c>
      <c r="H677" s="21" t="n">
        <v>0.07</v>
      </c>
      <c r="I677" s="21" t="n">
        <v>-0.18</v>
      </c>
      <c r="J677" s="21" t="n">
        <v>0.18</v>
      </c>
      <c r="K677" s="21" t="n">
        <v>0</v>
      </c>
      <c r="L677" s="21" t="n">
        <v>0.07</v>
      </c>
      <c r="M677" s="21" t="n">
        <v>0.05</v>
      </c>
      <c r="N677" s="21" t="n">
        <v>-0.08</v>
      </c>
      <c r="O677" s="21" t="n">
        <v>0.08</v>
      </c>
      <c r="P677" s="21" t="n">
        <v>-0.2</v>
      </c>
      <c r="Q677" s="21" t="n">
        <v>0.2</v>
      </c>
      <c r="R677" s="18" t="n">
        <f aca="false">ABS(D677)+MAX(ABS(G677),ABS(H677))+MAX(ABS(I677),ABS(J677))</f>
        <v>0.25</v>
      </c>
      <c r="S677" s="18" t="n">
        <f aca="false">ABS(K677)+MAX(ABS(N677),ABS(O677))+MAX(ABS(P677),ABS(Q677))</f>
        <v>0.28</v>
      </c>
      <c r="T677" s="18" t="n">
        <f aca="false">MAX(ABS(E677),ABS(F677))</f>
        <v>0.07</v>
      </c>
      <c r="U677" s="18" t="n">
        <f aca="false">MAX(ABS(L677),ABS(M677))</f>
        <v>0.07</v>
      </c>
    </row>
    <row r="678" customFormat="false" ht="15" hidden="false" customHeight="false" outlineLevel="0" collapsed="false">
      <c r="A678" s="4" t="n">
        <v>359</v>
      </c>
      <c r="B678" s="4" t="n">
        <v>136</v>
      </c>
      <c r="C678" s="18" t="n">
        <v>0.75</v>
      </c>
      <c r="D678" s="21" t="n">
        <v>0</v>
      </c>
      <c r="E678" s="21" t="n">
        <v>0.07</v>
      </c>
      <c r="F678" s="21" t="n">
        <v>0.05</v>
      </c>
      <c r="G678" s="21" t="n">
        <v>-0.1</v>
      </c>
      <c r="H678" s="21" t="n">
        <v>0.1</v>
      </c>
      <c r="I678" s="21" t="n">
        <v>-0.24</v>
      </c>
      <c r="J678" s="21" t="n">
        <v>0.24</v>
      </c>
      <c r="K678" s="21" t="n">
        <v>0</v>
      </c>
      <c r="L678" s="21" t="n">
        <v>0.07</v>
      </c>
      <c r="M678" s="21" t="n">
        <v>0.05</v>
      </c>
      <c r="N678" s="21" t="n">
        <v>-0.1</v>
      </c>
      <c r="O678" s="21" t="n">
        <v>0.1</v>
      </c>
      <c r="P678" s="21" t="n">
        <v>-0.25</v>
      </c>
      <c r="Q678" s="21" t="n">
        <v>0.25</v>
      </c>
      <c r="R678" s="18" t="n">
        <f aca="false">ABS(D678)+MAX(ABS(G678),ABS(H678))+MAX(ABS(I678),ABS(J678))</f>
        <v>0.34</v>
      </c>
      <c r="S678" s="18" t="n">
        <f aca="false">ABS(K678)+MAX(ABS(N678),ABS(O678))+MAX(ABS(P678),ABS(Q678))</f>
        <v>0.35</v>
      </c>
      <c r="T678" s="18" t="n">
        <f aca="false">MAX(ABS(E678),ABS(F678))</f>
        <v>0.07</v>
      </c>
      <c r="U678" s="18" t="n">
        <f aca="false">MAX(ABS(L678),ABS(M678))</f>
        <v>0.07</v>
      </c>
    </row>
    <row r="679" customFormat="false" ht="15" hidden="false" customHeight="false" outlineLevel="0" collapsed="false">
      <c r="A679" s="4" t="n">
        <v>359</v>
      </c>
      <c r="B679" s="4" t="n">
        <v>136</v>
      </c>
      <c r="C679" s="18" t="n">
        <v>1</v>
      </c>
      <c r="D679" s="21" t="n">
        <v>0</v>
      </c>
      <c r="E679" s="21" t="n">
        <v>0.07</v>
      </c>
      <c r="F679" s="21" t="n">
        <v>0.05</v>
      </c>
      <c r="G679" s="21" t="n">
        <v>-0.13</v>
      </c>
      <c r="H679" s="21" t="n">
        <v>0.13</v>
      </c>
      <c r="I679" s="21" t="n">
        <v>-0.29</v>
      </c>
      <c r="J679" s="21" t="n">
        <v>0.29</v>
      </c>
      <c r="K679" s="21" t="n">
        <v>0</v>
      </c>
      <c r="L679" s="21" t="n">
        <v>0.07</v>
      </c>
      <c r="M679" s="21" t="n">
        <v>0.05</v>
      </c>
      <c r="N679" s="21" t="n">
        <v>-0.13</v>
      </c>
      <c r="O679" s="21" t="n">
        <v>0.13</v>
      </c>
      <c r="P679" s="21" t="n">
        <v>-0.31</v>
      </c>
      <c r="Q679" s="21" t="n">
        <v>0.31</v>
      </c>
      <c r="R679" s="18" t="n">
        <f aca="false">ABS(D679)+MAX(ABS(G679),ABS(H679))+MAX(ABS(I679),ABS(J679))</f>
        <v>0.42</v>
      </c>
      <c r="S679" s="18" t="n">
        <f aca="false">ABS(K679)+MAX(ABS(N679),ABS(O679))+MAX(ABS(P679),ABS(Q679))</f>
        <v>0.44</v>
      </c>
      <c r="T679" s="18" t="n">
        <f aca="false">MAX(ABS(E679),ABS(F679))</f>
        <v>0.07</v>
      </c>
      <c r="U679" s="18" t="n">
        <f aca="false">MAX(ABS(L679),ABS(M679))</f>
        <v>0.07</v>
      </c>
    </row>
    <row r="680" customFormat="false" ht="15" hidden="false" customHeight="false" outlineLevel="0" collapsed="false">
      <c r="A680" s="4" t="n">
        <v>360</v>
      </c>
      <c r="B680" s="4" t="n">
        <v>137</v>
      </c>
      <c r="C680" s="18" t="n">
        <v>0</v>
      </c>
      <c r="D680" s="21" t="n">
        <v>0</v>
      </c>
      <c r="E680" s="21" t="n">
        <v>0</v>
      </c>
      <c r="F680" s="21" t="n">
        <v>0</v>
      </c>
      <c r="G680" s="21" t="n">
        <v>0.01</v>
      </c>
      <c r="H680" s="21" t="n">
        <v>-0.01</v>
      </c>
      <c r="I680" s="21" t="n">
        <v>0</v>
      </c>
      <c r="J680" s="21" t="n">
        <v>0</v>
      </c>
      <c r="K680" s="21" t="n">
        <v>0</v>
      </c>
      <c r="L680" s="21" t="n">
        <v>0</v>
      </c>
      <c r="M680" s="21" t="n">
        <v>0</v>
      </c>
      <c r="N680" s="21" t="n">
        <v>0.01</v>
      </c>
      <c r="O680" s="21" t="n">
        <v>-0.01</v>
      </c>
      <c r="P680" s="21" t="n">
        <v>0</v>
      </c>
      <c r="Q680" s="21" t="n">
        <v>0</v>
      </c>
      <c r="R680" s="18" t="n">
        <f aca="false">ABS(D680)+MAX(ABS(G680),ABS(H680))+MAX(ABS(I680),ABS(J680))</f>
        <v>0.01</v>
      </c>
      <c r="S680" s="18" t="n">
        <f aca="false">ABS(K680)+MAX(ABS(N680),ABS(O680))+MAX(ABS(P680),ABS(Q680))</f>
        <v>0.01</v>
      </c>
      <c r="T680" s="18" t="n">
        <f aca="false">MAX(ABS(E680),ABS(F680))</f>
        <v>0</v>
      </c>
      <c r="U680" s="18" t="n">
        <f aca="false">MAX(ABS(L680),ABS(M680))</f>
        <v>0</v>
      </c>
    </row>
    <row r="681" customFormat="false" ht="15" hidden="false" customHeight="false" outlineLevel="0" collapsed="false">
      <c r="A681" s="4" t="n">
        <v>360</v>
      </c>
      <c r="B681" s="4" t="n">
        <v>137</v>
      </c>
      <c r="C681" s="18" t="n">
        <v>0.25</v>
      </c>
      <c r="D681" s="21" t="n">
        <v>0</v>
      </c>
      <c r="E681" s="21" t="n">
        <v>0</v>
      </c>
      <c r="F681" s="21" t="n">
        <v>0</v>
      </c>
      <c r="G681" s="21" t="n">
        <v>0</v>
      </c>
      <c r="H681" s="21" t="n">
        <v>0</v>
      </c>
      <c r="I681" s="21" t="n">
        <v>0</v>
      </c>
      <c r="J681" s="21" t="n">
        <v>0</v>
      </c>
      <c r="K681" s="21" t="n">
        <v>0</v>
      </c>
      <c r="L681" s="21" t="n">
        <v>0</v>
      </c>
      <c r="M681" s="21" t="n">
        <v>0</v>
      </c>
      <c r="N681" s="21" t="n">
        <v>0</v>
      </c>
      <c r="O681" s="21" t="n">
        <v>0</v>
      </c>
      <c r="P681" s="21" t="n">
        <v>0</v>
      </c>
      <c r="Q681" s="21" t="n">
        <v>0</v>
      </c>
      <c r="R681" s="18" t="n">
        <f aca="false">ABS(D681)+MAX(ABS(G681),ABS(H681))+MAX(ABS(I681),ABS(J681))</f>
        <v>0</v>
      </c>
      <c r="S681" s="18" t="n">
        <f aca="false">ABS(K681)+MAX(ABS(N681),ABS(O681))+MAX(ABS(P681),ABS(Q681))</f>
        <v>0</v>
      </c>
      <c r="T681" s="18" t="n">
        <f aca="false">MAX(ABS(E681),ABS(F681))</f>
        <v>0</v>
      </c>
      <c r="U681" s="18" t="n">
        <f aca="false">MAX(ABS(L681),ABS(M681))</f>
        <v>0</v>
      </c>
    </row>
    <row r="682" customFormat="false" ht="15" hidden="false" customHeight="false" outlineLevel="0" collapsed="false">
      <c r="A682" s="4" t="n">
        <v>360</v>
      </c>
      <c r="B682" s="4" t="n">
        <v>137</v>
      </c>
      <c r="C682" s="18" t="n">
        <v>0.5</v>
      </c>
      <c r="D682" s="21" t="n">
        <v>0</v>
      </c>
      <c r="E682" s="21" t="n">
        <v>0</v>
      </c>
      <c r="F682" s="21" t="n">
        <v>0</v>
      </c>
      <c r="G682" s="21" t="n">
        <v>0</v>
      </c>
      <c r="H682" s="21" t="n">
        <v>0</v>
      </c>
      <c r="I682" s="21" t="n">
        <v>0</v>
      </c>
      <c r="J682" s="21" t="n">
        <v>0</v>
      </c>
      <c r="K682" s="21" t="n">
        <v>0</v>
      </c>
      <c r="L682" s="21" t="n">
        <v>0</v>
      </c>
      <c r="M682" s="21" t="n">
        <v>0</v>
      </c>
      <c r="N682" s="21" t="n">
        <v>0</v>
      </c>
      <c r="O682" s="21" t="n">
        <v>0</v>
      </c>
      <c r="P682" s="21" t="n">
        <v>0</v>
      </c>
      <c r="Q682" s="21" t="n">
        <v>0</v>
      </c>
      <c r="R682" s="18" t="n">
        <f aca="false">ABS(D682)+MAX(ABS(G682),ABS(H682))+MAX(ABS(I682),ABS(J682))</f>
        <v>0</v>
      </c>
      <c r="S682" s="18" t="n">
        <f aca="false">ABS(K682)+MAX(ABS(N682),ABS(O682))+MAX(ABS(P682),ABS(Q682))</f>
        <v>0</v>
      </c>
      <c r="T682" s="18" t="n">
        <f aca="false">MAX(ABS(E682),ABS(F682))</f>
        <v>0</v>
      </c>
      <c r="U682" s="18" t="n">
        <f aca="false">MAX(ABS(L682),ABS(M682))</f>
        <v>0</v>
      </c>
    </row>
    <row r="683" customFormat="false" ht="15" hidden="false" customHeight="false" outlineLevel="0" collapsed="false">
      <c r="A683" s="4" t="n">
        <v>360</v>
      </c>
      <c r="B683" s="4" t="n">
        <v>137</v>
      </c>
      <c r="C683" s="18" t="n">
        <v>0.75</v>
      </c>
      <c r="D683" s="21" t="n">
        <v>0</v>
      </c>
      <c r="E683" s="21" t="n">
        <v>0</v>
      </c>
      <c r="F683" s="21" t="n">
        <v>0</v>
      </c>
      <c r="G683" s="21" t="n">
        <v>0</v>
      </c>
      <c r="H683" s="21" t="n">
        <v>0</v>
      </c>
      <c r="I683" s="21" t="n">
        <v>0</v>
      </c>
      <c r="J683" s="21" t="n">
        <v>0</v>
      </c>
      <c r="K683" s="21" t="n">
        <v>0</v>
      </c>
      <c r="L683" s="21" t="n">
        <v>0</v>
      </c>
      <c r="M683" s="21" t="n">
        <v>0</v>
      </c>
      <c r="N683" s="21" t="n">
        <v>0</v>
      </c>
      <c r="O683" s="21" t="n">
        <v>0</v>
      </c>
      <c r="P683" s="21" t="n">
        <v>0</v>
      </c>
      <c r="Q683" s="21" t="n">
        <v>0</v>
      </c>
      <c r="R683" s="18" t="n">
        <f aca="false">ABS(D683)+MAX(ABS(G683),ABS(H683))+MAX(ABS(I683),ABS(J683))</f>
        <v>0</v>
      </c>
      <c r="S683" s="18" t="n">
        <f aca="false">ABS(K683)+MAX(ABS(N683),ABS(O683))+MAX(ABS(P683),ABS(Q683))</f>
        <v>0</v>
      </c>
      <c r="T683" s="18" t="n">
        <f aca="false">MAX(ABS(E683),ABS(F683))</f>
        <v>0</v>
      </c>
      <c r="U683" s="18" t="n">
        <f aca="false">MAX(ABS(L683),ABS(M683))</f>
        <v>0</v>
      </c>
    </row>
    <row r="684" customFormat="false" ht="15" hidden="false" customHeight="false" outlineLevel="0" collapsed="false">
      <c r="A684" s="4" t="n">
        <v>360</v>
      </c>
      <c r="B684" s="4" t="n">
        <v>137</v>
      </c>
      <c r="C684" s="18" t="n">
        <v>1</v>
      </c>
      <c r="D684" s="21" t="n">
        <v>0</v>
      </c>
      <c r="E684" s="21" t="n">
        <v>0</v>
      </c>
      <c r="F684" s="21" t="n">
        <v>0</v>
      </c>
      <c r="G684" s="21" t="n">
        <v>-0.01</v>
      </c>
      <c r="H684" s="21" t="n">
        <v>0.01</v>
      </c>
      <c r="I684" s="21" t="n">
        <v>0</v>
      </c>
      <c r="J684" s="21" t="n">
        <v>0</v>
      </c>
      <c r="K684" s="21" t="n">
        <v>0</v>
      </c>
      <c r="L684" s="21" t="n">
        <v>0</v>
      </c>
      <c r="M684" s="21" t="n">
        <v>0</v>
      </c>
      <c r="N684" s="21" t="n">
        <v>-0.01</v>
      </c>
      <c r="O684" s="21" t="n">
        <v>0.01</v>
      </c>
      <c r="P684" s="21" t="n">
        <v>0</v>
      </c>
      <c r="Q684" s="21" t="n">
        <v>0</v>
      </c>
      <c r="R684" s="18" t="n">
        <f aca="false">ABS(D684)+MAX(ABS(G684),ABS(H684))+MAX(ABS(I684),ABS(J684))</f>
        <v>0.01</v>
      </c>
      <c r="S684" s="18" t="n">
        <f aca="false">ABS(K684)+MAX(ABS(N684),ABS(O684))+MAX(ABS(P684),ABS(Q684))</f>
        <v>0.01</v>
      </c>
      <c r="T684" s="18" t="n">
        <f aca="false">MAX(ABS(E684),ABS(F684))</f>
        <v>0</v>
      </c>
      <c r="U684" s="18" t="n">
        <f aca="false">MAX(ABS(L684),ABS(M684))</f>
        <v>0</v>
      </c>
    </row>
    <row r="685" customFormat="false" ht="15" hidden="false" customHeight="false" outlineLevel="0" collapsed="false">
      <c r="A685" s="4" t="n">
        <v>361</v>
      </c>
      <c r="B685" s="4" t="n">
        <v>138</v>
      </c>
      <c r="C685" s="18" t="n">
        <v>0</v>
      </c>
      <c r="D685" s="21" t="n">
        <v>0</v>
      </c>
      <c r="E685" s="21" t="n">
        <v>0</v>
      </c>
      <c r="F685" s="21" t="n">
        <v>0</v>
      </c>
      <c r="G685" s="21" t="n">
        <v>0.01</v>
      </c>
      <c r="H685" s="21" t="n">
        <v>-0.01</v>
      </c>
      <c r="I685" s="21" t="n">
        <v>0</v>
      </c>
      <c r="J685" s="21" t="n">
        <v>0</v>
      </c>
      <c r="K685" s="21" t="n">
        <v>0</v>
      </c>
      <c r="L685" s="21" t="n">
        <v>0</v>
      </c>
      <c r="M685" s="21" t="n">
        <v>0</v>
      </c>
      <c r="N685" s="21" t="n">
        <v>0.01</v>
      </c>
      <c r="O685" s="21" t="n">
        <v>-0.01</v>
      </c>
      <c r="P685" s="21" t="n">
        <v>0</v>
      </c>
      <c r="Q685" s="21" t="n">
        <v>0</v>
      </c>
      <c r="R685" s="18" t="n">
        <f aca="false">ABS(D685)+MAX(ABS(G685),ABS(H685))+MAX(ABS(I685),ABS(J685))</f>
        <v>0.01</v>
      </c>
      <c r="S685" s="18" t="n">
        <f aca="false">ABS(K685)+MAX(ABS(N685),ABS(O685))+MAX(ABS(P685),ABS(Q685))</f>
        <v>0.01</v>
      </c>
      <c r="T685" s="18" t="n">
        <f aca="false">MAX(ABS(E685),ABS(F685))</f>
        <v>0</v>
      </c>
      <c r="U685" s="18" t="n">
        <f aca="false">MAX(ABS(L685),ABS(M685))</f>
        <v>0</v>
      </c>
    </row>
    <row r="686" customFormat="false" ht="15" hidden="false" customHeight="false" outlineLevel="0" collapsed="false">
      <c r="A686" s="4" t="n">
        <v>361</v>
      </c>
      <c r="B686" s="4" t="n">
        <v>138</v>
      </c>
      <c r="C686" s="18" t="n">
        <v>0.25</v>
      </c>
      <c r="D686" s="21" t="n">
        <v>0</v>
      </c>
      <c r="E686" s="21" t="n">
        <v>0</v>
      </c>
      <c r="F686" s="21" t="n">
        <v>0</v>
      </c>
      <c r="G686" s="21" t="n">
        <v>0</v>
      </c>
      <c r="H686" s="21" t="n">
        <v>0</v>
      </c>
      <c r="I686" s="21" t="n">
        <v>0</v>
      </c>
      <c r="J686" s="21" t="n">
        <v>0</v>
      </c>
      <c r="K686" s="21" t="n">
        <v>0</v>
      </c>
      <c r="L686" s="21" t="n">
        <v>0</v>
      </c>
      <c r="M686" s="21" t="n">
        <v>0</v>
      </c>
      <c r="N686" s="21" t="n">
        <v>0</v>
      </c>
      <c r="O686" s="21" t="n">
        <v>0</v>
      </c>
      <c r="P686" s="21" t="n">
        <v>0</v>
      </c>
      <c r="Q686" s="21" t="n">
        <v>0</v>
      </c>
      <c r="R686" s="18" t="n">
        <f aca="false">ABS(D686)+MAX(ABS(G686),ABS(H686))+MAX(ABS(I686),ABS(J686))</f>
        <v>0</v>
      </c>
      <c r="S686" s="18" t="n">
        <f aca="false">ABS(K686)+MAX(ABS(N686),ABS(O686))+MAX(ABS(P686),ABS(Q686))</f>
        <v>0</v>
      </c>
      <c r="T686" s="18" t="n">
        <f aca="false">MAX(ABS(E686),ABS(F686))</f>
        <v>0</v>
      </c>
      <c r="U686" s="18" t="n">
        <f aca="false">MAX(ABS(L686),ABS(M686))</f>
        <v>0</v>
      </c>
    </row>
    <row r="687" customFormat="false" ht="15" hidden="false" customHeight="false" outlineLevel="0" collapsed="false">
      <c r="A687" s="4" t="n">
        <v>361</v>
      </c>
      <c r="B687" s="4" t="n">
        <v>138</v>
      </c>
      <c r="C687" s="18" t="n">
        <v>0.5</v>
      </c>
      <c r="D687" s="21" t="n">
        <v>0</v>
      </c>
      <c r="E687" s="21" t="n">
        <v>0</v>
      </c>
      <c r="F687" s="21" t="n">
        <v>0</v>
      </c>
      <c r="G687" s="21" t="n">
        <v>0</v>
      </c>
      <c r="H687" s="21" t="n">
        <v>0</v>
      </c>
      <c r="I687" s="21" t="n">
        <v>0</v>
      </c>
      <c r="J687" s="21" t="n">
        <v>0</v>
      </c>
      <c r="K687" s="21" t="n">
        <v>0</v>
      </c>
      <c r="L687" s="21" t="n">
        <v>0</v>
      </c>
      <c r="M687" s="21" t="n">
        <v>0</v>
      </c>
      <c r="N687" s="21" t="n">
        <v>0</v>
      </c>
      <c r="O687" s="21" t="n">
        <v>0</v>
      </c>
      <c r="P687" s="21" t="n">
        <v>0</v>
      </c>
      <c r="Q687" s="21" t="n">
        <v>0</v>
      </c>
      <c r="R687" s="18" t="n">
        <f aca="false">ABS(D687)+MAX(ABS(G687),ABS(H687))+MAX(ABS(I687),ABS(J687))</f>
        <v>0</v>
      </c>
      <c r="S687" s="18" t="n">
        <f aca="false">ABS(K687)+MAX(ABS(N687),ABS(O687))+MAX(ABS(P687),ABS(Q687))</f>
        <v>0</v>
      </c>
      <c r="T687" s="18" t="n">
        <f aca="false">MAX(ABS(E687),ABS(F687))</f>
        <v>0</v>
      </c>
      <c r="U687" s="18" t="n">
        <f aca="false">MAX(ABS(L687),ABS(M687))</f>
        <v>0</v>
      </c>
    </row>
    <row r="688" customFormat="false" ht="15" hidden="false" customHeight="false" outlineLevel="0" collapsed="false">
      <c r="A688" s="4" t="n">
        <v>361</v>
      </c>
      <c r="B688" s="4" t="n">
        <v>138</v>
      </c>
      <c r="C688" s="18" t="n">
        <v>0.75</v>
      </c>
      <c r="D688" s="21" t="n">
        <v>0</v>
      </c>
      <c r="E688" s="21" t="n">
        <v>0</v>
      </c>
      <c r="F688" s="21" t="n">
        <v>0</v>
      </c>
      <c r="G688" s="21" t="n">
        <v>0</v>
      </c>
      <c r="H688" s="21" t="n">
        <v>0</v>
      </c>
      <c r="I688" s="21" t="n">
        <v>0</v>
      </c>
      <c r="J688" s="21" t="n">
        <v>0</v>
      </c>
      <c r="K688" s="21" t="n">
        <v>0</v>
      </c>
      <c r="L688" s="21" t="n">
        <v>0</v>
      </c>
      <c r="M688" s="21" t="n">
        <v>0</v>
      </c>
      <c r="N688" s="21" t="n">
        <v>0</v>
      </c>
      <c r="O688" s="21" t="n">
        <v>0</v>
      </c>
      <c r="P688" s="21" t="n">
        <v>0</v>
      </c>
      <c r="Q688" s="21" t="n">
        <v>0</v>
      </c>
      <c r="R688" s="18" t="n">
        <f aca="false">ABS(D688)+MAX(ABS(G688),ABS(H688))+MAX(ABS(I688),ABS(J688))</f>
        <v>0</v>
      </c>
      <c r="S688" s="18" t="n">
        <f aca="false">ABS(K688)+MAX(ABS(N688),ABS(O688))+MAX(ABS(P688),ABS(Q688))</f>
        <v>0</v>
      </c>
      <c r="T688" s="18" t="n">
        <f aca="false">MAX(ABS(E688),ABS(F688))</f>
        <v>0</v>
      </c>
      <c r="U688" s="18" t="n">
        <f aca="false">MAX(ABS(L688),ABS(M688))</f>
        <v>0</v>
      </c>
    </row>
    <row r="689" customFormat="false" ht="15" hidden="false" customHeight="false" outlineLevel="0" collapsed="false">
      <c r="A689" s="4" t="n">
        <v>361</v>
      </c>
      <c r="B689" s="4" t="n">
        <v>138</v>
      </c>
      <c r="C689" s="18" t="n">
        <v>1</v>
      </c>
      <c r="D689" s="21" t="n">
        <v>0</v>
      </c>
      <c r="E689" s="21" t="n">
        <v>0</v>
      </c>
      <c r="F689" s="21" t="n">
        <v>0</v>
      </c>
      <c r="G689" s="21" t="n">
        <v>-0.01</v>
      </c>
      <c r="H689" s="21" t="n">
        <v>0.01</v>
      </c>
      <c r="I689" s="21" t="n">
        <v>0</v>
      </c>
      <c r="J689" s="21" t="n">
        <v>0</v>
      </c>
      <c r="K689" s="21" t="n">
        <v>0</v>
      </c>
      <c r="L689" s="21" t="n">
        <v>0</v>
      </c>
      <c r="M689" s="21" t="n">
        <v>0</v>
      </c>
      <c r="N689" s="21" t="n">
        <v>-0.01</v>
      </c>
      <c r="O689" s="21" t="n">
        <v>0.01</v>
      </c>
      <c r="P689" s="21" t="n">
        <v>0</v>
      </c>
      <c r="Q689" s="21" t="n">
        <v>0</v>
      </c>
      <c r="R689" s="18" t="n">
        <f aca="false">ABS(D689)+MAX(ABS(G689),ABS(H689))+MAX(ABS(I689),ABS(J689))</f>
        <v>0.01</v>
      </c>
      <c r="S689" s="18" t="n">
        <f aca="false">ABS(K689)+MAX(ABS(N689),ABS(O689))+MAX(ABS(P689),ABS(Q689))</f>
        <v>0.01</v>
      </c>
      <c r="T689" s="18" t="n">
        <f aca="false">MAX(ABS(E689),ABS(F689))</f>
        <v>0</v>
      </c>
      <c r="U689" s="18" t="n">
        <f aca="false">MAX(ABS(L689),ABS(M689))</f>
        <v>0</v>
      </c>
    </row>
    <row r="690" customFormat="false" ht="15" hidden="false" customHeight="false" outlineLevel="0" collapsed="false">
      <c r="A690" s="4" t="n">
        <v>362</v>
      </c>
      <c r="B690" s="4" t="n">
        <v>139</v>
      </c>
      <c r="C690" s="18" t="n">
        <v>0</v>
      </c>
      <c r="D690" s="21" t="n">
        <v>0</v>
      </c>
      <c r="E690" s="21" t="n">
        <v>0</v>
      </c>
      <c r="F690" s="21" t="n">
        <v>0</v>
      </c>
      <c r="G690" s="21" t="n">
        <v>0.01</v>
      </c>
      <c r="H690" s="21" t="n">
        <v>-0.01</v>
      </c>
      <c r="I690" s="21" t="n">
        <v>0</v>
      </c>
      <c r="J690" s="21" t="n">
        <v>0</v>
      </c>
      <c r="K690" s="21" t="n">
        <v>0</v>
      </c>
      <c r="L690" s="21" t="n">
        <v>0</v>
      </c>
      <c r="M690" s="21" t="n">
        <v>0</v>
      </c>
      <c r="N690" s="21" t="n">
        <v>0.01</v>
      </c>
      <c r="O690" s="21" t="n">
        <v>-0.01</v>
      </c>
      <c r="P690" s="21" t="n">
        <v>0</v>
      </c>
      <c r="Q690" s="21" t="n">
        <v>0</v>
      </c>
      <c r="R690" s="18" t="n">
        <f aca="false">ABS(D690)+MAX(ABS(G690),ABS(H690))+MAX(ABS(I690),ABS(J690))</f>
        <v>0.01</v>
      </c>
      <c r="S690" s="18" t="n">
        <f aca="false">ABS(K690)+MAX(ABS(N690),ABS(O690))+MAX(ABS(P690),ABS(Q690))</f>
        <v>0.01</v>
      </c>
      <c r="T690" s="18" t="n">
        <f aca="false">MAX(ABS(E690),ABS(F690))</f>
        <v>0</v>
      </c>
      <c r="U690" s="18" t="n">
        <f aca="false">MAX(ABS(L690),ABS(M690))</f>
        <v>0</v>
      </c>
    </row>
    <row r="691" customFormat="false" ht="15" hidden="false" customHeight="false" outlineLevel="0" collapsed="false">
      <c r="A691" s="4" t="n">
        <v>362</v>
      </c>
      <c r="B691" s="4" t="n">
        <v>139</v>
      </c>
      <c r="C691" s="18" t="n">
        <v>0.25</v>
      </c>
      <c r="D691" s="21" t="n">
        <v>0</v>
      </c>
      <c r="E691" s="21" t="n">
        <v>0</v>
      </c>
      <c r="F691" s="21" t="n">
        <v>0</v>
      </c>
      <c r="G691" s="21" t="n">
        <v>0</v>
      </c>
      <c r="H691" s="21" t="n">
        <v>0</v>
      </c>
      <c r="I691" s="21" t="n">
        <v>0</v>
      </c>
      <c r="J691" s="21" t="n">
        <v>0</v>
      </c>
      <c r="K691" s="21" t="n">
        <v>0</v>
      </c>
      <c r="L691" s="21" t="n">
        <v>0</v>
      </c>
      <c r="M691" s="21" t="n">
        <v>0</v>
      </c>
      <c r="N691" s="21" t="n">
        <v>0</v>
      </c>
      <c r="O691" s="21" t="n">
        <v>0</v>
      </c>
      <c r="P691" s="21" t="n">
        <v>0</v>
      </c>
      <c r="Q691" s="21" t="n">
        <v>0</v>
      </c>
      <c r="R691" s="18" t="n">
        <f aca="false">ABS(D691)+MAX(ABS(G691),ABS(H691))+MAX(ABS(I691),ABS(J691))</f>
        <v>0</v>
      </c>
      <c r="S691" s="18" t="n">
        <f aca="false">ABS(K691)+MAX(ABS(N691),ABS(O691))+MAX(ABS(P691),ABS(Q691))</f>
        <v>0</v>
      </c>
      <c r="T691" s="18" t="n">
        <f aca="false">MAX(ABS(E691),ABS(F691))</f>
        <v>0</v>
      </c>
      <c r="U691" s="18" t="n">
        <f aca="false">MAX(ABS(L691),ABS(M691))</f>
        <v>0</v>
      </c>
    </row>
    <row r="692" customFormat="false" ht="15" hidden="false" customHeight="false" outlineLevel="0" collapsed="false">
      <c r="A692" s="4" t="n">
        <v>362</v>
      </c>
      <c r="B692" s="4" t="n">
        <v>139</v>
      </c>
      <c r="C692" s="18" t="n">
        <v>0.5</v>
      </c>
      <c r="D692" s="21" t="n">
        <v>0</v>
      </c>
      <c r="E692" s="21" t="n">
        <v>0</v>
      </c>
      <c r="F692" s="21" t="n">
        <v>0</v>
      </c>
      <c r="G692" s="21" t="n">
        <v>0</v>
      </c>
      <c r="H692" s="21" t="n">
        <v>0</v>
      </c>
      <c r="I692" s="21" t="n">
        <v>0</v>
      </c>
      <c r="J692" s="21" t="n">
        <v>0</v>
      </c>
      <c r="K692" s="21" t="n">
        <v>0</v>
      </c>
      <c r="L692" s="21" t="n">
        <v>0</v>
      </c>
      <c r="M692" s="21" t="n">
        <v>0</v>
      </c>
      <c r="N692" s="21" t="n">
        <v>0</v>
      </c>
      <c r="O692" s="21" t="n">
        <v>0</v>
      </c>
      <c r="P692" s="21" t="n">
        <v>0</v>
      </c>
      <c r="Q692" s="21" t="n">
        <v>0</v>
      </c>
      <c r="R692" s="18" t="n">
        <f aca="false">ABS(D692)+MAX(ABS(G692),ABS(H692))+MAX(ABS(I692),ABS(J692))</f>
        <v>0</v>
      </c>
      <c r="S692" s="18" t="n">
        <f aca="false">ABS(K692)+MAX(ABS(N692),ABS(O692))+MAX(ABS(P692),ABS(Q692))</f>
        <v>0</v>
      </c>
      <c r="T692" s="18" t="n">
        <f aca="false">MAX(ABS(E692),ABS(F692))</f>
        <v>0</v>
      </c>
      <c r="U692" s="18" t="n">
        <f aca="false">MAX(ABS(L692),ABS(M692))</f>
        <v>0</v>
      </c>
    </row>
    <row r="693" customFormat="false" ht="15" hidden="false" customHeight="false" outlineLevel="0" collapsed="false">
      <c r="A693" s="4" t="n">
        <v>362</v>
      </c>
      <c r="B693" s="4" t="n">
        <v>139</v>
      </c>
      <c r="C693" s="18" t="n">
        <v>0.75</v>
      </c>
      <c r="D693" s="21" t="n">
        <v>0</v>
      </c>
      <c r="E693" s="21" t="n">
        <v>0</v>
      </c>
      <c r="F693" s="21" t="n">
        <v>0</v>
      </c>
      <c r="G693" s="21" t="n">
        <v>0</v>
      </c>
      <c r="H693" s="21" t="n">
        <v>0</v>
      </c>
      <c r="I693" s="21" t="n">
        <v>0</v>
      </c>
      <c r="J693" s="21" t="n">
        <v>0</v>
      </c>
      <c r="K693" s="21" t="n">
        <v>0</v>
      </c>
      <c r="L693" s="21" t="n">
        <v>0</v>
      </c>
      <c r="M693" s="21" t="n">
        <v>0</v>
      </c>
      <c r="N693" s="21" t="n">
        <v>0</v>
      </c>
      <c r="O693" s="21" t="n">
        <v>0</v>
      </c>
      <c r="P693" s="21" t="n">
        <v>0</v>
      </c>
      <c r="Q693" s="21" t="n">
        <v>0</v>
      </c>
      <c r="R693" s="18" t="n">
        <f aca="false">ABS(D693)+MAX(ABS(G693),ABS(H693))+MAX(ABS(I693),ABS(J693))</f>
        <v>0</v>
      </c>
      <c r="S693" s="18" t="n">
        <f aca="false">ABS(K693)+MAX(ABS(N693),ABS(O693))+MAX(ABS(P693),ABS(Q693))</f>
        <v>0</v>
      </c>
      <c r="T693" s="18" t="n">
        <f aca="false">MAX(ABS(E693),ABS(F693))</f>
        <v>0</v>
      </c>
      <c r="U693" s="18" t="n">
        <f aca="false">MAX(ABS(L693),ABS(M693))</f>
        <v>0</v>
      </c>
    </row>
    <row r="694" customFormat="false" ht="15" hidden="false" customHeight="false" outlineLevel="0" collapsed="false">
      <c r="A694" s="4" t="n">
        <v>362</v>
      </c>
      <c r="B694" s="4" t="n">
        <v>139</v>
      </c>
      <c r="C694" s="18" t="n">
        <v>1</v>
      </c>
      <c r="D694" s="21" t="n">
        <v>0</v>
      </c>
      <c r="E694" s="21" t="n">
        <v>0</v>
      </c>
      <c r="F694" s="21" t="n">
        <v>0</v>
      </c>
      <c r="G694" s="21" t="n">
        <v>-0.01</v>
      </c>
      <c r="H694" s="21" t="n">
        <v>0.01</v>
      </c>
      <c r="I694" s="21" t="n">
        <v>0</v>
      </c>
      <c r="J694" s="21" t="n">
        <v>0</v>
      </c>
      <c r="K694" s="21" t="n">
        <v>0</v>
      </c>
      <c r="L694" s="21" t="n">
        <v>0</v>
      </c>
      <c r="M694" s="21" t="n">
        <v>0</v>
      </c>
      <c r="N694" s="21" t="n">
        <v>-0.01</v>
      </c>
      <c r="O694" s="21" t="n">
        <v>0.01</v>
      </c>
      <c r="P694" s="21" t="n">
        <v>0</v>
      </c>
      <c r="Q694" s="21" t="n">
        <v>0</v>
      </c>
      <c r="R694" s="18" t="n">
        <f aca="false">ABS(D694)+MAX(ABS(G694),ABS(H694))+MAX(ABS(I694),ABS(J694))</f>
        <v>0.01</v>
      </c>
      <c r="S694" s="18" t="n">
        <f aca="false">ABS(K694)+MAX(ABS(N694),ABS(O694))+MAX(ABS(P694),ABS(Q694))</f>
        <v>0.01</v>
      </c>
      <c r="T694" s="18" t="n">
        <f aca="false">MAX(ABS(E694),ABS(F694))</f>
        <v>0</v>
      </c>
      <c r="U694" s="18" t="n">
        <f aca="false">MAX(ABS(L694),ABS(M694))</f>
        <v>0</v>
      </c>
    </row>
    <row r="695" customFormat="false" ht="15" hidden="false" customHeight="false" outlineLevel="0" collapsed="false">
      <c r="A695" s="4" t="n">
        <v>363</v>
      </c>
      <c r="B695" s="4" t="n">
        <v>140</v>
      </c>
      <c r="C695" s="18" t="n">
        <v>0</v>
      </c>
      <c r="D695" s="21" t="n">
        <v>0</v>
      </c>
      <c r="E695" s="21" t="n">
        <v>0</v>
      </c>
      <c r="F695" s="21" t="n">
        <v>0</v>
      </c>
      <c r="G695" s="21" t="n">
        <v>0.01</v>
      </c>
      <c r="H695" s="21" t="n">
        <v>-0.01</v>
      </c>
      <c r="I695" s="21" t="n">
        <v>0</v>
      </c>
      <c r="J695" s="21" t="n">
        <v>0</v>
      </c>
      <c r="K695" s="21" t="n">
        <v>0</v>
      </c>
      <c r="L695" s="21" t="n">
        <v>0</v>
      </c>
      <c r="M695" s="21" t="n">
        <v>0</v>
      </c>
      <c r="N695" s="21" t="n">
        <v>0.01</v>
      </c>
      <c r="O695" s="21" t="n">
        <v>-0.01</v>
      </c>
      <c r="P695" s="21" t="n">
        <v>0</v>
      </c>
      <c r="Q695" s="21" t="n">
        <v>0</v>
      </c>
      <c r="R695" s="18" t="n">
        <f aca="false">ABS(D695)+MAX(ABS(G695),ABS(H695))+MAX(ABS(I695),ABS(J695))</f>
        <v>0.01</v>
      </c>
      <c r="S695" s="18" t="n">
        <f aca="false">ABS(K695)+MAX(ABS(N695),ABS(O695))+MAX(ABS(P695),ABS(Q695))</f>
        <v>0.01</v>
      </c>
      <c r="T695" s="18" t="n">
        <f aca="false">MAX(ABS(E695),ABS(F695))</f>
        <v>0</v>
      </c>
      <c r="U695" s="18" t="n">
        <f aca="false">MAX(ABS(L695),ABS(M695))</f>
        <v>0</v>
      </c>
    </row>
    <row r="696" customFormat="false" ht="15" hidden="false" customHeight="false" outlineLevel="0" collapsed="false">
      <c r="A696" s="4" t="n">
        <v>363</v>
      </c>
      <c r="B696" s="4" t="n">
        <v>140</v>
      </c>
      <c r="C696" s="18" t="n">
        <v>0.25</v>
      </c>
      <c r="D696" s="21" t="n">
        <v>0</v>
      </c>
      <c r="E696" s="21" t="n">
        <v>0</v>
      </c>
      <c r="F696" s="21" t="n">
        <v>0</v>
      </c>
      <c r="G696" s="21" t="n">
        <v>0</v>
      </c>
      <c r="H696" s="21" t="n">
        <v>0</v>
      </c>
      <c r="I696" s="21" t="n">
        <v>0</v>
      </c>
      <c r="J696" s="21" t="n">
        <v>0</v>
      </c>
      <c r="K696" s="21" t="n">
        <v>0</v>
      </c>
      <c r="L696" s="21" t="n">
        <v>0</v>
      </c>
      <c r="M696" s="21" t="n">
        <v>0</v>
      </c>
      <c r="N696" s="21" t="n">
        <v>0</v>
      </c>
      <c r="O696" s="21" t="n">
        <v>0</v>
      </c>
      <c r="P696" s="21" t="n">
        <v>0</v>
      </c>
      <c r="Q696" s="21" t="n">
        <v>0</v>
      </c>
      <c r="R696" s="18" t="n">
        <f aca="false">ABS(D696)+MAX(ABS(G696),ABS(H696))+MAX(ABS(I696),ABS(J696))</f>
        <v>0</v>
      </c>
      <c r="S696" s="18" t="n">
        <f aca="false">ABS(K696)+MAX(ABS(N696),ABS(O696))+MAX(ABS(P696),ABS(Q696))</f>
        <v>0</v>
      </c>
      <c r="T696" s="18" t="n">
        <f aca="false">MAX(ABS(E696),ABS(F696))</f>
        <v>0</v>
      </c>
      <c r="U696" s="18" t="n">
        <f aca="false">MAX(ABS(L696),ABS(M696))</f>
        <v>0</v>
      </c>
    </row>
    <row r="697" customFormat="false" ht="15" hidden="false" customHeight="false" outlineLevel="0" collapsed="false">
      <c r="A697" s="4" t="n">
        <v>363</v>
      </c>
      <c r="B697" s="4" t="n">
        <v>140</v>
      </c>
      <c r="C697" s="18" t="n">
        <v>0.5</v>
      </c>
      <c r="D697" s="21" t="n">
        <v>0</v>
      </c>
      <c r="E697" s="21" t="n">
        <v>0</v>
      </c>
      <c r="F697" s="21" t="n">
        <v>0</v>
      </c>
      <c r="G697" s="21" t="n">
        <v>0</v>
      </c>
      <c r="H697" s="21" t="n">
        <v>0</v>
      </c>
      <c r="I697" s="21" t="n">
        <v>0</v>
      </c>
      <c r="J697" s="21" t="n">
        <v>0</v>
      </c>
      <c r="K697" s="21" t="n">
        <v>0</v>
      </c>
      <c r="L697" s="21" t="n">
        <v>0</v>
      </c>
      <c r="M697" s="21" t="n">
        <v>0</v>
      </c>
      <c r="N697" s="21" t="n">
        <v>0</v>
      </c>
      <c r="O697" s="21" t="n">
        <v>0</v>
      </c>
      <c r="P697" s="21" t="n">
        <v>0</v>
      </c>
      <c r="Q697" s="21" t="n">
        <v>0</v>
      </c>
      <c r="R697" s="18" t="n">
        <f aca="false">ABS(D697)+MAX(ABS(G697),ABS(H697))+MAX(ABS(I697),ABS(J697))</f>
        <v>0</v>
      </c>
      <c r="S697" s="18" t="n">
        <f aca="false">ABS(K697)+MAX(ABS(N697),ABS(O697))+MAX(ABS(P697),ABS(Q697))</f>
        <v>0</v>
      </c>
      <c r="T697" s="18" t="n">
        <f aca="false">MAX(ABS(E697),ABS(F697))</f>
        <v>0</v>
      </c>
      <c r="U697" s="18" t="n">
        <f aca="false">MAX(ABS(L697),ABS(M697))</f>
        <v>0</v>
      </c>
    </row>
    <row r="698" customFormat="false" ht="15" hidden="false" customHeight="false" outlineLevel="0" collapsed="false">
      <c r="A698" s="4" t="n">
        <v>363</v>
      </c>
      <c r="B698" s="4" t="n">
        <v>140</v>
      </c>
      <c r="C698" s="18" t="n">
        <v>0.75</v>
      </c>
      <c r="D698" s="21" t="n">
        <v>0</v>
      </c>
      <c r="E698" s="21" t="n">
        <v>0</v>
      </c>
      <c r="F698" s="21" t="n">
        <v>0</v>
      </c>
      <c r="G698" s="21" t="n">
        <v>0</v>
      </c>
      <c r="H698" s="21" t="n">
        <v>0</v>
      </c>
      <c r="I698" s="21" t="n">
        <v>0</v>
      </c>
      <c r="J698" s="21" t="n">
        <v>0</v>
      </c>
      <c r="K698" s="21" t="n">
        <v>0</v>
      </c>
      <c r="L698" s="21" t="n">
        <v>0</v>
      </c>
      <c r="M698" s="21" t="n">
        <v>0</v>
      </c>
      <c r="N698" s="21" t="n">
        <v>0</v>
      </c>
      <c r="O698" s="21" t="n">
        <v>0</v>
      </c>
      <c r="P698" s="21" t="n">
        <v>0</v>
      </c>
      <c r="Q698" s="21" t="n">
        <v>0</v>
      </c>
      <c r="R698" s="18" t="n">
        <f aca="false">ABS(D698)+MAX(ABS(G698),ABS(H698))+MAX(ABS(I698),ABS(J698))</f>
        <v>0</v>
      </c>
      <c r="S698" s="18" t="n">
        <f aca="false">ABS(K698)+MAX(ABS(N698),ABS(O698))+MAX(ABS(P698),ABS(Q698))</f>
        <v>0</v>
      </c>
      <c r="T698" s="18" t="n">
        <f aca="false">MAX(ABS(E698),ABS(F698))</f>
        <v>0</v>
      </c>
      <c r="U698" s="18" t="n">
        <f aca="false">MAX(ABS(L698),ABS(M698))</f>
        <v>0</v>
      </c>
    </row>
    <row r="699" customFormat="false" ht="15" hidden="false" customHeight="false" outlineLevel="0" collapsed="false">
      <c r="A699" s="4" t="n">
        <v>363</v>
      </c>
      <c r="B699" s="4" t="n">
        <v>140</v>
      </c>
      <c r="C699" s="18" t="n">
        <v>1</v>
      </c>
      <c r="D699" s="21" t="n">
        <v>0</v>
      </c>
      <c r="E699" s="21" t="n">
        <v>0</v>
      </c>
      <c r="F699" s="21" t="n">
        <v>0</v>
      </c>
      <c r="G699" s="21" t="n">
        <v>-0.01</v>
      </c>
      <c r="H699" s="21" t="n">
        <v>0.01</v>
      </c>
      <c r="I699" s="21" t="n">
        <v>0</v>
      </c>
      <c r="J699" s="21" t="n">
        <v>0</v>
      </c>
      <c r="K699" s="21" t="n">
        <v>0</v>
      </c>
      <c r="L699" s="21" t="n">
        <v>0</v>
      </c>
      <c r="M699" s="21" t="n">
        <v>0</v>
      </c>
      <c r="N699" s="21" t="n">
        <v>-0.01</v>
      </c>
      <c r="O699" s="21" t="n">
        <v>0.01</v>
      </c>
      <c r="P699" s="21" t="n">
        <v>0</v>
      </c>
      <c r="Q699" s="21" t="n">
        <v>0</v>
      </c>
      <c r="R699" s="18" t="n">
        <f aca="false">ABS(D699)+MAX(ABS(G699),ABS(H699))+MAX(ABS(I699),ABS(J699))</f>
        <v>0.01</v>
      </c>
      <c r="S699" s="18" t="n">
        <f aca="false">ABS(K699)+MAX(ABS(N699),ABS(O699))+MAX(ABS(P699),ABS(Q699))</f>
        <v>0.01</v>
      </c>
      <c r="T699" s="18" t="n">
        <f aca="false">MAX(ABS(E699),ABS(F699))</f>
        <v>0</v>
      </c>
      <c r="U699" s="18" t="n">
        <f aca="false">MAX(ABS(L699),ABS(M699))</f>
        <v>0</v>
      </c>
    </row>
    <row r="700" customFormat="false" ht="15" hidden="false" customHeight="false" outlineLevel="0" collapsed="false">
      <c r="A700" s="4" t="n">
        <v>364</v>
      </c>
      <c r="B700" s="4" t="n">
        <v>141</v>
      </c>
      <c r="C700" s="18" t="n">
        <v>0</v>
      </c>
      <c r="D700" s="21" t="n">
        <v>0</v>
      </c>
      <c r="E700" s="21" t="n">
        <v>0</v>
      </c>
      <c r="F700" s="21" t="n">
        <v>0</v>
      </c>
      <c r="G700" s="21" t="n">
        <v>0.01</v>
      </c>
      <c r="H700" s="21" t="n">
        <v>-0.01</v>
      </c>
      <c r="I700" s="21" t="n">
        <v>0</v>
      </c>
      <c r="J700" s="21" t="n">
        <v>0</v>
      </c>
      <c r="K700" s="21" t="n">
        <v>0</v>
      </c>
      <c r="L700" s="21" t="n">
        <v>0</v>
      </c>
      <c r="M700" s="21" t="n">
        <v>0</v>
      </c>
      <c r="N700" s="21" t="n">
        <v>0.01</v>
      </c>
      <c r="O700" s="21" t="n">
        <v>-0.01</v>
      </c>
      <c r="P700" s="21" t="n">
        <v>0</v>
      </c>
      <c r="Q700" s="21" t="n">
        <v>0</v>
      </c>
      <c r="R700" s="18" t="n">
        <f aca="false">ABS(D700)+MAX(ABS(G700),ABS(H700))+MAX(ABS(I700),ABS(J700))</f>
        <v>0.01</v>
      </c>
      <c r="S700" s="18" t="n">
        <f aca="false">ABS(K700)+MAX(ABS(N700),ABS(O700))+MAX(ABS(P700),ABS(Q700))</f>
        <v>0.01</v>
      </c>
      <c r="T700" s="18" t="n">
        <f aca="false">MAX(ABS(E700),ABS(F700))</f>
        <v>0</v>
      </c>
      <c r="U700" s="18" t="n">
        <f aca="false">MAX(ABS(L700),ABS(M700))</f>
        <v>0</v>
      </c>
    </row>
    <row r="701" customFormat="false" ht="15" hidden="false" customHeight="false" outlineLevel="0" collapsed="false">
      <c r="A701" s="4" t="n">
        <v>364</v>
      </c>
      <c r="B701" s="4" t="n">
        <v>141</v>
      </c>
      <c r="C701" s="18" t="n">
        <v>0.25</v>
      </c>
      <c r="D701" s="21" t="n">
        <v>0</v>
      </c>
      <c r="E701" s="21" t="n">
        <v>0</v>
      </c>
      <c r="F701" s="21" t="n">
        <v>0</v>
      </c>
      <c r="G701" s="21" t="n">
        <v>0.01</v>
      </c>
      <c r="H701" s="21" t="n">
        <v>-0.01</v>
      </c>
      <c r="I701" s="21" t="n">
        <v>0</v>
      </c>
      <c r="J701" s="21" t="n">
        <v>0</v>
      </c>
      <c r="K701" s="21" t="n">
        <v>0</v>
      </c>
      <c r="L701" s="21" t="n">
        <v>0</v>
      </c>
      <c r="M701" s="21" t="n">
        <v>0</v>
      </c>
      <c r="N701" s="21" t="n">
        <v>0.01</v>
      </c>
      <c r="O701" s="21" t="n">
        <v>-0.01</v>
      </c>
      <c r="P701" s="21" t="n">
        <v>0</v>
      </c>
      <c r="Q701" s="21" t="n">
        <v>0</v>
      </c>
      <c r="R701" s="18" t="n">
        <f aca="false">ABS(D701)+MAX(ABS(G701),ABS(H701))+MAX(ABS(I701),ABS(J701))</f>
        <v>0.01</v>
      </c>
      <c r="S701" s="18" t="n">
        <f aca="false">ABS(K701)+MAX(ABS(N701),ABS(O701))+MAX(ABS(P701),ABS(Q701))</f>
        <v>0.01</v>
      </c>
      <c r="T701" s="18" t="n">
        <f aca="false">MAX(ABS(E701),ABS(F701))</f>
        <v>0</v>
      </c>
      <c r="U701" s="18" t="n">
        <f aca="false">MAX(ABS(L701),ABS(M701))</f>
        <v>0</v>
      </c>
    </row>
    <row r="702" customFormat="false" ht="15" hidden="false" customHeight="false" outlineLevel="0" collapsed="false">
      <c r="A702" s="4" t="n">
        <v>364</v>
      </c>
      <c r="B702" s="4" t="n">
        <v>141</v>
      </c>
      <c r="C702" s="18" t="n">
        <v>0.5</v>
      </c>
      <c r="D702" s="21" t="n">
        <v>0</v>
      </c>
      <c r="E702" s="21" t="n">
        <v>0</v>
      </c>
      <c r="F702" s="21" t="n">
        <v>0</v>
      </c>
      <c r="G702" s="21" t="n">
        <v>0</v>
      </c>
      <c r="H702" s="21" t="n">
        <v>0</v>
      </c>
      <c r="I702" s="21" t="n">
        <v>0</v>
      </c>
      <c r="J702" s="21" t="n">
        <v>0</v>
      </c>
      <c r="K702" s="21" t="n">
        <v>0</v>
      </c>
      <c r="L702" s="21" t="n">
        <v>0</v>
      </c>
      <c r="M702" s="21" t="n">
        <v>0</v>
      </c>
      <c r="N702" s="21" t="n">
        <v>0</v>
      </c>
      <c r="O702" s="21" t="n">
        <v>0</v>
      </c>
      <c r="P702" s="21" t="n">
        <v>0</v>
      </c>
      <c r="Q702" s="21" t="n">
        <v>0</v>
      </c>
      <c r="R702" s="18" t="n">
        <f aca="false">ABS(D702)+MAX(ABS(G702),ABS(H702))+MAX(ABS(I702),ABS(J702))</f>
        <v>0</v>
      </c>
      <c r="S702" s="18" t="n">
        <f aca="false">ABS(K702)+MAX(ABS(N702),ABS(O702))+MAX(ABS(P702),ABS(Q702))</f>
        <v>0</v>
      </c>
      <c r="T702" s="18" t="n">
        <f aca="false">MAX(ABS(E702),ABS(F702))</f>
        <v>0</v>
      </c>
      <c r="U702" s="18" t="n">
        <f aca="false">MAX(ABS(L702),ABS(M702))</f>
        <v>0</v>
      </c>
    </row>
    <row r="703" customFormat="false" ht="15" hidden="false" customHeight="false" outlineLevel="0" collapsed="false">
      <c r="A703" s="4" t="n">
        <v>364</v>
      </c>
      <c r="B703" s="4" t="n">
        <v>141</v>
      </c>
      <c r="C703" s="18" t="n">
        <v>0.75</v>
      </c>
      <c r="D703" s="21" t="n">
        <v>0</v>
      </c>
      <c r="E703" s="21" t="n">
        <v>0</v>
      </c>
      <c r="F703" s="21" t="n">
        <v>0</v>
      </c>
      <c r="G703" s="21" t="n">
        <v>0</v>
      </c>
      <c r="H703" s="21" t="n">
        <v>0</v>
      </c>
      <c r="I703" s="21" t="n">
        <v>0</v>
      </c>
      <c r="J703" s="21" t="n">
        <v>0</v>
      </c>
      <c r="K703" s="21" t="n">
        <v>0</v>
      </c>
      <c r="L703" s="21" t="n">
        <v>0</v>
      </c>
      <c r="M703" s="21" t="n">
        <v>0</v>
      </c>
      <c r="N703" s="21" t="n">
        <v>0</v>
      </c>
      <c r="O703" s="21" t="n">
        <v>0</v>
      </c>
      <c r="P703" s="21" t="n">
        <v>0</v>
      </c>
      <c r="Q703" s="21" t="n">
        <v>0</v>
      </c>
      <c r="R703" s="18" t="n">
        <f aca="false">ABS(D703)+MAX(ABS(G703),ABS(H703))+MAX(ABS(I703),ABS(J703))</f>
        <v>0</v>
      </c>
      <c r="S703" s="18" t="n">
        <f aca="false">ABS(K703)+MAX(ABS(N703),ABS(O703))+MAX(ABS(P703),ABS(Q703))</f>
        <v>0</v>
      </c>
      <c r="T703" s="18" t="n">
        <f aca="false">MAX(ABS(E703),ABS(F703))</f>
        <v>0</v>
      </c>
      <c r="U703" s="18" t="n">
        <f aca="false">MAX(ABS(L703),ABS(M703))</f>
        <v>0</v>
      </c>
    </row>
    <row r="704" customFormat="false" ht="15" hidden="false" customHeight="false" outlineLevel="0" collapsed="false">
      <c r="A704" s="4" t="n">
        <v>364</v>
      </c>
      <c r="B704" s="4" t="n">
        <v>141</v>
      </c>
      <c r="C704" s="18" t="n">
        <v>1</v>
      </c>
      <c r="D704" s="21" t="n">
        <v>0</v>
      </c>
      <c r="E704" s="21" t="n">
        <v>0</v>
      </c>
      <c r="F704" s="21" t="n">
        <v>0</v>
      </c>
      <c r="G704" s="21" t="n">
        <v>0</v>
      </c>
      <c r="H704" s="21" t="n">
        <v>0</v>
      </c>
      <c r="I704" s="21" t="n">
        <v>0</v>
      </c>
      <c r="J704" s="21" t="n">
        <v>0</v>
      </c>
      <c r="K704" s="21" t="n">
        <v>0</v>
      </c>
      <c r="L704" s="21" t="n">
        <v>0</v>
      </c>
      <c r="M704" s="21" t="n">
        <v>0</v>
      </c>
      <c r="N704" s="21" t="n">
        <v>0</v>
      </c>
      <c r="O704" s="21" t="n">
        <v>0</v>
      </c>
      <c r="P704" s="21" t="n">
        <v>0</v>
      </c>
      <c r="Q704" s="21" t="n">
        <v>0</v>
      </c>
      <c r="R704" s="18" t="n">
        <f aca="false">ABS(D704)+MAX(ABS(G704),ABS(H704))+MAX(ABS(I704),ABS(J704))</f>
        <v>0</v>
      </c>
      <c r="S704" s="18" t="n">
        <f aca="false">ABS(K704)+MAX(ABS(N704),ABS(O704))+MAX(ABS(P704),ABS(Q704))</f>
        <v>0</v>
      </c>
      <c r="T704" s="18" t="n">
        <f aca="false">MAX(ABS(E704),ABS(F704))</f>
        <v>0</v>
      </c>
      <c r="U704" s="18" t="n">
        <f aca="false">MAX(ABS(L704),ABS(M704))</f>
        <v>0</v>
      </c>
    </row>
    <row r="705" customFormat="false" ht="15" hidden="false" customHeight="false" outlineLevel="0" collapsed="false">
      <c r="A705" s="4" t="n">
        <v>365</v>
      </c>
      <c r="B705" s="4" t="n">
        <v>142</v>
      </c>
      <c r="C705" s="18" t="n">
        <v>0</v>
      </c>
      <c r="D705" s="21" t="n">
        <v>0</v>
      </c>
      <c r="E705" s="21" t="n">
        <v>0</v>
      </c>
      <c r="F705" s="21" t="n">
        <v>0</v>
      </c>
      <c r="G705" s="21" t="n">
        <v>0.01</v>
      </c>
      <c r="H705" s="21" t="n">
        <v>-0.01</v>
      </c>
      <c r="I705" s="21" t="n">
        <v>0</v>
      </c>
      <c r="J705" s="21" t="n">
        <v>0</v>
      </c>
      <c r="K705" s="21" t="n">
        <v>0</v>
      </c>
      <c r="L705" s="21" t="n">
        <v>0</v>
      </c>
      <c r="M705" s="21" t="n">
        <v>0</v>
      </c>
      <c r="N705" s="21" t="n">
        <v>0.01</v>
      </c>
      <c r="O705" s="21" t="n">
        <v>-0.01</v>
      </c>
      <c r="P705" s="21" t="n">
        <v>0</v>
      </c>
      <c r="Q705" s="21" t="n">
        <v>0</v>
      </c>
      <c r="R705" s="18" t="n">
        <f aca="false">ABS(D705)+MAX(ABS(G705),ABS(H705))+MAX(ABS(I705),ABS(J705))</f>
        <v>0.01</v>
      </c>
      <c r="S705" s="18" t="n">
        <f aca="false">ABS(K705)+MAX(ABS(N705),ABS(O705))+MAX(ABS(P705),ABS(Q705))</f>
        <v>0.01</v>
      </c>
      <c r="T705" s="18" t="n">
        <f aca="false">MAX(ABS(E705),ABS(F705))</f>
        <v>0</v>
      </c>
      <c r="U705" s="18" t="n">
        <f aca="false">MAX(ABS(L705),ABS(M705))</f>
        <v>0</v>
      </c>
    </row>
    <row r="706" customFormat="false" ht="15" hidden="false" customHeight="false" outlineLevel="0" collapsed="false">
      <c r="A706" s="4" t="n">
        <v>365</v>
      </c>
      <c r="B706" s="4" t="n">
        <v>142</v>
      </c>
      <c r="C706" s="18" t="n">
        <v>0.25</v>
      </c>
      <c r="D706" s="21" t="n">
        <v>0</v>
      </c>
      <c r="E706" s="21" t="n">
        <v>0</v>
      </c>
      <c r="F706" s="21" t="n">
        <v>0</v>
      </c>
      <c r="G706" s="21" t="n">
        <v>0.01</v>
      </c>
      <c r="H706" s="21" t="n">
        <v>-0.01</v>
      </c>
      <c r="I706" s="21" t="n">
        <v>0</v>
      </c>
      <c r="J706" s="21" t="n">
        <v>0</v>
      </c>
      <c r="K706" s="21" t="n">
        <v>0</v>
      </c>
      <c r="L706" s="21" t="n">
        <v>0</v>
      </c>
      <c r="M706" s="21" t="n">
        <v>0</v>
      </c>
      <c r="N706" s="21" t="n">
        <v>0.01</v>
      </c>
      <c r="O706" s="21" t="n">
        <v>-0.01</v>
      </c>
      <c r="P706" s="21" t="n">
        <v>0</v>
      </c>
      <c r="Q706" s="21" t="n">
        <v>0</v>
      </c>
      <c r="R706" s="18" t="n">
        <f aca="false">ABS(D706)+MAX(ABS(G706),ABS(H706))+MAX(ABS(I706),ABS(J706))</f>
        <v>0.01</v>
      </c>
      <c r="S706" s="18" t="n">
        <f aca="false">ABS(K706)+MAX(ABS(N706),ABS(O706))+MAX(ABS(P706),ABS(Q706))</f>
        <v>0.01</v>
      </c>
      <c r="T706" s="18" t="n">
        <f aca="false">MAX(ABS(E706),ABS(F706))</f>
        <v>0</v>
      </c>
      <c r="U706" s="18" t="n">
        <f aca="false">MAX(ABS(L706),ABS(M706))</f>
        <v>0</v>
      </c>
    </row>
    <row r="707" customFormat="false" ht="15" hidden="false" customHeight="false" outlineLevel="0" collapsed="false">
      <c r="A707" s="4" t="n">
        <v>365</v>
      </c>
      <c r="B707" s="4" t="n">
        <v>142</v>
      </c>
      <c r="C707" s="18" t="n">
        <v>0.5</v>
      </c>
      <c r="D707" s="21" t="n">
        <v>0</v>
      </c>
      <c r="E707" s="21" t="n">
        <v>0</v>
      </c>
      <c r="F707" s="21" t="n">
        <v>0</v>
      </c>
      <c r="G707" s="21" t="n">
        <v>0</v>
      </c>
      <c r="H707" s="21" t="n">
        <v>0</v>
      </c>
      <c r="I707" s="21" t="n">
        <v>0</v>
      </c>
      <c r="J707" s="21" t="n">
        <v>0</v>
      </c>
      <c r="K707" s="21" t="n">
        <v>0</v>
      </c>
      <c r="L707" s="21" t="n">
        <v>0</v>
      </c>
      <c r="M707" s="21" t="n">
        <v>0</v>
      </c>
      <c r="N707" s="21" t="n">
        <v>0</v>
      </c>
      <c r="O707" s="21" t="n">
        <v>0</v>
      </c>
      <c r="P707" s="21" t="n">
        <v>0</v>
      </c>
      <c r="Q707" s="21" t="n">
        <v>0</v>
      </c>
      <c r="R707" s="18" t="n">
        <f aca="false">ABS(D707)+MAX(ABS(G707),ABS(H707))+MAX(ABS(I707),ABS(J707))</f>
        <v>0</v>
      </c>
      <c r="S707" s="18" t="n">
        <f aca="false">ABS(K707)+MAX(ABS(N707),ABS(O707))+MAX(ABS(P707),ABS(Q707))</f>
        <v>0</v>
      </c>
      <c r="T707" s="18" t="n">
        <f aca="false">MAX(ABS(E707),ABS(F707))</f>
        <v>0</v>
      </c>
      <c r="U707" s="18" t="n">
        <f aca="false">MAX(ABS(L707),ABS(M707))</f>
        <v>0</v>
      </c>
    </row>
    <row r="708" customFormat="false" ht="15" hidden="false" customHeight="false" outlineLevel="0" collapsed="false">
      <c r="A708" s="4" t="n">
        <v>365</v>
      </c>
      <c r="B708" s="4" t="n">
        <v>142</v>
      </c>
      <c r="C708" s="18" t="n">
        <v>0.75</v>
      </c>
      <c r="D708" s="21" t="n">
        <v>0</v>
      </c>
      <c r="E708" s="21" t="n">
        <v>0</v>
      </c>
      <c r="F708" s="21" t="n">
        <v>0</v>
      </c>
      <c r="G708" s="21" t="n">
        <v>0</v>
      </c>
      <c r="H708" s="21" t="n">
        <v>0</v>
      </c>
      <c r="I708" s="21" t="n">
        <v>0</v>
      </c>
      <c r="J708" s="21" t="n">
        <v>0</v>
      </c>
      <c r="K708" s="21" t="n">
        <v>0</v>
      </c>
      <c r="L708" s="21" t="n">
        <v>0</v>
      </c>
      <c r="M708" s="21" t="n">
        <v>0</v>
      </c>
      <c r="N708" s="21" t="n">
        <v>0</v>
      </c>
      <c r="O708" s="21" t="n">
        <v>0</v>
      </c>
      <c r="P708" s="21" t="n">
        <v>0</v>
      </c>
      <c r="Q708" s="21" t="n">
        <v>0</v>
      </c>
      <c r="R708" s="18" t="n">
        <f aca="false">ABS(D708)+MAX(ABS(G708),ABS(H708))+MAX(ABS(I708),ABS(J708))</f>
        <v>0</v>
      </c>
      <c r="S708" s="18" t="n">
        <f aca="false">ABS(K708)+MAX(ABS(N708),ABS(O708))+MAX(ABS(P708),ABS(Q708))</f>
        <v>0</v>
      </c>
      <c r="T708" s="18" t="n">
        <f aca="false">MAX(ABS(E708),ABS(F708))</f>
        <v>0</v>
      </c>
      <c r="U708" s="18" t="n">
        <f aca="false">MAX(ABS(L708),ABS(M708))</f>
        <v>0</v>
      </c>
    </row>
    <row r="709" customFormat="false" ht="15" hidden="false" customHeight="false" outlineLevel="0" collapsed="false">
      <c r="A709" s="4" t="n">
        <v>365</v>
      </c>
      <c r="B709" s="4" t="n">
        <v>142</v>
      </c>
      <c r="C709" s="18" t="n">
        <v>1</v>
      </c>
      <c r="D709" s="21" t="n">
        <v>0</v>
      </c>
      <c r="E709" s="21" t="n">
        <v>0</v>
      </c>
      <c r="F709" s="21" t="n">
        <v>0</v>
      </c>
      <c r="G709" s="21" t="n">
        <v>0</v>
      </c>
      <c r="H709" s="21" t="n">
        <v>0</v>
      </c>
      <c r="I709" s="21" t="n">
        <v>0</v>
      </c>
      <c r="J709" s="21" t="n">
        <v>0</v>
      </c>
      <c r="K709" s="21" t="n">
        <v>0</v>
      </c>
      <c r="L709" s="21" t="n">
        <v>0</v>
      </c>
      <c r="M709" s="21" t="n">
        <v>0</v>
      </c>
      <c r="N709" s="21" t="n">
        <v>0</v>
      </c>
      <c r="O709" s="21" t="n">
        <v>0</v>
      </c>
      <c r="P709" s="21" t="n">
        <v>0</v>
      </c>
      <c r="Q709" s="21" t="n">
        <v>0</v>
      </c>
      <c r="R709" s="18" t="n">
        <f aca="false">ABS(D709)+MAX(ABS(G709),ABS(H709))+MAX(ABS(I709),ABS(J709))</f>
        <v>0</v>
      </c>
      <c r="S709" s="18" t="n">
        <f aca="false">ABS(K709)+MAX(ABS(N709),ABS(O709))+MAX(ABS(P709),ABS(Q709))</f>
        <v>0</v>
      </c>
      <c r="T709" s="18" t="n">
        <f aca="false">MAX(ABS(E709),ABS(F709))</f>
        <v>0</v>
      </c>
      <c r="U709" s="18" t="n">
        <f aca="false">MAX(ABS(L709),ABS(M709))</f>
        <v>0</v>
      </c>
    </row>
    <row r="710" customFormat="false" ht="15" hidden="false" customHeight="false" outlineLevel="0" collapsed="false">
      <c r="A710" s="4" t="n">
        <v>366</v>
      </c>
      <c r="B710" s="4" t="n">
        <v>143</v>
      </c>
      <c r="C710" s="18" t="n">
        <v>0</v>
      </c>
      <c r="D710" s="21" t="n">
        <v>0</v>
      </c>
      <c r="E710" s="21" t="n">
        <v>0</v>
      </c>
      <c r="F710" s="21" t="n">
        <v>0</v>
      </c>
      <c r="G710" s="21" t="n">
        <v>0.01</v>
      </c>
      <c r="H710" s="21" t="n">
        <v>-0.01</v>
      </c>
      <c r="I710" s="21" t="n">
        <v>0</v>
      </c>
      <c r="J710" s="21" t="n">
        <v>0</v>
      </c>
      <c r="K710" s="21" t="n">
        <v>0</v>
      </c>
      <c r="L710" s="21" t="n">
        <v>0</v>
      </c>
      <c r="M710" s="21" t="n">
        <v>0</v>
      </c>
      <c r="N710" s="21" t="n">
        <v>0.01</v>
      </c>
      <c r="O710" s="21" t="n">
        <v>-0.01</v>
      </c>
      <c r="P710" s="21" t="n">
        <v>0</v>
      </c>
      <c r="Q710" s="21" t="n">
        <v>0</v>
      </c>
      <c r="R710" s="18" t="n">
        <f aca="false">ABS(D710)+MAX(ABS(G710),ABS(H710))+MAX(ABS(I710),ABS(J710))</f>
        <v>0.01</v>
      </c>
      <c r="S710" s="18" t="n">
        <f aca="false">ABS(K710)+MAX(ABS(N710),ABS(O710))+MAX(ABS(P710),ABS(Q710))</f>
        <v>0.01</v>
      </c>
      <c r="T710" s="18" t="n">
        <f aca="false">MAX(ABS(E710),ABS(F710))</f>
        <v>0</v>
      </c>
      <c r="U710" s="18" t="n">
        <f aca="false">MAX(ABS(L710),ABS(M710))</f>
        <v>0</v>
      </c>
    </row>
    <row r="711" customFormat="false" ht="15" hidden="false" customHeight="false" outlineLevel="0" collapsed="false">
      <c r="A711" s="4" t="n">
        <v>366</v>
      </c>
      <c r="B711" s="4" t="n">
        <v>143</v>
      </c>
      <c r="C711" s="18" t="n">
        <v>0.25</v>
      </c>
      <c r="D711" s="21" t="n">
        <v>0</v>
      </c>
      <c r="E711" s="21" t="n">
        <v>0</v>
      </c>
      <c r="F711" s="21" t="n">
        <v>0</v>
      </c>
      <c r="G711" s="21" t="n">
        <v>0.01</v>
      </c>
      <c r="H711" s="21" t="n">
        <v>-0.01</v>
      </c>
      <c r="I711" s="21" t="n">
        <v>0</v>
      </c>
      <c r="J711" s="21" t="n">
        <v>0</v>
      </c>
      <c r="K711" s="21" t="n">
        <v>0</v>
      </c>
      <c r="L711" s="21" t="n">
        <v>0</v>
      </c>
      <c r="M711" s="21" t="n">
        <v>0</v>
      </c>
      <c r="N711" s="21" t="n">
        <v>0.01</v>
      </c>
      <c r="O711" s="21" t="n">
        <v>-0.01</v>
      </c>
      <c r="P711" s="21" t="n">
        <v>0</v>
      </c>
      <c r="Q711" s="21" t="n">
        <v>0</v>
      </c>
      <c r="R711" s="18" t="n">
        <f aca="false">ABS(D711)+MAX(ABS(G711),ABS(H711))+MAX(ABS(I711),ABS(J711))</f>
        <v>0.01</v>
      </c>
      <c r="S711" s="18" t="n">
        <f aca="false">ABS(K711)+MAX(ABS(N711),ABS(O711))+MAX(ABS(P711),ABS(Q711))</f>
        <v>0.01</v>
      </c>
      <c r="T711" s="18" t="n">
        <f aca="false">MAX(ABS(E711),ABS(F711))</f>
        <v>0</v>
      </c>
      <c r="U711" s="18" t="n">
        <f aca="false">MAX(ABS(L711),ABS(M711))</f>
        <v>0</v>
      </c>
    </row>
    <row r="712" customFormat="false" ht="15" hidden="false" customHeight="false" outlineLevel="0" collapsed="false">
      <c r="A712" s="4" t="n">
        <v>366</v>
      </c>
      <c r="B712" s="4" t="n">
        <v>143</v>
      </c>
      <c r="C712" s="18" t="n">
        <v>0.5</v>
      </c>
      <c r="D712" s="21" t="n">
        <v>0</v>
      </c>
      <c r="E712" s="21" t="n">
        <v>0</v>
      </c>
      <c r="F712" s="21" t="n">
        <v>0</v>
      </c>
      <c r="G712" s="21" t="n">
        <v>0.01</v>
      </c>
      <c r="H712" s="21" t="n">
        <v>-0.01</v>
      </c>
      <c r="I712" s="21" t="n">
        <v>0</v>
      </c>
      <c r="J712" s="21" t="n">
        <v>0</v>
      </c>
      <c r="K712" s="21" t="n">
        <v>0</v>
      </c>
      <c r="L712" s="21" t="n">
        <v>0</v>
      </c>
      <c r="M712" s="21" t="n">
        <v>0</v>
      </c>
      <c r="N712" s="21" t="n">
        <v>0.01</v>
      </c>
      <c r="O712" s="21" t="n">
        <v>-0.01</v>
      </c>
      <c r="P712" s="21" t="n">
        <v>0</v>
      </c>
      <c r="Q712" s="21" t="n">
        <v>0</v>
      </c>
      <c r="R712" s="18" t="n">
        <f aca="false">ABS(D712)+MAX(ABS(G712),ABS(H712))+MAX(ABS(I712),ABS(J712))</f>
        <v>0.01</v>
      </c>
      <c r="S712" s="18" t="n">
        <f aca="false">ABS(K712)+MAX(ABS(N712),ABS(O712))+MAX(ABS(P712),ABS(Q712))</f>
        <v>0.01</v>
      </c>
      <c r="T712" s="18" t="n">
        <f aca="false">MAX(ABS(E712),ABS(F712))</f>
        <v>0</v>
      </c>
      <c r="U712" s="18" t="n">
        <f aca="false">MAX(ABS(L712),ABS(M712))</f>
        <v>0</v>
      </c>
    </row>
    <row r="713" customFormat="false" ht="15" hidden="false" customHeight="false" outlineLevel="0" collapsed="false">
      <c r="A713" s="4" t="n">
        <v>366</v>
      </c>
      <c r="B713" s="4" t="n">
        <v>143</v>
      </c>
      <c r="C713" s="18" t="n">
        <v>0.75</v>
      </c>
      <c r="D713" s="21" t="n">
        <v>0</v>
      </c>
      <c r="E713" s="21" t="n">
        <v>0</v>
      </c>
      <c r="F713" s="21" t="n">
        <v>0</v>
      </c>
      <c r="G713" s="21" t="n">
        <v>0</v>
      </c>
      <c r="H713" s="21" t="n">
        <v>0</v>
      </c>
      <c r="I713" s="21" t="n">
        <v>0</v>
      </c>
      <c r="J713" s="21" t="n">
        <v>0</v>
      </c>
      <c r="K713" s="21" t="n">
        <v>0</v>
      </c>
      <c r="L713" s="21" t="n">
        <v>0</v>
      </c>
      <c r="M713" s="21" t="n">
        <v>0</v>
      </c>
      <c r="N713" s="21" t="n">
        <v>0</v>
      </c>
      <c r="O713" s="21" t="n">
        <v>0</v>
      </c>
      <c r="P713" s="21" t="n">
        <v>0</v>
      </c>
      <c r="Q713" s="21" t="n">
        <v>0</v>
      </c>
      <c r="R713" s="18" t="n">
        <f aca="false">ABS(D713)+MAX(ABS(G713),ABS(H713))+MAX(ABS(I713),ABS(J713))</f>
        <v>0</v>
      </c>
      <c r="S713" s="18" t="n">
        <f aca="false">ABS(K713)+MAX(ABS(N713),ABS(O713))+MAX(ABS(P713),ABS(Q713))</f>
        <v>0</v>
      </c>
      <c r="T713" s="18" t="n">
        <f aca="false">MAX(ABS(E713),ABS(F713))</f>
        <v>0</v>
      </c>
      <c r="U713" s="18" t="n">
        <f aca="false">MAX(ABS(L713),ABS(M713))</f>
        <v>0</v>
      </c>
    </row>
    <row r="714" customFormat="false" ht="15" hidden="false" customHeight="false" outlineLevel="0" collapsed="false">
      <c r="A714" s="4" t="n">
        <v>366</v>
      </c>
      <c r="B714" s="4" t="n">
        <v>143</v>
      </c>
      <c r="C714" s="18" t="n">
        <v>1</v>
      </c>
      <c r="D714" s="21" t="n">
        <v>0</v>
      </c>
      <c r="E714" s="21" t="n">
        <v>0</v>
      </c>
      <c r="F714" s="21" t="n">
        <v>0</v>
      </c>
      <c r="G714" s="21" t="n">
        <v>0</v>
      </c>
      <c r="H714" s="21" t="n">
        <v>0</v>
      </c>
      <c r="I714" s="21" t="n">
        <v>0</v>
      </c>
      <c r="J714" s="21" t="n">
        <v>0</v>
      </c>
      <c r="K714" s="21" t="n">
        <v>0</v>
      </c>
      <c r="L714" s="21" t="n">
        <v>0</v>
      </c>
      <c r="M714" s="21" t="n">
        <v>0</v>
      </c>
      <c r="N714" s="21" t="n">
        <v>0</v>
      </c>
      <c r="O714" s="21" t="n">
        <v>0</v>
      </c>
      <c r="P714" s="21" t="n">
        <v>0</v>
      </c>
      <c r="Q714" s="21" t="n">
        <v>0</v>
      </c>
      <c r="R714" s="18" t="n">
        <f aca="false">ABS(D714)+MAX(ABS(G714),ABS(H714))+MAX(ABS(I714),ABS(J714))</f>
        <v>0</v>
      </c>
      <c r="S714" s="18" t="n">
        <f aca="false">ABS(K714)+MAX(ABS(N714),ABS(O714))+MAX(ABS(P714),ABS(Q714))</f>
        <v>0</v>
      </c>
      <c r="T714" s="18" t="n">
        <f aca="false">MAX(ABS(E714),ABS(F714))</f>
        <v>0</v>
      </c>
      <c r="U714" s="18" t="n">
        <f aca="false">MAX(ABS(L714),ABS(M714))</f>
        <v>0</v>
      </c>
    </row>
    <row r="715" customFormat="false" ht="15" hidden="false" customHeight="false" outlineLevel="0" collapsed="false">
      <c r="A715" s="4" t="n">
        <v>367</v>
      </c>
      <c r="B715" s="4" t="n">
        <v>144</v>
      </c>
      <c r="C715" s="18" t="n">
        <v>0</v>
      </c>
      <c r="D715" s="21" t="n">
        <v>0</v>
      </c>
      <c r="E715" s="21" t="n">
        <v>0</v>
      </c>
      <c r="F715" s="21" t="n">
        <v>0</v>
      </c>
      <c r="G715" s="21" t="n">
        <v>0.01</v>
      </c>
      <c r="H715" s="21" t="n">
        <v>-0.01</v>
      </c>
      <c r="I715" s="21" t="n">
        <v>0</v>
      </c>
      <c r="J715" s="21" t="n">
        <v>0</v>
      </c>
      <c r="K715" s="21" t="n">
        <v>0</v>
      </c>
      <c r="L715" s="21" t="n">
        <v>0</v>
      </c>
      <c r="M715" s="21" t="n">
        <v>0</v>
      </c>
      <c r="N715" s="21" t="n">
        <v>0.01</v>
      </c>
      <c r="O715" s="21" t="n">
        <v>-0.01</v>
      </c>
      <c r="P715" s="21" t="n">
        <v>0</v>
      </c>
      <c r="Q715" s="21" t="n">
        <v>0</v>
      </c>
      <c r="R715" s="18" t="n">
        <f aca="false">ABS(D715)+MAX(ABS(G715),ABS(H715))+MAX(ABS(I715),ABS(J715))</f>
        <v>0.01</v>
      </c>
      <c r="S715" s="18" t="n">
        <f aca="false">ABS(K715)+MAX(ABS(N715),ABS(O715))+MAX(ABS(P715),ABS(Q715))</f>
        <v>0.01</v>
      </c>
      <c r="T715" s="18" t="n">
        <f aca="false">MAX(ABS(E715),ABS(F715))</f>
        <v>0</v>
      </c>
      <c r="U715" s="18" t="n">
        <f aca="false">MAX(ABS(L715),ABS(M715))</f>
        <v>0</v>
      </c>
    </row>
    <row r="716" customFormat="false" ht="15" hidden="false" customHeight="false" outlineLevel="0" collapsed="false">
      <c r="A716" s="4" t="n">
        <v>367</v>
      </c>
      <c r="B716" s="4" t="n">
        <v>144</v>
      </c>
      <c r="C716" s="18" t="n">
        <v>0.25</v>
      </c>
      <c r="D716" s="21" t="n">
        <v>0</v>
      </c>
      <c r="E716" s="21" t="n">
        <v>0</v>
      </c>
      <c r="F716" s="21" t="n">
        <v>0</v>
      </c>
      <c r="G716" s="21" t="n">
        <v>0.01</v>
      </c>
      <c r="H716" s="21" t="n">
        <v>-0.01</v>
      </c>
      <c r="I716" s="21" t="n">
        <v>0</v>
      </c>
      <c r="J716" s="21" t="n">
        <v>0</v>
      </c>
      <c r="K716" s="21" t="n">
        <v>0</v>
      </c>
      <c r="L716" s="21" t="n">
        <v>0</v>
      </c>
      <c r="M716" s="21" t="n">
        <v>0</v>
      </c>
      <c r="N716" s="21" t="n">
        <v>0.01</v>
      </c>
      <c r="O716" s="21" t="n">
        <v>-0.01</v>
      </c>
      <c r="P716" s="21" t="n">
        <v>0</v>
      </c>
      <c r="Q716" s="21" t="n">
        <v>0</v>
      </c>
      <c r="R716" s="18" t="n">
        <f aca="false">ABS(D716)+MAX(ABS(G716),ABS(H716))+MAX(ABS(I716),ABS(J716))</f>
        <v>0.01</v>
      </c>
      <c r="S716" s="18" t="n">
        <f aca="false">ABS(K716)+MAX(ABS(N716),ABS(O716))+MAX(ABS(P716),ABS(Q716))</f>
        <v>0.01</v>
      </c>
      <c r="T716" s="18" t="n">
        <f aca="false">MAX(ABS(E716),ABS(F716))</f>
        <v>0</v>
      </c>
      <c r="U716" s="18" t="n">
        <f aca="false">MAX(ABS(L716),ABS(M716))</f>
        <v>0</v>
      </c>
    </row>
    <row r="717" customFormat="false" ht="15" hidden="false" customHeight="false" outlineLevel="0" collapsed="false">
      <c r="A717" s="4" t="n">
        <v>367</v>
      </c>
      <c r="B717" s="4" t="n">
        <v>144</v>
      </c>
      <c r="C717" s="18" t="n">
        <v>0.5</v>
      </c>
      <c r="D717" s="21" t="n">
        <v>0</v>
      </c>
      <c r="E717" s="21" t="n">
        <v>0</v>
      </c>
      <c r="F717" s="21" t="n">
        <v>0</v>
      </c>
      <c r="G717" s="21" t="n">
        <v>0.01</v>
      </c>
      <c r="H717" s="21" t="n">
        <v>-0.01</v>
      </c>
      <c r="I717" s="21" t="n">
        <v>0</v>
      </c>
      <c r="J717" s="21" t="n">
        <v>0</v>
      </c>
      <c r="K717" s="21" t="n">
        <v>0</v>
      </c>
      <c r="L717" s="21" t="n">
        <v>0</v>
      </c>
      <c r="M717" s="21" t="n">
        <v>0</v>
      </c>
      <c r="N717" s="21" t="n">
        <v>0.01</v>
      </c>
      <c r="O717" s="21" t="n">
        <v>-0.01</v>
      </c>
      <c r="P717" s="21" t="n">
        <v>0</v>
      </c>
      <c r="Q717" s="21" t="n">
        <v>0</v>
      </c>
      <c r="R717" s="18" t="n">
        <f aca="false">ABS(D717)+MAX(ABS(G717),ABS(H717))+MAX(ABS(I717),ABS(J717))</f>
        <v>0.01</v>
      </c>
      <c r="S717" s="18" t="n">
        <f aca="false">ABS(K717)+MAX(ABS(N717),ABS(O717))+MAX(ABS(P717),ABS(Q717))</f>
        <v>0.01</v>
      </c>
      <c r="T717" s="18" t="n">
        <f aca="false">MAX(ABS(E717),ABS(F717))</f>
        <v>0</v>
      </c>
      <c r="U717" s="18" t="n">
        <f aca="false">MAX(ABS(L717),ABS(M717))</f>
        <v>0</v>
      </c>
    </row>
    <row r="718" customFormat="false" ht="15" hidden="false" customHeight="false" outlineLevel="0" collapsed="false">
      <c r="A718" s="4" t="n">
        <v>367</v>
      </c>
      <c r="B718" s="4" t="n">
        <v>144</v>
      </c>
      <c r="C718" s="18" t="n">
        <v>0.75</v>
      </c>
      <c r="D718" s="21" t="n">
        <v>0</v>
      </c>
      <c r="E718" s="21" t="n">
        <v>0</v>
      </c>
      <c r="F718" s="21" t="n">
        <v>0</v>
      </c>
      <c r="G718" s="21" t="n">
        <v>0</v>
      </c>
      <c r="H718" s="21" t="n">
        <v>0</v>
      </c>
      <c r="I718" s="21" t="n">
        <v>0</v>
      </c>
      <c r="J718" s="21" t="n">
        <v>0</v>
      </c>
      <c r="K718" s="21" t="n">
        <v>0</v>
      </c>
      <c r="L718" s="21" t="n">
        <v>0</v>
      </c>
      <c r="M718" s="21" t="n">
        <v>0</v>
      </c>
      <c r="N718" s="21" t="n">
        <v>0</v>
      </c>
      <c r="O718" s="21" t="n">
        <v>0</v>
      </c>
      <c r="P718" s="21" t="n">
        <v>0</v>
      </c>
      <c r="Q718" s="21" t="n">
        <v>0</v>
      </c>
      <c r="R718" s="18" t="n">
        <f aca="false">ABS(D718)+MAX(ABS(G718),ABS(H718))+MAX(ABS(I718),ABS(J718))</f>
        <v>0</v>
      </c>
      <c r="S718" s="18" t="n">
        <f aca="false">ABS(K718)+MAX(ABS(N718),ABS(O718))+MAX(ABS(P718),ABS(Q718))</f>
        <v>0</v>
      </c>
      <c r="T718" s="18" t="n">
        <f aca="false">MAX(ABS(E718),ABS(F718))</f>
        <v>0</v>
      </c>
      <c r="U718" s="18" t="n">
        <f aca="false">MAX(ABS(L718),ABS(M718))</f>
        <v>0</v>
      </c>
    </row>
    <row r="719" customFormat="false" ht="15" hidden="false" customHeight="false" outlineLevel="0" collapsed="false">
      <c r="A719" s="4" t="n">
        <v>367</v>
      </c>
      <c r="B719" s="4" t="n">
        <v>144</v>
      </c>
      <c r="C719" s="18" t="n">
        <v>1</v>
      </c>
      <c r="D719" s="21" t="n">
        <v>0</v>
      </c>
      <c r="E719" s="21" t="n">
        <v>0</v>
      </c>
      <c r="F719" s="21" t="n">
        <v>0</v>
      </c>
      <c r="G719" s="21" t="n">
        <v>0</v>
      </c>
      <c r="H719" s="21" t="n">
        <v>0</v>
      </c>
      <c r="I719" s="21" t="n">
        <v>0</v>
      </c>
      <c r="J719" s="21" t="n">
        <v>0</v>
      </c>
      <c r="K719" s="21" t="n">
        <v>0</v>
      </c>
      <c r="L719" s="21" t="n">
        <v>0</v>
      </c>
      <c r="M719" s="21" t="n">
        <v>0</v>
      </c>
      <c r="N719" s="21" t="n">
        <v>0</v>
      </c>
      <c r="O719" s="21" t="n">
        <v>0</v>
      </c>
      <c r="P719" s="21" t="n">
        <v>0</v>
      </c>
      <c r="Q719" s="21" t="n">
        <v>0</v>
      </c>
      <c r="R719" s="18" t="n">
        <f aca="false">ABS(D719)+MAX(ABS(G719),ABS(H719))+MAX(ABS(I719),ABS(J719))</f>
        <v>0</v>
      </c>
      <c r="S719" s="18" t="n">
        <f aca="false">ABS(K719)+MAX(ABS(N719),ABS(O719))+MAX(ABS(P719),ABS(Q719))</f>
        <v>0</v>
      </c>
      <c r="T719" s="18" t="n">
        <f aca="false">MAX(ABS(E719),ABS(F719))</f>
        <v>0</v>
      </c>
      <c r="U719" s="18" t="n">
        <f aca="false">MAX(ABS(L719),ABS(M719))</f>
        <v>0</v>
      </c>
    </row>
    <row r="720" customFormat="false" ht="15" hidden="false" customHeight="false" outlineLevel="0" collapsed="false">
      <c r="A720" s="4" t="n">
        <v>368</v>
      </c>
      <c r="B720" s="4" t="n">
        <v>145</v>
      </c>
      <c r="C720" s="18" t="n">
        <v>0</v>
      </c>
      <c r="D720" s="21" t="n">
        <v>0</v>
      </c>
      <c r="E720" s="21" t="n">
        <v>0</v>
      </c>
      <c r="F720" s="21" t="n">
        <v>0</v>
      </c>
      <c r="G720" s="21" t="n">
        <v>0</v>
      </c>
      <c r="H720" s="21" t="n">
        <v>0</v>
      </c>
      <c r="I720" s="21" t="n">
        <v>0</v>
      </c>
      <c r="J720" s="21" t="n">
        <v>0</v>
      </c>
      <c r="K720" s="21" t="n">
        <v>0</v>
      </c>
      <c r="L720" s="21" t="n">
        <v>0</v>
      </c>
      <c r="M720" s="21" t="n">
        <v>0</v>
      </c>
      <c r="N720" s="21" t="n">
        <v>0</v>
      </c>
      <c r="O720" s="21" t="n">
        <v>0</v>
      </c>
      <c r="P720" s="21" t="n">
        <v>0</v>
      </c>
      <c r="Q720" s="21" t="n">
        <v>0</v>
      </c>
      <c r="R720" s="18" t="n">
        <f aca="false">ABS(D720)+MAX(ABS(G720),ABS(H720))+MAX(ABS(I720),ABS(J720))</f>
        <v>0</v>
      </c>
      <c r="S720" s="18" t="n">
        <f aca="false">ABS(K720)+MAX(ABS(N720),ABS(O720))+MAX(ABS(P720),ABS(Q720))</f>
        <v>0</v>
      </c>
      <c r="T720" s="18" t="n">
        <f aca="false">MAX(ABS(E720),ABS(F720))</f>
        <v>0</v>
      </c>
      <c r="U720" s="18" t="n">
        <f aca="false">MAX(ABS(L720),ABS(M720))</f>
        <v>0</v>
      </c>
    </row>
    <row r="721" customFormat="false" ht="15" hidden="false" customHeight="false" outlineLevel="0" collapsed="false">
      <c r="A721" s="4" t="n">
        <v>368</v>
      </c>
      <c r="B721" s="4" t="n">
        <v>145</v>
      </c>
      <c r="C721" s="18" t="n">
        <v>0.25</v>
      </c>
      <c r="D721" s="21" t="n">
        <v>0</v>
      </c>
      <c r="E721" s="21" t="n">
        <v>0</v>
      </c>
      <c r="F721" s="21" t="n">
        <v>0</v>
      </c>
      <c r="G721" s="21" t="n">
        <v>0</v>
      </c>
      <c r="H721" s="21" t="n">
        <v>0</v>
      </c>
      <c r="I721" s="21" t="n">
        <v>0</v>
      </c>
      <c r="J721" s="21" t="n">
        <v>0</v>
      </c>
      <c r="K721" s="21" t="n">
        <v>0</v>
      </c>
      <c r="L721" s="21" t="n">
        <v>0</v>
      </c>
      <c r="M721" s="21" t="n">
        <v>0</v>
      </c>
      <c r="N721" s="21" t="n">
        <v>0</v>
      </c>
      <c r="O721" s="21" t="n">
        <v>0</v>
      </c>
      <c r="P721" s="21" t="n">
        <v>0</v>
      </c>
      <c r="Q721" s="21" t="n">
        <v>0</v>
      </c>
      <c r="R721" s="18" t="n">
        <f aca="false">ABS(D721)+MAX(ABS(G721),ABS(H721))+MAX(ABS(I721),ABS(J721))</f>
        <v>0</v>
      </c>
      <c r="S721" s="18" t="n">
        <f aca="false">ABS(K721)+MAX(ABS(N721),ABS(O721))+MAX(ABS(P721),ABS(Q721))</f>
        <v>0</v>
      </c>
      <c r="T721" s="18" t="n">
        <f aca="false">MAX(ABS(E721),ABS(F721))</f>
        <v>0</v>
      </c>
      <c r="U721" s="18" t="n">
        <f aca="false">MAX(ABS(L721),ABS(M721))</f>
        <v>0</v>
      </c>
    </row>
    <row r="722" customFormat="false" ht="15" hidden="false" customHeight="false" outlineLevel="0" collapsed="false">
      <c r="A722" s="4" t="n">
        <v>368</v>
      </c>
      <c r="B722" s="4" t="n">
        <v>145</v>
      </c>
      <c r="C722" s="18" t="n">
        <v>0.5</v>
      </c>
      <c r="D722" s="21" t="n">
        <v>0</v>
      </c>
      <c r="E722" s="21" t="n">
        <v>0</v>
      </c>
      <c r="F722" s="21" t="n">
        <v>0</v>
      </c>
      <c r="G722" s="21" t="n">
        <v>0</v>
      </c>
      <c r="H722" s="21" t="n">
        <v>0</v>
      </c>
      <c r="I722" s="21" t="n">
        <v>0</v>
      </c>
      <c r="J722" s="21" t="n">
        <v>0</v>
      </c>
      <c r="K722" s="21" t="n">
        <v>0</v>
      </c>
      <c r="L722" s="21" t="n">
        <v>0</v>
      </c>
      <c r="M722" s="21" t="n">
        <v>0</v>
      </c>
      <c r="N722" s="21" t="n">
        <v>0</v>
      </c>
      <c r="O722" s="21" t="n">
        <v>0</v>
      </c>
      <c r="P722" s="21" t="n">
        <v>0</v>
      </c>
      <c r="Q722" s="21" t="n">
        <v>0</v>
      </c>
      <c r="R722" s="18" t="n">
        <f aca="false">ABS(D722)+MAX(ABS(G722),ABS(H722))+MAX(ABS(I722),ABS(J722))</f>
        <v>0</v>
      </c>
      <c r="S722" s="18" t="n">
        <f aca="false">ABS(K722)+MAX(ABS(N722),ABS(O722))+MAX(ABS(P722),ABS(Q722))</f>
        <v>0</v>
      </c>
      <c r="T722" s="18" t="n">
        <f aca="false">MAX(ABS(E722),ABS(F722))</f>
        <v>0</v>
      </c>
      <c r="U722" s="18" t="n">
        <f aca="false">MAX(ABS(L722),ABS(M722))</f>
        <v>0</v>
      </c>
    </row>
    <row r="723" customFormat="false" ht="15" hidden="false" customHeight="false" outlineLevel="0" collapsed="false">
      <c r="A723" s="4" t="n">
        <v>368</v>
      </c>
      <c r="B723" s="4" t="n">
        <v>145</v>
      </c>
      <c r="C723" s="18" t="n">
        <v>0.75</v>
      </c>
      <c r="D723" s="21" t="n">
        <v>0</v>
      </c>
      <c r="E723" s="21" t="n">
        <v>0</v>
      </c>
      <c r="F723" s="21" t="n">
        <v>0</v>
      </c>
      <c r="G723" s="21" t="n">
        <v>-0.01</v>
      </c>
      <c r="H723" s="21" t="n">
        <v>0.01</v>
      </c>
      <c r="I723" s="21" t="n">
        <v>0</v>
      </c>
      <c r="J723" s="21" t="n">
        <v>0</v>
      </c>
      <c r="K723" s="21" t="n">
        <v>0</v>
      </c>
      <c r="L723" s="21" t="n">
        <v>0</v>
      </c>
      <c r="M723" s="21" t="n">
        <v>0</v>
      </c>
      <c r="N723" s="21" t="n">
        <v>-0.01</v>
      </c>
      <c r="O723" s="21" t="n">
        <v>0.01</v>
      </c>
      <c r="P723" s="21" t="n">
        <v>0</v>
      </c>
      <c r="Q723" s="21" t="n">
        <v>0</v>
      </c>
      <c r="R723" s="18" t="n">
        <f aca="false">ABS(D723)+MAX(ABS(G723),ABS(H723))+MAX(ABS(I723),ABS(J723))</f>
        <v>0.01</v>
      </c>
      <c r="S723" s="18" t="n">
        <f aca="false">ABS(K723)+MAX(ABS(N723),ABS(O723))+MAX(ABS(P723),ABS(Q723))</f>
        <v>0.01</v>
      </c>
      <c r="T723" s="18" t="n">
        <f aca="false">MAX(ABS(E723),ABS(F723))</f>
        <v>0</v>
      </c>
      <c r="U723" s="18" t="n">
        <f aca="false">MAX(ABS(L723),ABS(M723))</f>
        <v>0</v>
      </c>
    </row>
    <row r="724" customFormat="false" ht="15" hidden="false" customHeight="false" outlineLevel="0" collapsed="false">
      <c r="A724" s="4" t="n">
        <v>368</v>
      </c>
      <c r="B724" s="4" t="n">
        <v>145</v>
      </c>
      <c r="C724" s="18" t="n">
        <v>1</v>
      </c>
      <c r="D724" s="21" t="n">
        <v>0</v>
      </c>
      <c r="E724" s="21" t="n">
        <v>0</v>
      </c>
      <c r="F724" s="21" t="n">
        <v>0</v>
      </c>
      <c r="G724" s="21" t="n">
        <v>-0.01</v>
      </c>
      <c r="H724" s="21" t="n">
        <v>0.01</v>
      </c>
      <c r="I724" s="21" t="n">
        <v>0</v>
      </c>
      <c r="J724" s="21" t="n">
        <v>0</v>
      </c>
      <c r="K724" s="21" t="n">
        <v>0</v>
      </c>
      <c r="L724" s="21" t="n">
        <v>0</v>
      </c>
      <c r="M724" s="21" t="n">
        <v>0</v>
      </c>
      <c r="N724" s="21" t="n">
        <v>-0.01</v>
      </c>
      <c r="O724" s="21" t="n">
        <v>0.01</v>
      </c>
      <c r="P724" s="21" t="n">
        <v>0</v>
      </c>
      <c r="Q724" s="21" t="n">
        <v>0</v>
      </c>
      <c r="R724" s="18" t="n">
        <f aca="false">ABS(D724)+MAX(ABS(G724),ABS(H724))+MAX(ABS(I724),ABS(J724))</f>
        <v>0.01</v>
      </c>
      <c r="S724" s="18" t="n">
        <f aca="false">ABS(K724)+MAX(ABS(N724),ABS(O724))+MAX(ABS(P724),ABS(Q724))</f>
        <v>0.01</v>
      </c>
      <c r="T724" s="18" t="n">
        <f aca="false">MAX(ABS(E724),ABS(F724))</f>
        <v>0</v>
      </c>
      <c r="U724" s="18" t="n">
        <f aca="false">MAX(ABS(L724),ABS(M724))</f>
        <v>0</v>
      </c>
    </row>
    <row r="725" customFormat="false" ht="15" hidden="false" customHeight="false" outlineLevel="0" collapsed="false">
      <c r="A725" s="4" t="n">
        <v>369</v>
      </c>
      <c r="B725" s="4" t="n">
        <v>146</v>
      </c>
      <c r="C725" s="18" t="n">
        <v>0</v>
      </c>
      <c r="D725" s="21" t="n">
        <v>0</v>
      </c>
      <c r="E725" s="21" t="n">
        <v>0</v>
      </c>
      <c r="F725" s="21" t="n">
        <v>0</v>
      </c>
      <c r="G725" s="21" t="n">
        <v>0</v>
      </c>
      <c r="H725" s="21" t="n">
        <v>0</v>
      </c>
      <c r="I725" s="21" t="n">
        <v>0</v>
      </c>
      <c r="J725" s="21" t="n">
        <v>0</v>
      </c>
      <c r="K725" s="21" t="n">
        <v>0</v>
      </c>
      <c r="L725" s="21" t="n">
        <v>0</v>
      </c>
      <c r="M725" s="21" t="n">
        <v>0</v>
      </c>
      <c r="N725" s="21" t="n">
        <v>0</v>
      </c>
      <c r="O725" s="21" t="n">
        <v>0</v>
      </c>
      <c r="P725" s="21" t="n">
        <v>0</v>
      </c>
      <c r="Q725" s="21" t="n">
        <v>0</v>
      </c>
      <c r="R725" s="18" t="n">
        <f aca="false">ABS(D725)+MAX(ABS(G725),ABS(H725))+MAX(ABS(I725),ABS(J725))</f>
        <v>0</v>
      </c>
      <c r="S725" s="18" t="n">
        <f aca="false">ABS(K725)+MAX(ABS(N725),ABS(O725))+MAX(ABS(P725),ABS(Q725))</f>
        <v>0</v>
      </c>
      <c r="T725" s="18" t="n">
        <f aca="false">MAX(ABS(E725),ABS(F725))</f>
        <v>0</v>
      </c>
      <c r="U725" s="18" t="n">
        <f aca="false">MAX(ABS(L725),ABS(M725))</f>
        <v>0</v>
      </c>
    </row>
    <row r="726" customFormat="false" ht="15" hidden="false" customHeight="false" outlineLevel="0" collapsed="false">
      <c r="A726" s="4" t="n">
        <v>369</v>
      </c>
      <c r="B726" s="4" t="n">
        <v>146</v>
      </c>
      <c r="C726" s="18" t="n">
        <v>0.25</v>
      </c>
      <c r="D726" s="21" t="n">
        <v>0</v>
      </c>
      <c r="E726" s="21" t="n">
        <v>0</v>
      </c>
      <c r="F726" s="21" t="n">
        <v>0</v>
      </c>
      <c r="G726" s="21" t="n">
        <v>0</v>
      </c>
      <c r="H726" s="21" t="n">
        <v>0</v>
      </c>
      <c r="I726" s="21" t="n">
        <v>0</v>
      </c>
      <c r="J726" s="21" t="n">
        <v>0</v>
      </c>
      <c r="K726" s="21" t="n">
        <v>0</v>
      </c>
      <c r="L726" s="21" t="n">
        <v>0</v>
      </c>
      <c r="M726" s="21" t="n">
        <v>0</v>
      </c>
      <c r="N726" s="21" t="n">
        <v>0</v>
      </c>
      <c r="O726" s="21" t="n">
        <v>0</v>
      </c>
      <c r="P726" s="21" t="n">
        <v>0</v>
      </c>
      <c r="Q726" s="21" t="n">
        <v>0</v>
      </c>
      <c r="R726" s="18" t="n">
        <f aca="false">ABS(D726)+MAX(ABS(G726),ABS(H726))+MAX(ABS(I726),ABS(J726))</f>
        <v>0</v>
      </c>
      <c r="S726" s="18" t="n">
        <f aca="false">ABS(K726)+MAX(ABS(N726),ABS(O726))+MAX(ABS(P726),ABS(Q726))</f>
        <v>0</v>
      </c>
      <c r="T726" s="18" t="n">
        <f aca="false">MAX(ABS(E726),ABS(F726))</f>
        <v>0</v>
      </c>
      <c r="U726" s="18" t="n">
        <f aca="false">MAX(ABS(L726),ABS(M726))</f>
        <v>0</v>
      </c>
    </row>
    <row r="727" customFormat="false" ht="15" hidden="false" customHeight="false" outlineLevel="0" collapsed="false">
      <c r="A727" s="4" t="n">
        <v>369</v>
      </c>
      <c r="B727" s="4" t="n">
        <v>146</v>
      </c>
      <c r="C727" s="18" t="n">
        <v>0.5</v>
      </c>
      <c r="D727" s="21" t="n">
        <v>0</v>
      </c>
      <c r="E727" s="21" t="n">
        <v>0</v>
      </c>
      <c r="F727" s="21" t="n">
        <v>0</v>
      </c>
      <c r="G727" s="21" t="n">
        <v>-0.01</v>
      </c>
      <c r="H727" s="21" t="n">
        <v>0.01</v>
      </c>
      <c r="I727" s="21" t="n">
        <v>0</v>
      </c>
      <c r="J727" s="21" t="n">
        <v>0</v>
      </c>
      <c r="K727" s="21" t="n">
        <v>0</v>
      </c>
      <c r="L727" s="21" t="n">
        <v>0</v>
      </c>
      <c r="M727" s="21" t="n">
        <v>0</v>
      </c>
      <c r="N727" s="21" t="n">
        <v>-0.01</v>
      </c>
      <c r="O727" s="21" t="n">
        <v>0.01</v>
      </c>
      <c r="P727" s="21" t="n">
        <v>0</v>
      </c>
      <c r="Q727" s="21" t="n">
        <v>0</v>
      </c>
      <c r="R727" s="18" t="n">
        <f aca="false">ABS(D727)+MAX(ABS(G727),ABS(H727))+MAX(ABS(I727),ABS(J727))</f>
        <v>0.01</v>
      </c>
      <c r="S727" s="18" t="n">
        <f aca="false">ABS(K727)+MAX(ABS(N727),ABS(O727))+MAX(ABS(P727),ABS(Q727))</f>
        <v>0.01</v>
      </c>
      <c r="T727" s="18" t="n">
        <f aca="false">MAX(ABS(E727),ABS(F727))</f>
        <v>0</v>
      </c>
      <c r="U727" s="18" t="n">
        <f aca="false">MAX(ABS(L727),ABS(M727))</f>
        <v>0</v>
      </c>
    </row>
    <row r="728" customFormat="false" ht="15" hidden="false" customHeight="false" outlineLevel="0" collapsed="false">
      <c r="A728" s="4" t="n">
        <v>369</v>
      </c>
      <c r="B728" s="4" t="n">
        <v>146</v>
      </c>
      <c r="C728" s="18" t="n">
        <v>0.75</v>
      </c>
      <c r="D728" s="21" t="n">
        <v>0</v>
      </c>
      <c r="E728" s="21" t="n">
        <v>0</v>
      </c>
      <c r="F728" s="21" t="n">
        <v>0</v>
      </c>
      <c r="G728" s="21" t="n">
        <v>-0.01</v>
      </c>
      <c r="H728" s="21" t="n">
        <v>0.01</v>
      </c>
      <c r="I728" s="21" t="n">
        <v>0</v>
      </c>
      <c r="J728" s="21" t="n">
        <v>0</v>
      </c>
      <c r="K728" s="21" t="n">
        <v>0</v>
      </c>
      <c r="L728" s="21" t="n">
        <v>0</v>
      </c>
      <c r="M728" s="21" t="n">
        <v>0</v>
      </c>
      <c r="N728" s="21" t="n">
        <v>-0.01</v>
      </c>
      <c r="O728" s="21" t="n">
        <v>0.01</v>
      </c>
      <c r="P728" s="21" t="n">
        <v>0</v>
      </c>
      <c r="Q728" s="21" t="n">
        <v>0</v>
      </c>
      <c r="R728" s="18" t="n">
        <f aca="false">ABS(D728)+MAX(ABS(G728),ABS(H728))+MAX(ABS(I728),ABS(J728))</f>
        <v>0.01</v>
      </c>
      <c r="S728" s="18" t="n">
        <f aca="false">ABS(K728)+MAX(ABS(N728),ABS(O728))+MAX(ABS(P728),ABS(Q728))</f>
        <v>0.01</v>
      </c>
      <c r="T728" s="18" t="n">
        <f aca="false">MAX(ABS(E728),ABS(F728))</f>
        <v>0</v>
      </c>
      <c r="U728" s="18" t="n">
        <f aca="false">MAX(ABS(L728),ABS(M728))</f>
        <v>0</v>
      </c>
    </row>
    <row r="729" customFormat="false" ht="15" hidden="false" customHeight="false" outlineLevel="0" collapsed="false">
      <c r="A729" s="4" t="n">
        <v>369</v>
      </c>
      <c r="B729" s="4" t="n">
        <v>146</v>
      </c>
      <c r="C729" s="18" t="n">
        <v>1</v>
      </c>
      <c r="D729" s="21" t="n">
        <v>0</v>
      </c>
      <c r="E729" s="21" t="n">
        <v>0</v>
      </c>
      <c r="F729" s="21" t="n">
        <v>0</v>
      </c>
      <c r="G729" s="21" t="n">
        <v>-0.01</v>
      </c>
      <c r="H729" s="21" t="n">
        <v>0.01</v>
      </c>
      <c r="I729" s="21" t="n">
        <v>0</v>
      </c>
      <c r="J729" s="21" t="n">
        <v>0</v>
      </c>
      <c r="K729" s="21" t="n">
        <v>0</v>
      </c>
      <c r="L729" s="21" t="n">
        <v>0</v>
      </c>
      <c r="M729" s="21" t="n">
        <v>0</v>
      </c>
      <c r="N729" s="21" t="n">
        <v>-0.01</v>
      </c>
      <c r="O729" s="21" t="n">
        <v>0.01</v>
      </c>
      <c r="P729" s="21" t="n">
        <v>0</v>
      </c>
      <c r="Q729" s="21" t="n">
        <v>0</v>
      </c>
      <c r="R729" s="18" t="n">
        <f aca="false">ABS(D729)+MAX(ABS(G729),ABS(H729))+MAX(ABS(I729),ABS(J729))</f>
        <v>0.01</v>
      </c>
      <c r="S729" s="18" t="n">
        <f aca="false">ABS(K729)+MAX(ABS(N729),ABS(O729))+MAX(ABS(P729),ABS(Q729))</f>
        <v>0.01</v>
      </c>
      <c r="T729" s="18" t="n">
        <f aca="false">MAX(ABS(E729),ABS(F729))</f>
        <v>0</v>
      </c>
      <c r="U729" s="18" t="n">
        <f aca="false">MAX(ABS(L729),ABS(M729))</f>
        <v>0</v>
      </c>
    </row>
    <row r="730" customFormat="false" ht="15" hidden="false" customHeight="false" outlineLevel="0" collapsed="false">
      <c r="A730" s="4" t="n">
        <v>370</v>
      </c>
      <c r="B730" s="4" t="n">
        <v>147</v>
      </c>
      <c r="C730" s="18" t="n">
        <v>0</v>
      </c>
      <c r="D730" s="21" t="n">
        <v>0.03</v>
      </c>
      <c r="E730" s="21" t="n">
        <v>0</v>
      </c>
      <c r="F730" s="21" t="n">
        <v>0</v>
      </c>
      <c r="G730" s="21" t="n">
        <v>0</v>
      </c>
      <c r="H730" s="21" t="n">
        <v>0</v>
      </c>
      <c r="I730" s="21" t="n">
        <v>0.02</v>
      </c>
      <c r="J730" s="21" t="n">
        <v>-0.01</v>
      </c>
      <c r="K730" s="21" t="n">
        <v>0.03</v>
      </c>
      <c r="L730" s="21" t="n">
        <v>0</v>
      </c>
      <c r="M730" s="21" t="n">
        <v>0</v>
      </c>
      <c r="N730" s="21" t="n">
        <v>0</v>
      </c>
      <c r="O730" s="21" t="n">
        <v>0</v>
      </c>
      <c r="P730" s="21" t="n">
        <v>0.02</v>
      </c>
      <c r="Q730" s="21" t="n">
        <v>-0.01</v>
      </c>
      <c r="R730" s="18" t="n">
        <f aca="false">ABS(D730)+MAX(ABS(G730),ABS(H730))+MAX(ABS(I730),ABS(J730))</f>
        <v>0.05</v>
      </c>
      <c r="S730" s="18" t="n">
        <f aca="false">ABS(K730)+MAX(ABS(N730),ABS(O730))+MAX(ABS(P730),ABS(Q730))</f>
        <v>0.05</v>
      </c>
      <c r="T730" s="18" t="n">
        <f aca="false">MAX(ABS(E730),ABS(F730))</f>
        <v>0</v>
      </c>
      <c r="U730" s="18" t="n">
        <f aca="false">MAX(ABS(L730),ABS(M730))</f>
        <v>0</v>
      </c>
    </row>
    <row r="731" customFormat="false" ht="15" hidden="false" customHeight="false" outlineLevel="0" collapsed="false">
      <c r="A731" s="4" t="n">
        <v>370</v>
      </c>
      <c r="B731" s="4" t="n">
        <v>147</v>
      </c>
      <c r="C731" s="18" t="n">
        <v>0.25</v>
      </c>
      <c r="D731" s="21" t="n">
        <v>0.03</v>
      </c>
      <c r="E731" s="21" t="n">
        <v>0</v>
      </c>
      <c r="F731" s="21" t="n">
        <v>0</v>
      </c>
      <c r="G731" s="21" t="n">
        <v>0</v>
      </c>
      <c r="H731" s="21" t="n">
        <v>0</v>
      </c>
      <c r="I731" s="21" t="n">
        <v>0.01</v>
      </c>
      <c r="J731" s="21" t="n">
        <v>-0.01</v>
      </c>
      <c r="K731" s="21" t="n">
        <v>0.03</v>
      </c>
      <c r="L731" s="21" t="n">
        <v>0</v>
      </c>
      <c r="M731" s="21" t="n">
        <v>0</v>
      </c>
      <c r="N731" s="21" t="n">
        <v>0</v>
      </c>
      <c r="O731" s="21" t="n">
        <v>0</v>
      </c>
      <c r="P731" s="21" t="n">
        <v>0.01</v>
      </c>
      <c r="Q731" s="21" t="n">
        <v>-0.01</v>
      </c>
      <c r="R731" s="18" t="n">
        <f aca="false">ABS(D731)+MAX(ABS(G731),ABS(H731))+MAX(ABS(I731),ABS(J731))</f>
        <v>0.04</v>
      </c>
      <c r="S731" s="18" t="n">
        <f aca="false">ABS(K731)+MAX(ABS(N731),ABS(O731))+MAX(ABS(P731),ABS(Q731))</f>
        <v>0.04</v>
      </c>
      <c r="T731" s="18" t="n">
        <f aca="false">MAX(ABS(E731),ABS(F731))</f>
        <v>0</v>
      </c>
      <c r="U731" s="18" t="n">
        <f aca="false">MAX(ABS(L731),ABS(M731))</f>
        <v>0</v>
      </c>
    </row>
    <row r="732" customFormat="false" ht="15" hidden="false" customHeight="false" outlineLevel="0" collapsed="false">
      <c r="A732" s="4" t="n">
        <v>370</v>
      </c>
      <c r="B732" s="4" t="n">
        <v>147</v>
      </c>
      <c r="C732" s="18" t="n">
        <v>0.5</v>
      </c>
      <c r="D732" s="21" t="n">
        <v>0.03</v>
      </c>
      <c r="E732" s="21" t="n">
        <v>0</v>
      </c>
      <c r="F732" s="21" t="n">
        <v>0</v>
      </c>
      <c r="G732" s="21" t="n">
        <v>0</v>
      </c>
      <c r="H732" s="21" t="n">
        <v>0</v>
      </c>
      <c r="I732" s="21" t="n">
        <v>0</v>
      </c>
      <c r="J732" s="21" t="n">
        <v>0</v>
      </c>
      <c r="K732" s="21" t="n">
        <v>0.03</v>
      </c>
      <c r="L732" s="21" t="n">
        <v>0</v>
      </c>
      <c r="M732" s="21" t="n">
        <v>0</v>
      </c>
      <c r="N732" s="21" t="n">
        <v>0</v>
      </c>
      <c r="O732" s="21" t="n">
        <v>0</v>
      </c>
      <c r="P732" s="21" t="n">
        <v>0.01</v>
      </c>
      <c r="Q732" s="21" t="n">
        <v>0</v>
      </c>
      <c r="R732" s="18" t="n">
        <f aca="false">ABS(D732)+MAX(ABS(G732),ABS(H732))+MAX(ABS(I732),ABS(J732))</f>
        <v>0.03</v>
      </c>
      <c r="S732" s="18" t="n">
        <f aca="false">ABS(K732)+MAX(ABS(N732),ABS(O732))+MAX(ABS(P732),ABS(Q732))</f>
        <v>0.04</v>
      </c>
      <c r="T732" s="18" t="n">
        <f aca="false">MAX(ABS(E732),ABS(F732))</f>
        <v>0</v>
      </c>
      <c r="U732" s="18" t="n">
        <f aca="false">MAX(ABS(L732),ABS(M732))</f>
        <v>0</v>
      </c>
    </row>
    <row r="733" customFormat="false" ht="15" hidden="false" customHeight="false" outlineLevel="0" collapsed="false">
      <c r="A733" s="4" t="n">
        <v>370</v>
      </c>
      <c r="B733" s="4" t="n">
        <v>147</v>
      </c>
      <c r="C733" s="18" t="n">
        <v>0.75</v>
      </c>
      <c r="D733" s="21" t="n">
        <v>0.03</v>
      </c>
      <c r="E733" s="21" t="n">
        <v>0</v>
      </c>
      <c r="F733" s="21" t="n">
        <v>0</v>
      </c>
      <c r="G733" s="21" t="n">
        <v>0</v>
      </c>
      <c r="H733" s="21" t="n">
        <v>0</v>
      </c>
      <c r="I733" s="21" t="n">
        <v>0</v>
      </c>
      <c r="J733" s="21" t="n">
        <v>0</v>
      </c>
      <c r="K733" s="21" t="n">
        <v>0.03</v>
      </c>
      <c r="L733" s="21" t="n">
        <v>0</v>
      </c>
      <c r="M733" s="21" t="n">
        <v>0</v>
      </c>
      <c r="N733" s="21" t="n">
        <v>0</v>
      </c>
      <c r="O733" s="21" t="n">
        <v>0</v>
      </c>
      <c r="P733" s="21" t="n">
        <v>0</v>
      </c>
      <c r="Q733" s="21" t="n">
        <v>0</v>
      </c>
      <c r="R733" s="18" t="n">
        <f aca="false">ABS(D733)+MAX(ABS(G733),ABS(H733))+MAX(ABS(I733),ABS(J733))</f>
        <v>0.03</v>
      </c>
      <c r="S733" s="18" t="n">
        <f aca="false">ABS(K733)+MAX(ABS(N733),ABS(O733))+MAX(ABS(P733),ABS(Q733))</f>
        <v>0.03</v>
      </c>
      <c r="T733" s="18" t="n">
        <f aca="false">MAX(ABS(E733),ABS(F733))</f>
        <v>0</v>
      </c>
      <c r="U733" s="18" t="n">
        <f aca="false">MAX(ABS(L733),ABS(M733))</f>
        <v>0</v>
      </c>
    </row>
    <row r="734" customFormat="false" ht="15" hidden="false" customHeight="false" outlineLevel="0" collapsed="false">
      <c r="A734" s="4" t="n">
        <v>370</v>
      </c>
      <c r="B734" s="4" t="n">
        <v>147</v>
      </c>
      <c r="C734" s="18" t="n">
        <v>1</v>
      </c>
      <c r="D734" s="21" t="n">
        <v>0.03</v>
      </c>
      <c r="E734" s="21" t="n">
        <v>0</v>
      </c>
      <c r="F734" s="21" t="n">
        <v>0</v>
      </c>
      <c r="G734" s="21" t="n">
        <v>0</v>
      </c>
      <c r="H734" s="21" t="n">
        <v>0</v>
      </c>
      <c r="I734" s="21" t="n">
        <v>-0.01</v>
      </c>
      <c r="J734" s="21" t="n">
        <v>0</v>
      </c>
      <c r="K734" s="21" t="n">
        <v>0.03</v>
      </c>
      <c r="L734" s="21" t="n">
        <v>0</v>
      </c>
      <c r="M734" s="21" t="n">
        <v>0</v>
      </c>
      <c r="N734" s="21" t="n">
        <v>0</v>
      </c>
      <c r="O734" s="21" t="n">
        <v>0</v>
      </c>
      <c r="P734" s="21" t="n">
        <v>-0.01</v>
      </c>
      <c r="Q734" s="21" t="n">
        <v>0</v>
      </c>
      <c r="R734" s="18" t="n">
        <f aca="false">ABS(D734)+MAX(ABS(G734),ABS(H734))+MAX(ABS(I734),ABS(J734))</f>
        <v>0.04</v>
      </c>
      <c r="S734" s="18" t="n">
        <f aca="false">ABS(K734)+MAX(ABS(N734),ABS(O734))+MAX(ABS(P734),ABS(Q734))</f>
        <v>0.04</v>
      </c>
      <c r="T734" s="18" t="n">
        <f aca="false">MAX(ABS(E734),ABS(F734))</f>
        <v>0</v>
      </c>
      <c r="U734" s="18" t="n">
        <f aca="false">MAX(ABS(L734),ABS(M734))</f>
        <v>0</v>
      </c>
    </row>
    <row r="735" customFormat="false" ht="15" hidden="false" customHeight="false" outlineLevel="0" collapsed="false">
      <c r="A735" s="4" t="n">
        <v>371</v>
      </c>
      <c r="B735" s="4" t="n">
        <v>150</v>
      </c>
      <c r="C735" s="18" t="n">
        <v>0</v>
      </c>
      <c r="D735" s="21" t="n">
        <v>0.04</v>
      </c>
      <c r="E735" s="21" t="n">
        <v>0</v>
      </c>
      <c r="F735" s="21" t="n">
        <v>0</v>
      </c>
      <c r="G735" s="21" t="n">
        <v>0</v>
      </c>
      <c r="H735" s="21" t="n">
        <v>0</v>
      </c>
      <c r="I735" s="21" t="n">
        <v>0.02</v>
      </c>
      <c r="J735" s="21" t="n">
        <v>-0.01</v>
      </c>
      <c r="K735" s="21" t="n">
        <v>0.04</v>
      </c>
      <c r="L735" s="21" t="n">
        <v>0</v>
      </c>
      <c r="M735" s="21" t="n">
        <v>0</v>
      </c>
      <c r="N735" s="21" t="n">
        <v>0</v>
      </c>
      <c r="O735" s="21" t="n">
        <v>0</v>
      </c>
      <c r="P735" s="21" t="n">
        <v>0.03</v>
      </c>
      <c r="Q735" s="21" t="n">
        <v>-0.01</v>
      </c>
      <c r="R735" s="18" t="n">
        <f aca="false">ABS(D735)+MAX(ABS(G735),ABS(H735))+MAX(ABS(I735),ABS(J735))</f>
        <v>0.06</v>
      </c>
      <c r="S735" s="18" t="n">
        <f aca="false">ABS(K735)+MAX(ABS(N735),ABS(O735))+MAX(ABS(P735),ABS(Q735))</f>
        <v>0.07</v>
      </c>
      <c r="T735" s="18" t="n">
        <f aca="false">MAX(ABS(E735),ABS(F735))</f>
        <v>0</v>
      </c>
      <c r="U735" s="18" t="n">
        <f aca="false">MAX(ABS(L735),ABS(M735))</f>
        <v>0</v>
      </c>
    </row>
    <row r="736" customFormat="false" ht="15" hidden="false" customHeight="false" outlineLevel="0" collapsed="false">
      <c r="A736" s="4" t="n">
        <v>371</v>
      </c>
      <c r="B736" s="4" t="n">
        <v>150</v>
      </c>
      <c r="C736" s="18" t="n">
        <v>0.25</v>
      </c>
      <c r="D736" s="21" t="n">
        <v>0.04</v>
      </c>
      <c r="E736" s="21" t="n">
        <v>0</v>
      </c>
      <c r="F736" s="21" t="n">
        <v>0</v>
      </c>
      <c r="G736" s="21" t="n">
        <v>0</v>
      </c>
      <c r="H736" s="21" t="n">
        <v>0</v>
      </c>
      <c r="I736" s="21" t="n">
        <v>0.01</v>
      </c>
      <c r="J736" s="21" t="n">
        <v>-0.01</v>
      </c>
      <c r="K736" s="21" t="n">
        <v>0.04</v>
      </c>
      <c r="L736" s="21" t="n">
        <v>0</v>
      </c>
      <c r="M736" s="21" t="n">
        <v>0</v>
      </c>
      <c r="N736" s="21" t="n">
        <v>0</v>
      </c>
      <c r="O736" s="21" t="n">
        <v>0</v>
      </c>
      <c r="P736" s="21" t="n">
        <v>0.02</v>
      </c>
      <c r="Q736" s="21" t="n">
        <v>-0.01</v>
      </c>
      <c r="R736" s="18" t="n">
        <f aca="false">ABS(D736)+MAX(ABS(G736),ABS(H736))+MAX(ABS(I736),ABS(J736))</f>
        <v>0.05</v>
      </c>
      <c r="S736" s="18" t="n">
        <f aca="false">ABS(K736)+MAX(ABS(N736),ABS(O736))+MAX(ABS(P736),ABS(Q736))</f>
        <v>0.06</v>
      </c>
      <c r="T736" s="18" t="n">
        <f aca="false">MAX(ABS(E736),ABS(F736))</f>
        <v>0</v>
      </c>
      <c r="U736" s="18" t="n">
        <f aca="false">MAX(ABS(L736),ABS(M736))</f>
        <v>0</v>
      </c>
    </row>
    <row r="737" customFormat="false" ht="15" hidden="false" customHeight="false" outlineLevel="0" collapsed="false">
      <c r="A737" s="4" t="n">
        <v>371</v>
      </c>
      <c r="B737" s="4" t="n">
        <v>150</v>
      </c>
      <c r="C737" s="18" t="n">
        <v>0.5</v>
      </c>
      <c r="D737" s="21" t="n">
        <v>0.04</v>
      </c>
      <c r="E737" s="21" t="n">
        <v>0</v>
      </c>
      <c r="F737" s="21" t="n">
        <v>0</v>
      </c>
      <c r="G737" s="21" t="n">
        <v>0</v>
      </c>
      <c r="H737" s="21" t="n">
        <v>0</v>
      </c>
      <c r="I737" s="21" t="n">
        <v>0.01</v>
      </c>
      <c r="J737" s="21" t="n">
        <v>0</v>
      </c>
      <c r="K737" s="21" t="n">
        <v>0.04</v>
      </c>
      <c r="L737" s="21" t="n">
        <v>0</v>
      </c>
      <c r="M737" s="21" t="n">
        <v>0</v>
      </c>
      <c r="N737" s="21" t="n">
        <v>0</v>
      </c>
      <c r="O737" s="21" t="n">
        <v>0</v>
      </c>
      <c r="P737" s="21" t="n">
        <v>0.01</v>
      </c>
      <c r="Q737" s="21" t="n">
        <v>0</v>
      </c>
      <c r="R737" s="18" t="n">
        <f aca="false">ABS(D737)+MAX(ABS(G737),ABS(H737))+MAX(ABS(I737),ABS(J737))</f>
        <v>0.05</v>
      </c>
      <c r="S737" s="18" t="n">
        <f aca="false">ABS(K737)+MAX(ABS(N737),ABS(O737))+MAX(ABS(P737),ABS(Q737))</f>
        <v>0.05</v>
      </c>
      <c r="T737" s="18" t="n">
        <f aca="false">MAX(ABS(E737),ABS(F737))</f>
        <v>0</v>
      </c>
      <c r="U737" s="18" t="n">
        <f aca="false">MAX(ABS(L737),ABS(M737))</f>
        <v>0</v>
      </c>
    </row>
    <row r="738" customFormat="false" ht="15" hidden="false" customHeight="false" outlineLevel="0" collapsed="false">
      <c r="A738" s="4" t="n">
        <v>371</v>
      </c>
      <c r="B738" s="4" t="n">
        <v>150</v>
      </c>
      <c r="C738" s="18" t="n">
        <v>0.75</v>
      </c>
      <c r="D738" s="21" t="n">
        <v>0.04</v>
      </c>
      <c r="E738" s="21" t="n">
        <v>0</v>
      </c>
      <c r="F738" s="21" t="n">
        <v>0</v>
      </c>
      <c r="G738" s="21" t="n">
        <v>0</v>
      </c>
      <c r="H738" s="21" t="n">
        <v>0</v>
      </c>
      <c r="I738" s="21" t="n">
        <v>0</v>
      </c>
      <c r="J738" s="21" t="n">
        <v>0</v>
      </c>
      <c r="K738" s="21" t="n">
        <v>0.04</v>
      </c>
      <c r="L738" s="21" t="n">
        <v>0</v>
      </c>
      <c r="M738" s="21" t="n">
        <v>0</v>
      </c>
      <c r="N738" s="21" t="n">
        <v>0</v>
      </c>
      <c r="O738" s="21" t="n">
        <v>0</v>
      </c>
      <c r="P738" s="21" t="n">
        <v>0</v>
      </c>
      <c r="Q738" s="21" t="n">
        <v>0</v>
      </c>
      <c r="R738" s="18" t="n">
        <f aca="false">ABS(D738)+MAX(ABS(G738),ABS(H738))+MAX(ABS(I738),ABS(J738))</f>
        <v>0.04</v>
      </c>
      <c r="S738" s="18" t="n">
        <f aca="false">ABS(K738)+MAX(ABS(N738),ABS(O738))+MAX(ABS(P738),ABS(Q738))</f>
        <v>0.04</v>
      </c>
      <c r="T738" s="18" t="n">
        <f aca="false">MAX(ABS(E738),ABS(F738))</f>
        <v>0</v>
      </c>
      <c r="U738" s="18" t="n">
        <f aca="false">MAX(ABS(L738),ABS(M738))</f>
        <v>0</v>
      </c>
    </row>
    <row r="739" customFormat="false" ht="15" hidden="false" customHeight="false" outlineLevel="0" collapsed="false">
      <c r="A739" s="4" t="n">
        <v>371</v>
      </c>
      <c r="B739" s="4" t="n">
        <v>150</v>
      </c>
      <c r="C739" s="18" t="n">
        <v>1</v>
      </c>
      <c r="D739" s="21" t="n">
        <v>0.04</v>
      </c>
      <c r="E739" s="21" t="n">
        <v>0</v>
      </c>
      <c r="F739" s="21" t="n">
        <v>0</v>
      </c>
      <c r="G739" s="21" t="n">
        <v>0</v>
      </c>
      <c r="H739" s="21" t="n">
        <v>0</v>
      </c>
      <c r="I739" s="21" t="n">
        <v>-0.01</v>
      </c>
      <c r="J739" s="21" t="n">
        <v>0.01</v>
      </c>
      <c r="K739" s="21" t="n">
        <v>0.04</v>
      </c>
      <c r="L739" s="21" t="n">
        <v>0</v>
      </c>
      <c r="M739" s="21" t="n">
        <v>0</v>
      </c>
      <c r="N739" s="21" t="n">
        <v>0</v>
      </c>
      <c r="O739" s="21" t="n">
        <v>0</v>
      </c>
      <c r="P739" s="21" t="n">
        <v>-0.01</v>
      </c>
      <c r="Q739" s="21" t="n">
        <v>0.01</v>
      </c>
      <c r="R739" s="18" t="n">
        <f aca="false">ABS(D739)+MAX(ABS(G739),ABS(H739))+MAX(ABS(I739),ABS(J739))</f>
        <v>0.05</v>
      </c>
      <c r="S739" s="18" t="n">
        <f aca="false">ABS(K739)+MAX(ABS(N739),ABS(O739))+MAX(ABS(P739),ABS(Q739))</f>
        <v>0.05</v>
      </c>
      <c r="T739" s="18" t="n">
        <f aca="false">MAX(ABS(E739),ABS(F739))</f>
        <v>0</v>
      </c>
      <c r="U739" s="18" t="n">
        <f aca="false">MAX(ABS(L739),ABS(M739))</f>
        <v>0</v>
      </c>
    </row>
    <row r="740" customFormat="false" ht="15" hidden="false" customHeight="false" outlineLevel="0" collapsed="false">
      <c r="A740" s="4" t="n">
        <v>372</v>
      </c>
      <c r="B740" s="4" t="n">
        <v>151</v>
      </c>
      <c r="C740" s="18" t="n">
        <v>0</v>
      </c>
      <c r="D740" s="21" t="n">
        <v>-0.04</v>
      </c>
      <c r="E740" s="21" t="n">
        <v>0</v>
      </c>
      <c r="F740" s="21" t="n">
        <v>0</v>
      </c>
      <c r="G740" s="21" t="n">
        <v>0.01</v>
      </c>
      <c r="H740" s="21" t="n">
        <v>-0.01</v>
      </c>
      <c r="I740" s="21" t="n">
        <v>0.03</v>
      </c>
      <c r="J740" s="21" t="n">
        <v>-0.01</v>
      </c>
      <c r="K740" s="21" t="n">
        <v>-0.04</v>
      </c>
      <c r="L740" s="21" t="n">
        <v>0</v>
      </c>
      <c r="M740" s="21" t="n">
        <v>0</v>
      </c>
      <c r="N740" s="21" t="n">
        <v>0.01</v>
      </c>
      <c r="O740" s="21" t="n">
        <v>-0.01</v>
      </c>
      <c r="P740" s="21" t="n">
        <v>0.03</v>
      </c>
      <c r="Q740" s="21" t="n">
        <v>-0.01</v>
      </c>
      <c r="R740" s="18" t="n">
        <f aca="false">ABS(D740)+MAX(ABS(G740),ABS(H740))+MAX(ABS(I740),ABS(J740))</f>
        <v>0.08</v>
      </c>
      <c r="S740" s="18" t="n">
        <f aca="false">ABS(K740)+MAX(ABS(N740),ABS(O740))+MAX(ABS(P740),ABS(Q740))</f>
        <v>0.08</v>
      </c>
      <c r="T740" s="18" t="n">
        <f aca="false">MAX(ABS(E740),ABS(F740))</f>
        <v>0</v>
      </c>
      <c r="U740" s="18" t="n">
        <f aca="false">MAX(ABS(L740),ABS(M740))</f>
        <v>0</v>
      </c>
    </row>
    <row r="741" customFormat="false" ht="15" hidden="false" customHeight="false" outlineLevel="0" collapsed="false">
      <c r="A741" s="4" t="n">
        <v>372</v>
      </c>
      <c r="B741" s="4" t="n">
        <v>151</v>
      </c>
      <c r="C741" s="18" t="n">
        <v>0.25</v>
      </c>
      <c r="D741" s="21" t="n">
        <v>-0.04</v>
      </c>
      <c r="E741" s="21" t="n">
        <v>0</v>
      </c>
      <c r="F741" s="21" t="n">
        <v>0</v>
      </c>
      <c r="G741" s="21" t="n">
        <v>0</v>
      </c>
      <c r="H741" s="21" t="n">
        <v>0</v>
      </c>
      <c r="I741" s="21" t="n">
        <v>0.02</v>
      </c>
      <c r="J741" s="21" t="n">
        <v>-0.01</v>
      </c>
      <c r="K741" s="21" t="n">
        <v>-0.04</v>
      </c>
      <c r="L741" s="21" t="n">
        <v>0</v>
      </c>
      <c r="M741" s="21" t="n">
        <v>0</v>
      </c>
      <c r="N741" s="21" t="n">
        <v>0</v>
      </c>
      <c r="O741" s="21" t="n">
        <v>0</v>
      </c>
      <c r="P741" s="21" t="n">
        <v>0.02</v>
      </c>
      <c r="Q741" s="21" t="n">
        <v>-0.01</v>
      </c>
      <c r="R741" s="18" t="n">
        <f aca="false">ABS(D741)+MAX(ABS(G741),ABS(H741))+MAX(ABS(I741),ABS(J741))</f>
        <v>0.06</v>
      </c>
      <c r="S741" s="18" t="n">
        <f aca="false">ABS(K741)+MAX(ABS(N741),ABS(O741))+MAX(ABS(P741),ABS(Q741))</f>
        <v>0.06</v>
      </c>
      <c r="T741" s="18" t="n">
        <f aca="false">MAX(ABS(E741),ABS(F741))</f>
        <v>0</v>
      </c>
      <c r="U741" s="18" t="n">
        <f aca="false">MAX(ABS(L741),ABS(M741))</f>
        <v>0</v>
      </c>
    </row>
    <row r="742" customFormat="false" ht="15" hidden="false" customHeight="false" outlineLevel="0" collapsed="false">
      <c r="A742" s="4" t="n">
        <v>372</v>
      </c>
      <c r="B742" s="4" t="n">
        <v>151</v>
      </c>
      <c r="C742" s="18" t="n">
        <v>0.5</v>
      </c>
      <c r="D742" s="21" t="n">
        <v>-0.04</v>
      </c>
      <c r="E742" s="21" t="n">
        <v>0</v>
      </c>
      <c r="F742" s="21" t="n">
        <v>0</v>
      </c>
      <c r="G742" s="21" t="n">
        <v>0</v>
      </c>
      <c r="H742" s="21" t="n">
        <v>0</v>
      </c>
      <c r="I742" s="21" t="n">
        <v>0</v>
      </c>
      <c r="J742" s="21" t="n">
        <v>0</v>
      </c>
      <c r="K742" s="21" t="n">
        <v>-0.04</v>
      </c>
      <c r="L742" s="21" t="n">
        <v>0</v>
      </c>
      <c r="M742" s="21" t="n">
        <v>0</v>
      </c>
      <c r="N742" s="21" t="n">
        <v>0</v>
      </c>
      <c r="O742" s="21" t="n">
        <v>0</v>
      </c>
      <c r="P742" s="21" t="n">
        <v>0</v>
      </c>
      <c r="Q742" s="21" t="n">
        <v>0</v>
      </c>
      <c r="R742" s="18" t="n">
        <f aca="false">ABS(D742)+MAX(ABS(G742),ABS(H742))+MAX(ABS(I742),ABS(J742))</f>
        <v>0.04</v>
      </c>
      <c r="S742" s="18" t="n">
        <f aca="false">ABS(K742)+MAX(ABS(N742),ABS(O742))+MAX(ABS(P742),ABS(Q742))</f>
        <v>0.04</v>
      </c>
      <c r="T742" s="18" t="n">
        <f aca="false">MAX(ABS(E742),ABS(F742))</f>
        <v>0</v>
      </c>
      <c r="U742" s="18" t="n">
        <f aca="false">MAX(ABS(L742),ABS(M742))</f>
        <v>0</v>
      </c>
    </row>
    <row r="743" customFormat="false" ht="15" hidden="false" customHeight="false" outlineLevel="0" collapsed="false">
      <c r="A743" s="4" t="n">
        <v>372</v>
      </c>
      <c r="B743" s="4" t="n">
        <v>151</v>
      </c>
      <c r="C743" s="18" t="n">
        <v>0.75</v>
      </c>
      <c r="D743" s="21" t="n">
        <v>-0.04</v>
      </c>
      <c r="E743" s="21" t="n">
        <v>0</v>
      </c>
      <c r="F743" s="21" t="n">
        <v>0</v>
      </c>
      <c r="G743" s="21" t="n">
        <v>0</v>
      </c>
      <c r="H743" s="21" t="n">
        <v>0</v>
      </c>
      <c r="I743" s="21" t="n">
        <v>-0.01</v>
      </c>
      <c r="J743" s="21" t="n">
        <v>0.01</v>
      </c>
      <c r="K743" s="21" t="n">
        <v>-0.04</v>
      </c>
      <c r="L743" s="21" t="n">
        <v>0</v>
      </c>
      <c r="M743" s="21" t="n">
        <v>0</v>
      </c>
      <c r="N743" s="21" t="n">
        <v>0</v>
      </c>
      <c r="O743" s="21" t="n">
        <v>0</v>
      </c>
      <c r="P743" s="21" t="n">
        <v>-0.01</v>
      </c>
      <c r="Q743" s="21" t="n">
        <v>0.01</v>
      </c>
      <c r="R743" s="18" t="n">
        <f aca="false">ABS(D743)+MAX(ABS(G743),ABS(H743))+MAX(ABS(I743),ABS(J743))</f>
        <v>0.05</v>
      </c>
      <c r="S743" s="18" t="n">
        <f aca="false">ABS(K743)+MAX(ABS(N743),ABS(O743))+MAX(ABS(P743),ABS(Q743))</f>
        <v>0.05</v>
      </c>
      <c r="T743" s="18" t="n">
        <f aca="false">MAX(ABS(E743),ABS(F743))</f>
        <v>0</v>
      </c>
      <c r="U743" s="18" t="n">
        <f aca="false">MAX(ABS(L743),ABS(M743))</f>
        <v>0</v>
      </c>
    </row>
    <row r="744" customFormat="false" ht="15" hidden="false" customHeight="false" outlineLevel="0" collapsed="false">
      <c r="A744" s="4" t="n">
        <v>372</v>
      </c>
      <c r="B744" s="4" t="n">
        <v>151</v>
      </c>
      <c r="C744" s="18" t="n">
        <v>1</v>
      </c>
      <c r="D744" s="21" t="n">
        <v>-0.04</v>
      </c>
      <c r="E744" s="21" t="n">
        <v>0</v>
      </c>
      <c r="F744" s="21" t="n">
        <v>0</v>
      </c>
      <c r="G744" s="21" t="n">
        <v>0</v>
      </c>
      <c r="H744" s="21" t="n">
        <v>0</v>
      </c>
      <c r="I744" s="21" t="n">
        <v>-0.03</v>
      </c>
      <c r="J744" s="21" t="n">
        <v>0.01</v>
      </c>
      <c r="K744" s="21" t="n">
        <v>-0.04</v>
      </c>
      <c r="L744" s="21" t="n">
        <v>0</v>
      </c>
      <c r="M744" s="21" t="n">
        <v>0</v>
      </c>
      <c r="N744" s="21" t="n">
        <v>0</v>
      </c>
      <c r="O744" s="21" t="n">
        <v>0</v>
      </c>
      <c r="P744" s="21" t="n">
        <v>-0.03</v>
      </c>
      <c r="Q744" s="21" t="n">
        <v>0.01</v>
      </c>
      <c r="R744" s="18" t="n">
        <f aca="false">ABS(D744)+MAX(ABS(G744),ABS(H744))+MAX(ABS(I744),ABS(J744))</f>
        <v>0.07</v>
      </c>
      <c r="S744" s="18" t="n">
        <f aca="false">ABS(K744)+MAX(ABS(N744),ABS(O744))+MAX(ABS(P744),ABS(Q744))</f>
        <v>0.07</v>
      </c>
      <c r="T744" s="18" t="n">
        <f aca="false">MAX(ABS(E744),ABS(F744))</f>
        <v>0</v>
      </c>
      <c r="U744" s="18" t="n">
        <f aca="false">MAX(ABS(L744),ABS(M744))</f>
        <v>0</v>
      </c>
    </row>
    <row r="745" customFormat="false" ht="15" hidden="false" customHeight="false" outlineLevel="0" collapsed="false">
      <c r="A745" s="4" t="n">
        <v>373</v>
      </c>
      <c r="B745" s="4" t="n">
        <v>152</v>
      </c>
      <c r="C745" s="18" t="n">
        <v>0</v>
      </c>
      <c r="D745" s="21" t="n">
        <v>-0.04</v>
      </c>
      <c r="E745" s="21" t="n">
        <v>0</v>
      </c>
      <c r="F745" s="21" t="n">
        <v>0</v>
      </c>
      <c r="G745" s="21" t="n">
        <v>0.01</v>
      </c>
      <c r="H745" s="21" t="n">
        <v>-0.01</v>
      </c>
      <c r="I745" s="21" t="n">
        <v>0.04</v>
      </c>
      <c r="J745" s="21" t="n">
        <v>-0.02</v>
      </c>
      <c r="K745" s="21" t="n">
        <v>-0.04</v>
      </c>
      <c r="L745" s="21" t="n">
        <v>0</v>
      </c>
      <c r="M745" s="21" t="n">
        <v>0</v>
      </c>
      <c r="N745" s="21" t="n">
        <v>0.01</v>
      </c>
      <c r="O745" s="21" t="n">
        <v>-0.01</v>
      </c>
      <c r="P745" s="21" t="n">
        <v>0.04</v>
      </c>
      <c r="Q745" s="21" t="n">
        <v>-0.02</v>
      </c>
      <c r="R745" s="18" t="n">
        <f aca="false">ABS(D745)+MAX(ABS(G745),ABS(H745))+MAX(ABS(I745),ABS(J745))</f>
        <v>0.09</v>
      </c>
      <c r="S745" s="18" t="n">
        <f aca="false">ABS(K745)+MAX(ABS(N745),ABS(O745))+MAX(ABS(P745),ABS(Q745))</f>
        <v>0.09</v>
      </c>
      <c r="T745" s="18" t="n">
        <f aca="false">MAX(ABS(E745),ABS(F745))</f>
        <v>0</v>
      </c>
      <c r="U745" s="18" t="n">
        <f aca="false">MAX(ABS(L745),ABS(M745))</f>
        <v>0</v>
      </c>
    </row>
    <row r="746" customFormat="false" ht="15" hidden="false" customHeight="false" outlineLevel="0" collapsed="false">
      <c r="A746" s="4" t="n">
        <v>373</v>
      </c>
      <c r="B746" s="4" t="n">
        <v>152</v>
      </c>
      <c r="C746" s="18" t="n">
        <v>0.25</v>
      </c>
      <c r="D746" s="21" t="n">
        <v>-0.04</v>
      </c>
      <c r="E746" s="21" t="n">
        <v>0</v>
      </c>
      <c r="F746" s="21" t="n">
        <v>0</v>
      </c>
      <c r="G746" s="21" t="n">
        <v>0.01</v>
      </c>
      <c r="H746" s="21" t="n">
        <v>-0.01</v>
      </c>
      <c r="I746" s="21" t="n">
        <v>0.02</v>
      </c>
      <c r="J746" s="21" t="n">
        <v>-0.01</v>
      </c>
      <c r="K746" s="21" t="n">
        <v>-0.04</v>
      </c>
      <c r="L746" s="21" t="n">
        <v>0</v>
      </c>
      <c r="M746" s="21" t="n">
        <v>0</v>
      </c>
      <c r="N746" s="21" t="n">
        <v>0.01</v>
      </c>
      <c r="O746" s="21" t="n">
        <v>-0.01</v>
      </c>
      <c r="P746" s="21" t="n">
        <v>0.02</v>
      </c>
      <c r="Q746" s="21" t="n">
        <v>-0.01</v>
      </c>
      <c r="R746" s="18" t="n">
        <f aca="false">ABS(D746)+MAX(ABS(G746),ABS(H746))+MAX(ABS(I746),ABS(J746))</f>
        <v>0.07</v>
      </c>
      <c r="S746" s="18" t="n">
        <f aca="false">ABS(K746)+MAX(ABS(N746),ABS(O746))+MAX(ABS(P746),ABS(Q746))</f>
        <v>0.07</v>
      </c>
      <c r="T746" s="18" t="n">
        <f aca="false">MAX(ABS(E746),ABS(F746))</f>
        <v>0</v>
      </c>
      <c r="U746" s="18" t="n">
        <f aca="false">MAX(ABS(L746),ABS(M746))</f>
        <v>0</v>
      </c>
    </row>
    <row r="747" customFormat="false" ht="15" hidden="false" customHeight="false" outlineLevel="0" collapsed="false">
      <c r="A747" s="4" t="n">
        <v>373</v>
      </c>
      <c r="B747" s="4" t="n">
        <v>152</v>
      </c>
      <c r="C747" s="18" t="n">
        <v>0.5</v>
      </c>
      <c r="D747" s="21" t="n">
        <v>-0.04</v>
      </c>
      <c r="E747" s="21" t="n">
        <v>0</v>
      </c>
      <c r="F747" s="21" t="n">
        <v>0</v>
      </c>
      <c r="G747" s="21" t="n">
        <v>0</v>
      </c>
      <c r="H747" s="21" t="n">
        <v>0</v>
      </c>
      <c r="I747" s="21" t="n">
        <v>0</v>
      </c>
      <c r="J747" s="21" t="n">
        <v>0</v>
      </c>
      <c r="K747" s="21" t="n">
        <v>-0.04</v>
      </c>
      <c r="L747" s="21" t="n">
        <v>0</v>
      </c>
      <c r="M747" s="21" t="n">
        <v>0</v>
      </c>
      <c r="N747" s="21" t="n">
        <v>0</v>
      </c>
      <c r="O747" s="21" t="n">
        <v>0</v>
      </c>
      <c r="P747" s="21" t="n">
        <v>0</v>
      </c>
      <c r="Q747" s="21" t="n">
        <v>0</v>
      </c>
      <c r="R747" s="18" t="n">
        <f aca="false">ABS(D747)+MAX(ABS(G747),ABS(H747))+MAX(ABS(I747),ABS(J747))</f>
        <v>0.04</v>
      </c>
      <c r="S747" s="18" t="n">
        <f aca="false">ABS(K747)+MAX(ABS(N747),ABS(O747))+MAX(ABS(P747),ABS(Q747))</f>
        <v>0.04</v>
      </c>
      <c r="T747" s="18" t="n">
        <f aca="false">MAX(ABS(E747),ABS(F747))</f>
        <v>0</v>
      </c>
      <c r="U747" s="18" t="n">
        <f aca="false">MAX(ABS(L747),ABS(M747))</f>
        <v>0</v>
      </c>
    </row>
    <row r="748" customFormat="false" ht="15" hidden="false" customHeight="false" outlineLevel="0" collapsed="false">
      <c r="A748" s="4" t="n">
        <v>373</v>
      </c>
      <c r="B748" s="4" t="n">
        <v>152</v>
      </c>
      <c r="C748" s="18" t="n">
        <v>0.75</v>
      </c>
      <c r="D748" s="21" t="n">
        <v>-0.04</v>
      </c>
      <c r="E748" s="21" t="n">
        <v>0</v>
      </c>
      <c r="F748" s="21" t="n">
        <v>0</v>
      </c>
      <c r="G748" s="21" t="n">
        <v>0</v>
      </c>
      <c r="H748" s="21" t="n">
        <v>0</v>
      </c>
      <c r="I748" s="21" t="n">
        <v>-0.02</v>
      </c>
      <c r="J748" s="21" t="n">
        <v>0.01</v>
      </c>
      <c r="K748" s="21" t="n">
        <v>-0.04</v>
      </c>
      <c r="L748" s="21" t="n">
        <v>0</v>
      </c>
      <c r="M748" s="21" t="n">
        <v>0</v>
      </c>
      <c r="N748" s="21" t="n">
        <v>0</v>
      </c>
      <c r="O748" s="21" t="n">
        <v>0</v>
      </c>
      <c r="P748" s="21" t="n">
        <v>-0.02</v>
      </c>
      <c r="Q748" s="21" t="n">
        <v>0.01</v>
      </c>
      <c r="R748" s="18" t="n">
        <f aca="false">ABS(D748)+MAX(ABS(G748),ABS(H748))+MAX(ABS(I748),ABS(J748))</f>
        <v>0.06</v>
      </c>
      <c r="S748" s="18" t="n">
        <f aca="false">ABS(K748)+MAX(ABS(N748),ABS(O748))+MAX(ABS(P748),ABS(Q748))</f>
        <v>0.06</v>
      </c>
      <c r="T748" s="18" t="n">
        <f aca="false">MAX(ABS(E748),ABS(F748))</f>
        <v>0</v>
      </c>
      <c r="U748" s="18" t="n">
        <f aca="false">MAX(ABS(L748),ABS(M748))</f>
        <v>0</v>
      </c>
    </row>
    <row r="749" customFormat="false" ht="15" hidden="false" customHeight="false" outlineLevel="0" collapsed="false">
      <c r="A749" s="4" t="n">
        <v>373</v>
      </c>
      <c r="B749" s="4" t="n">
        <v>152</v>
      </c>
      <c r="C749" s="18" t="n">
        <v>1</v>
      </c>
      <c r="D749" s="21" t="n">
        <v>-0.04</v>
      </c>
      <c r="E749" s="21" t="n">
        <v>0</v>
      </c>
      <c r="F749" s="21" t="n">
        <v>0</v>
      </c>
      <c r="G749" s="21" t="n">
        <v>0</v>
      </c>
      <c r="H749" s="21" t="n">
        <v>0</v>
      </c>
      <c r="I749" s="21" t="n">
        <v>-0.04</v>
      </c>
      <c r="J749" s="21" t="n">
        <v>0.02</v>
      </c>
      <c r="K749" s="21" t="n">
        <v>-0.04</v>
      </c>
      <c r="L749" s="21" t="n">
        <v>0</v>
      </c>
      <c r="M749" s="21" t="n">
        <v>0</v>
      </c>
      <c r="N749" s="21" t="n">
        <v>0</v>
      </c>
      <c r="O749" s="21" t="n">
        <v>0</v>
      </c>
      <c r="P749" s="21" t="n">
        <v>-0.03</v>
      </c>
      <c r="Q749" s="21" t="n">
        <v>0.01</v>
      </c>
      <c r="R749" s="18" t="n">
        <f aca="false">ABS(D749)+MAX(ABS(G749),ABS(H749))+MAX(ABS(I749),ABS(J749))</f>
        <v>0.08</v>
      </c>
      <c r="S749" s="18" t="n">
        <f aca="false">ABS(K749)+MAX(ABS(N749),ABS(O749))+MAX(ABS(P749),ABS(Q749))</f>
        <v>0.07</v>
      </c>
      <c r="T749" s="18" t="n">
        <f aca="false">MAX(ABS(E749),ABS(F749))</f>
        <v>0</v>
      </c>
      <c r="U749" s="18" t="n">
        <f aca="false">MAX(ABS(L749),ABS(M749))</f>
        <v>0</v>
      </c>
    </row>
    <row r="750" customFormat="false" ht="15" hidden="false" customHeight="false" outlineLevel="0" collapsed="false">
      <c r="A750" s="4" t="n">
        <v>374</v>
      </c>
      <c r="B750" s="4" t="n">
        <v>153</v>
      </c>
      <c r="C750" s="18" t="n">
        <v>0</v>
      </c>
      <c r="D750" s="21" t="n">
        <v>0.01</v>
      </c>
      <c r="E750" s="21" t="n">
        <v>0</v>
      </c>
      <c r="F750" s="21" t="n">
        <v>0</v>
      </c>
      <c r="G750" s="21" t="n">
        <v>0.01</v>
      </c>
      <c r="H750" s="21" t="n">
        <v>-0.01</v>
      </c>
      <c r="I750" s="21" t="n">
        <v>0.03</v>
      </c>
      <c r="J750" s="21" t="n">
        <v>-0.01</v>
      </c>
      <c r="K750" s="21" t="n">
        <v>0.01</v>
      </c>
      <c r="L750" s="21" t="n">
        <v>0</v>
      </c>
      <c r="M750" s="21" t="n">
        <v>0</v>
      </c>
      <c r="N750" s="21" t="n">
        <v>0.01</v>
      </c>
      <c r="O750" s="21" t="n">
        <v>-0.01</v>
      </c>
      <c r="P750" s="21" t="n">
        <v>0.03</v>
      </c>
      <c r="Q750" s="21" t="n">
        <v>-0.01</v>
      </c>
      <c r="R750" s="18" t="n">
        <f aca="false">ABS(D750)+MAX(ABS(G750),ABS(H750))+MAX(ABS(I750),ABS(J750))</f>
        <v>0.05</v>
      </c>
      <c r="S750" s="18" t="n">
        <f aca="false">ABS(K750)+MAX(ABS(N750),ABS(O750))+MAX(ABS(P750),ABS(Q750))</f>
        <v>0.05</v>
      </c>
      <c r="T750" s="18" t="n">
        <f aca="false">MAX(ABS(E750),ABS(F750))</f>
        <v>0</v>
      </c>
      <c r="U750" s="18" t="n">
        <f aca="false">MAX(ABS(L750),ABS(M750))</f>
        <v>0</v>
      </c>
    </row>
    <row r="751" customFormat="false" ht="15" hidden="false" customHeight="false" outlineLevel="0" collapsed="false">
      <c r="A751" s="4" t="n">
        <v>374</v>
      </c>
      <c r="B751" s="4" t="n">
        <v>153</v>
      </c>
      <c r="C751" s="18" t="n">
        <v>0.25</v>
      </c>
      <c r="D751" s="21" t="n">
        <v>0.01</v>
      </c>
      <c r="E751" s="21" t="n">
        <v>0</v>
      </c>
      <c r="F751" s="21" t="n">
        <v>0</v>
      </c>
      <c r="G751" s="21" t="n">
        <v>0.01</v>
      </c>
      <c r="H751" s="21" t="n">
        <v>-0.01</v>
      </c>
      <c r="I751" s="21" t="n">
        <v>0.01</v>
      </c>
      <c r="J751" s="21" t="n">
        <v>-0.01</v>
      </c>
      <c r="K751" s="21" t="n">
        <v>0.01</v>
      </c>
      <c r="L751" s="21" t="n">
        <v>0</v>
      </c>
      <c r="M751" s="21" t="n">
        <v>0</v>
      </c>
      <c r="N751" s="21" t="n">
        <v>0.01</v>
      </c>
      <c r="O751" s="21" t="n">
        <v>-0.01</v>
      </c>
      <c r="P751" s="21" t="n">
        <v>0.01</v>
      </c>
      <c r="Q751" s="21" t="n">
        <v>-0.01</v>
      </c>
      <c r="R751" s="18" t="n">
        <f aca="false">ABS(D751)+MAX(ABS(G751),ABS(H751))+MAX(ABS(I751),ABS(J751))</f>
        <v>0.03</v>
      </c>
      <c r="S751" s="18" t="n">
        <f aca="false">ABS(K751)+MAX(ABS(N751),ABS(O751))+MAX(ABS(P751),ABS(Q751))</f>
        <v>0.03</v>
      </c>
      <c r="T751" s="18" t="n">
        <f aca="false">MAX(ABS(E751),ABS(F751))</f>
        <v>0</v>
      </c>
      <c r="U751" s="18" t="n">
        <f aca="false">MAX(ABS(L751),ABS(M751))</f>
        <v>0</v>
      </c>
    </row>
    <row r="752" customFormat="false" ht="15" hidden="false" customHeight="false" outlineLevel="0" collapsed="false">
      <c r="A752" s="4" t="n">
        <v>374</v>
      </c>
      <c r="B752" s="4" t="n">
        <v>153</v>
      </c>
      <c r="C752" s="18" t="n">
        <v>0.5</v>
      </c>
      <c r="D752" s="21" t="n">
        <v>0.01</v>
      </c>
      <c r="E752" s="21" t="n">
        <v>0</v>
      </c>
      <c r="F752" s="21" t="n">
        <v>0</v>
      </c>
      <c r="G752" s="21" t="n">
        <v>0</v>
      </c>
      <c r="H752" s="21" t="n">
        <v>0</v>
      </c>
      <c r="I752" s="21" t="n">
        <v>0</v>
      </c>
      <c r="J752" s="21" t="n">
        <v>0</v>
      </c>
      <c r="K752" s="21" t="n">
        <v>0.01</v>
      </c>
      <c r="L752" s="21" t="n">
        <v>0</v>
      </c>
      <c r="M752" s="21" t="n">
        <v>0</v>
      </c>
      <c r="N752" s="21" t="n">
        <v>0</v>
      </c>
      <c r="O752" s="21" t="n">
        <v>0</v>
      </c>
      <c r="P752" s="21" t="n">
        <v>0</v>
      </c>
      <c r="Q752" s="21" t="n">
        <v>0</v>
      </c>
      <c r="R752" s="18" t="n">
        <f aca="false">ABS(D752)+MAX(ABS(G752),ABS(H752))+MAX(ABS(I752),ABS(J752))</f>
        <v>0.01</v>
      </c>
      <c r="S752" s="18" t="n">
        <f aca="false">ABS(K752)+MAX(ABS(N752),ABS(O752))+MAX(ABS(P752),ABS(Q752))</f>
        <v>0.01</v>
      </c>
      <c r="T752" s="18" t="n">
        <f aca="false">MAX(ABS(E752),ABS(F752))</f>
        <v>0</v>
      </c>
      <c r="U752" s="18" t="n">
        <f aca="false">MAX(ABS(L752),ABS(M752))</f>
        <v>0</v>
      </c>
    </row>
    <row r="753" customFormat="false" ht="15" hidden="false" customHeight="false" outlineLevel="0" collapsed="false">
      <c r="A753" s="4" t="n">
        <v>374</v>
      </c>
      <c r="B753" s="4" t="n">
        <v>153</v>
      </c>
      <c r="C753" s="18" t="n">
        <v>0.75</v>
      </c>
      <c r="D753" s="21" t="n">
        <v>0.01</v>
      </c>
      <c r="E753" s="21" t="n">
        <v>0</v>
      </c>
      <c r="F753" s="21" t="n">
        <v>0</v>
      </c>
      <c r="G753" s="21" t="n">
        <v>0</v>
      </c>
      <c r="H753" s="21" t="n">
        <v>0</v>
      </c>
      <c r="I753" s="21" t="n">
        <v>-0.02</v>
      </c>
      <c r="J753" s="21" t="n">
        <v>0.01</v>
      </c>
      <c r="K753" s="21" t="n">
        <v>0.01</v>
      </c>
      <c r="L753" s="21" t="n">
        <v>0</v>
      </c>
      <c r="M753" s="21" t="n">
        <v>0</v>
      </c>
      <c r="N753" s="21" t="n">
        <v>0</v>
      </c>
      <c r="O753" s="21" t="n">
        <v>0</v>
      </c>
      <c r="P753" s="21" t="n">
        <v>-0.02</v>
      </c>
      <c r="Q753" s="21" t="n">
        <v>0.01</v>
      </c>
      <c r="R753" s="18" t="n">
        <f aca="false">ABS(D753)+MAX(ABS(G753),ABS(H753))+MAX(ABS(I753),ABS(J753))</f>
        <v>0.03</v>
      </c>
      <c r="S753" s="18" t="n">
        <f aca="false">ABS(K753)+MAX(ABS(N753),ABS(O753))+MAX(ABS(P753),ABS(Q753))</f>
        <v>0.03</v>
      </c>
      <c r="T753" s="18" t="n">
        <f aca="false">MAX(ABS(E753),ABS(F753))</f>
        <v>0</v>
      </c>
      <c r="U753" s="18" t="n">
        <f aca="false">MAX(ABS(L753),ABS(M753))</f>
        <v>0</v>
      </c>
    </row>
    <row r="754" customFormat="false" ht="15" hidden="false" customHeight="false" outlineLevel="0" collapsed="false">
      <c r="A754" s="4" t="n">
        <v>374</v>
      </c>
      <c r="B754" s="4" t="n">
        <v>153</v>
      </c>
      <c r="C754" s="18" t="n">
        <v>1</v>
      </c>
      <c r="D754" s="21" t="n">
        <v>0.01</v>
      </c>
      <c r="E754" s="21" t="n">
        <v>0</v>
      </c>
      <c r="F754" s="21" t="n">
        <v>0</v>
      </c>
      <c r="G754" s="21" t="n">
        <v>0</v>
      </c>
      <c r="H754" s="21" t="n">
        <v>0</v>
      </c>
      <c r="I754" s="21" t="n">
        <v>-0.03</v>
      </c>
      <c r="J754" s="21" t="n">
        <v>0.01</v>
      </c>
      <c r="K754" s="21" t="n">
        <v>0.01</v>
      </c>
      <c r="L754" s="21" t="n">
        <v>0</v>
      </c>
      <c r="M754" s="21" t="n">
        <v>0</v>
      </c>
      <c r="N754" s="21" t="n">
        <v>0</v>
      </c>
      <c r="O754" s="21" t="n">
        <v>0</v>
      </c>
      <c r="P754" s="21" t="n">
        <v>-0.03</v>
      </c>
      <c r="Q754" s="21" t="n">
        <v>0.01</v>
      </c>
      <c r="R754" s="18" t="n">
        <f aca="false">ABS(D754)+MAX(ABS(G754),ABS(H754))+MAX(ABS(I754),ABS(J754))</f>
        <v>0.04</v>
      </c>
      <c r="S754" s="18" t="n">
        <f aca="false">ABS(K754)+MAX(ABS(N754),ABS(O754))+MAX(ABS(P754),ABS(Q754))</f>
        <v>0.04</v>
      </c>
      <c r="T754" s="18" t="n">
        <f aca="false">MAX(ABS(E754),ABS(F754))</f>
        <v>0</v>
      </c>
      <c r="U754" s="18" t="n">
        <f aca="false">MAX(ABS(L754),ABS(M754))</f>
        <v>0</v>
      </c>
    </row>
    <row r="755" customFormat="false" ht="15" hidden="false" customHeight="false" outlineLevel="0" collapsed="false">
      <c r="A755" s="4" t="n">
        <v>375</v>
      </c>
      <c r="B755" s="4" t="n">
        <v>154</v>
      </c>
      <c r="C755" s="18" t="n">
        <v>0</v>
      </c>
      <c r="D755" s="21" t="n">
        <v>-0.03</v>
      </c>
      <c r="E755" s="21" t="n">
        <v>0</v>
      </c>
      <c r="F755" s="21" t="n">
        <v>0</v>
      </c>
      <c r="G755" s="21" t="n">
        <v>0</v>
      </c>
      <c r="H755" s="21" t="n">
        <v>0</v>
      </c>
      <c r="I755" s="21" t="n">
        <v>0.03</v>
      </c>
      <c r="J755" s="21" t="n">
        <v>-0.01</v>
      </c>
      <c r="K755" s="21" t="n">
        <v>-0.03</v>
      </c>
      <c r="L755" s="21" t="n">
        <v>0</v>
      </c>
      <c r="M755" s="21" t="n">
        <v>0</v>
      </c>
      <c r="N755" s="21" t="n">
        <v>0</v>
      </c>
      <c r="O755" s="21" t="n">
        <v>0</v>
      </c>
      <c r="P755" s="21" t="n">
        <v>0.03</v>
      </c>
      <c r="Q755" s="21" t="n">
        <v>-0.01</v>
      </c>
      <c r="R755" s="18" t="n">
        <f aca="false">ABS(D755)+MAX(ABS(G755),ABS(H755))+MAX(ABS(I755),ABS(J755))</f>
        <v>0.06</v>
      </c>
      <c r="S755" s="18" t="n">
        <f aca="false">ABS(K755)+MAX(ABS(N755),ABS(O755))+MAX(ABS(P755),ABS(Q755))</f>
        <v>0.06</v>
      </c>
      <c r="T755" s="18" t="n">
        <f aca="false">MAX(ABS(E755),ABS(F755))</f>
        <v>0</v>
      </c>
      <c r="U755" s="18" t="n">
        <f aca="false">MAX(ABS(L755),ABS(M755))</f>
        <v>0</v>
      </c>
    </row>
    <row r="756" customFormat="false" ht="15" hidden="false" customHeight="false" outlineLevel="0" collapsed="false">
      <c r="A756" s="4" t="n">
        <v>375</v>
      </c>
      <c r="B756" s="4" t="n">
        <v>154</v>
      </c>
      <c r="C756" s="18" t="n">
        <v>0.25</v>
      </c>
      <c r="D756" s="21" t="n">
        <v>-0.03</v>
      </c>
      <c r="E756" s="21" t="n">
        <v>0</v>
      </c>
      <c r="F756" s="21" t="n">
        <v>0</v>
      </c>
      <c r="G756" s="21" t="n">
        <v>0</v>
      </c>
      <c r="H756" s="21" t="n">
        <v>0</v>
      </c>
      <c r="I756" s="21" t="n">
        <v>0.01</v>
      </c>
      <c r="J756" s="21" t="n">
        <v>-0.01</v>
      </c>
      <c r="K756" s="21" t="n">
        <v>-0.03</v>
      </c>
      <c r="L756" s="21" t="n">
        <v>0</v>
      </c>
      <c r="M756" s="21" t="n">
        <v>0</v>
      </c>
      <c r="N756" s="21" t="n">
        <v>0</v>
      </c>
      <c r="O756" s="21" t="n">
        <v>0</v>
      </c>
      <c r="P756" s="21" t="n">
        <v>0.01</v>
      </c>
      <c r="Q756" s="21" t="n">
        <v>-0.01</v>
      </c>
      <c r="R756" s="18" t="n">
        <f aca="false">ABS(D756)+MAX(ABS(G756),ABS(H756))+MAX(ABS(I756),ABS(J756))</f>
        <v>0.04</v>
      </c>
      <c r="S756" s="18" t="n">
        <f aca="false">ABS(K756)+MAX(ABS(N756),ABS(O756))+MAX(ABS(P756),ABS(Q756))</f>
        <v>0.04</v>
      </c>
      <c r="T756" s="18" t="n">
        <f aca="false">MAX(ABS(E756),ABS(F756))</f>
        <v>0</v>
      </c>
      <c r="U756" s="18" t="n">
        <f aca="false">MAX(ABS(L756),ABS(M756))</f>
        <v>0</v>
      </c>
    </row>
    <row r="757" customFormat="false" ht="15" hidden="false" customHeight="false" outlineLevel="0" collapsed="false">
      <c r="A757" s="4" t="n">
        <v>375</v>
      </c>
      <c r="B757" s="4" t="n">
        <v>154</v>
      </c>
      <c r="C757" s="18" t="n">
        <v>0.5</v>
      </c>
      <c r="D757" s="21" t="n">
        <v>-0.03</v>
      </c>
      <c r="E757" s="21" t="n">
        <v>0</v>
      </c>
      <c r="F757" s="21" t="n">
        <v>0</v>
      </c>
      <c r="G757" s="21" t="n">
        <v>0</v>
      </c>
      <c r="H757" s="21" t="n">
        <v>0</v>
      </c>
      <c r="I757" s="21" t="n">
        <v>0</v>
      </c>
      <c r="J757" s="21" t="n">
        <v>0</v>
      </c>
      <c r="K757" s="21" t="n">
        <v>-0.03</v>
      </c>
      <c r="L757" s="21" t="n">
        <v>0</v>
      </c>
      <c r="M757" s="21" t="n">
        <v>0</v>
      </c>
      <c r="N757" s="21" t="n">
        <v>0</v>
      </c>
      <c r="O757" s="21" t="n">
        <v>0</v>
      </c>
      <c r="P757" s="21" t="n">
        <v>0</v>
      </c>
      <c r="Q757" s="21" t="n">
        <v>0</v>
      </c>
      <c r="R757" s="18" t="n">
        <f aca="false">ABS(D757)+MAX(ABS(G757),ABS(H757))+MAX(ABS(I757),ABS(J757))</f>
        <v>0.03</v>
      </c>
      <c r="S757" s="18" t="n">
        <f aca="false">ABS(K757)+MAX(ABS(N757),ABS(O757))+MAX(ABS(P757),ABS(Q757))</f>
        <v>0.03</v>
      </c>
      <c r="T757" s="18" t="n">
        <f aca="false">MAX(ABS(E757),ABS(F757))</f>
        <v>0</v>
      </c>
      <c r="U757" s="18" t="n">
        <f aca="false">MAX(ABS(L757),ABS(M757))</f>
        <v>0</v>
      </c>
    </row>
    <row r="758" customFormat="false" ht="15" hidden="false" customHeight="false" outlineLevel="0" collapsed="false">
      <c r="A758" s="4" t="n">
        <v>375</v>
      </c>
      <c r="B758" s="4" t="n">
        <v>154</v>
      </c>
      <c r="C758" s="18" t="n">
        <v>0.75</v>
      </c>
      <c r="D758" s="21" t="n">
        <v>-0.03</v>
      </c>
      <c r="E758" s="21" t="n">
        <v>0</v>
      </c>
      <c r="F758" s="21" t="n">
        <v>0</v>
      </c>
      <c r="G758" s="21" t="n">
        <v>0</v>
      </c>
      <c r="H758" s="21" t="n">
        <v>0</v>
      </c>
      <c r="I758" s="21" t="n">
        <v>-0.01</v>
      </c>
      <c r="J758" s="21" t="n">
        <v>0.01</v>
      </c>
      <c r="K758" s="21" t="n">
        <v>-0.03</v>
      </c>
      <c r="L758" s="21" t="n">
        <v>0</v>
      </c>
      <c r="M758" s="21" t="n">
        <v>0</v>
      </c>
      <c r="N758" s="21" t="n">
        <v>0</v>
      </c>
      <c r="O758" s="21" t="n">
        <v>0</v>
      </c>
      <c r="P758" s="21" t="n">
        <v>-0.01</v>
      </c>
      <c r="Q758" s="21" t="n">
        <v>0</v>
      </c>
      <c r="R758" s="18" t="n">
        <f aca="false">ABS(D758)+MAX(ABS(G758),ABS(H758))+MAX(ABS(I758),ABS(J758))</f>
        <v>0.04</v>
      </c>
      <c r="S758" s="18" t="n">
        <f aca="false">ABS(K758)+MAX(ABS(N758),ABS(O758))+MAX(ABS(P758),ABS(Q758))</f>
        <v>0.04</v>
      </c>
      <c r="T758" s="18" t="n">
        <f aca="false">MAX(ABS(E758),ABS(F758))</f>
        <v>0</v>
      </c>
      <c r="U758" s="18" t="n">
        <f aca="false">MAX(ABS(L758),ABS(M758))</f>
        <v>0</v>
      </c>
    </row>
    <row r="759" customFormat="false" ht="15" hidden="false" customHeight="false" outlineLevel="0" collapsed="false">
      <c r="A759" s="4" t="n">
        <v>375</v>
      </c>
      <c r="B759" s="4" t="n">
        <v>154</v>
      </c>
      <c r="C759" s="18" t="n">
        <v>1</v>
      </c>
      <c r="D759" s="21" t="n">
        <v>-0.03</v>
      </c>
      <c r="E759" s="21" t="n">
        <v>0</v>
      </c>
      <c r="F759" s="21" t="n">
        <v>0</v>
      </c>
      <c r="G759" s="21" t="n">
        <v>0</v>
      </c>
      <c r="H759" s="21" t="n">
        <v>0</v>
      </c>
      <c r="I759" s="21" t="n">
        <v>-0.03</v>
      </c>
      <c r="J759" s="21" t="n">
        <v>0.01</v>
      </c>
      <c r="K759" s="21" t="n">
        <v>-0.03</v>
      </c>
      <c r="L759" s="21" t="n">
        <v>0</v>
      </c>
      <c r="M759" s="21" t="n">
        <v>0</v>
      </c>
      <c r="N759" s="21" t="n">
        <v>0</v>
      </c>
      <c r="O759" s="21" t="n">
        <v>0</v>
      </c>
      <c r="P759" s="21" t="n">
        <v>-0.02</v>
      </c>
      <c r="Q759" s="21" t="n">
        <v>0.01</v>
      </c>
      <c r="R759" s="18" t="n">
        <f aca="false">ABS(D759)+MAX(ABS(G759),ABS(H759))+MAX(ABS(I759),ABS(J759))</f>
        <v>0.06</v>
      </c>
      <c r="S759" s="18" t="n">
        <f aca="false">ABS(K759)+MAX(ABS(N759),ABS(O759))+MAX(ABS(P759),ABS(Q759))</f>
        <v>0.05</v>
      </c>
      <c r="T759" s="18" t="n">
        <f aca="false">MAX(ABS(E759),ABS(F759))</f>
        <v>0</v>
      </c>
      <c r="U759" s="18" t="n">
        <f aca="false">MAX(ABS(L759),ABS(M759))</f>
        <v>0</v>
      </c>
    </row>
    <row r="760" customFormat="false" ht="15" hidden="false" customHeight="false" outlineLevel="0" collapsed="false">
      <c r="A760" s="4" t="n">
        <v>376</v>
      </c>
      <c r="B760" s="4" t="n">
        <v>155</v>
      </c>
      <c r="C760" s="18" t="n">
        <v>0</v>
      </c>
      <c r="D760" s="21" t="n">
        <v>0.03</v>
      </c>
      <c r="E760" s="21" t="n">
        <v>0</v>
      </c>
      <c r="F760" s="21" t="n">
        <v>0</v>
      </c>
      <c r="G760" s="21" t="n">
        <v>0</v>
      </c>
      <c r="H760" s="21" t="n">
        <v>0</v>
      </c>
      <c r="I760" s="21" t="n">
        <v>0.04</v>
      </c>
      <c r="J760" s="21" t="n">
        <v>-0.02</v>
      </c>
      <c r="K760" s="21" t="n">
        <v>0.03</v>
      </c>
      <c r="L760" s="21" t="n">
        <v>0</v>
      </c>
      <c r="M760" s="21" t="n">
        <v>0</v>
      </c>
      <c r="N760" s="21" t="n">
        <v>0</v>
      </c>
      <c r="O760" s="21" t="n">
        <v>0</v>
      </c>
      <c r="P760" s="21" t="n">
        <v>0.04</v>
      </c>
      <c r="Q760" s="21" t="n">
        <v>-0.02</v>
      </c>
      <c r="R760" s="18" t="n">
        <f aca="false">ABS(D760)+MAX(ABS(G760),ABS(H760))+MAX(ABS(I760),ABS(J760))</f>
        <v>0.07</v>
      </c>
      <c r="S760" s="18" t="n">
        <f aca="false">ABS(K760)+MAX(ABS(N760),ABS(O760))+MAX(ABS(P760),ABS(Q760))</f>
        <v>0.07</v>
      </c>
      <c r="T760" s="18" t="n">
        <f aca="false">MAX(ABS(E760),ABS(F760))</f>
        <v>0</v>
      </c>
      <c r="U760" s="18" t="n">
        <f aca="false">MAX(ABS(L760),ABS(M760))</f>
        <v>0</v>
      </c>
    </row>
    <row r="761" customFormat="false" ht="15" hidden="false" customHeight="false" outlineLevel="0" collapsed="false">
      <c r="A761" s="4" t="n">
        <v>376</v>
      </c>
      <c r="B761" s="4" t="n">
        <v>155</v>
      </c>
      <c r="C761" s="18" t="n">
        <v>0.25</v>
      </c>
      <c r="D761" s="21" t="n">
        <v>0.03</v>
      </c>
      <c r="E761" s="21" t="n">
        <v>0</v>
      </c>
      <c r="F761" s="21" t="n">
        <v>0</v>
      </c>
      <c r="G761" s="21" t="n">
        <v>0</v>
      </c>
      <c r="H761" s="21" t="n">
        <v>0</v>
      </c>
      <c r="I761" s="21" t="n">
        <v>0.02</v>
      </c>
      <c r="J761" s="21" t="n">
        <v>-0.01</v>
      </c>
      <c r="K761" s="21" t="n">
        <v>0.03</v>
      </c>
      <c r="L761" s="21" t="n">
        <v>0</v>
      </c>
      <c r="M761" s="21" t="n">
        <v>0</v>
      </c>
      <c r="N761" s="21" t="n">
        <v>0</v>
      </c>
      <c r="O761" s="21" t="n">
        <v>0</v>
      </c>
      <c r="P761" s="21" t="n">
        <v>0.02</v>
      </c>
      <c r="Q761" s="21" t="n">
        <v>-0.01</v>
      </c>
      <c r="R761" s="18" t="n">
        <f aca="false">ABS(D761)+MAX(ABS(G761),ABS(H761))+MAX(ABS(I761),ABS(J761))</f>
        <v>0.05</v>
      </c>
      <c r="S761" s="18" t="n">
        <f aca="false">ABS(K761)+MAX(ABS(N761),ABS(O761))+MAX(ABS(P761),ABS(Q761))</f>
        <v>0.05</v>
      </c>
      <c r="T761" s="18" t="n">
        <f aca="false">MAX(ABS(E761),ABS(F761))</f>
        <v>0</v>
      </c>
      <c r="U761" s="18" t="n">
        <f aca="false">MAX(ABS(L761),ABS(M761))</f>
        <v>0</v>
      </c>
    </row>
    <row r="762" customFormat="false" ht="15" hidden="false" customHeight="false" outlineLevel="0" collapsed="false">
      <c r="A762" s="4" t="n">
        <v>376</v>
      </c>
      <c r="B762" s="4" t="n">
        <v>155</v>
      </c>
      <c r="C762" s="18" t="n">
        <v>0.5</v>
      </c>
      <c r="D762" s="21" t="n">
        <v>0.03</v>
      </c>
      <c r="E762" s="21" t="n">
        <v>0</v>
      </c>
      <c r="F762" s="21" t="n">
        <v>0</v>
      </c>
      <c r="G762" s="21" t="n">
        <v>0</v>
      </c>
      <c r="H762" s="21" t="n">
        <v>0</v>
      </c>
      <c r="I762" s="21" t="n">
        <v>0</v>
      </c>
      <c r="J762" s="21" t="n">
        <v>0</v>
      </c>
      <c r="K762" s="21" t="n">
        <v>0.03</v>
      </c>
      <c r="L762" s="21" t="n">
        <v>0</v>
      </c>
      <c r="M762" s="21" t="n">
        <v>0</v>
      </c>
      <c r="N762" s="21" t="n">
        <v>0</v>
      </c>
      <c r="O762" s="21" t="n">
        <v>0</v>
      </c>
      <c r="P762" s="21" t="n">
        <v>0</v>
      </c>
      <c r="Q762" s="21" t="n">
        <v>0</v>
      </c>
      <c r="R762" s="18" t="n">
        <f aca="false">ABS(D762)+MAX(ABS(G762),ABS(H762))+MAX(ABS(I762),ABS(J762))</f>
        <v>0.03</v>
      </c>
      <c r="S762" s="18" t="n">
        <f aca="false">ABS(K762)+MAX(ABS(N762),ABS(O762))+MAX(ABS(P762),ABS(Q762))</f>
        <v>0.03</v>
      </c>
      <c r="T762" s="18" t="n">
        <f aca="false">MAX(ABS(E762),ABS(F762))</f>
        <v>0</v>
      </c>
      <c r="U762" s="18" t="n">
        <f aca="false">MAX(ABS(L762),ABS(M762))</f>
        <v>0</v>
      </c>
    </row>
    <row r="763" customFormat="false" ht="15" hidden="false" customHeight="false" outlineLevel="0" collapsed="false">
      <c r="A763" s="4" t="n">
        <v>376</v>
      </c>
      <c r="B763" s="4" t="n">
        <v>155</v>
      </c>
      <c r="C763" s="18" t="n">
        <v>0.75</v>
      </c>
      <c r="D763" s="21" t="n">
        <v>0.03</v>
      </c>
      <c r="E763" s="21" t="n">
        <v>0</v>
      </c>
      <c r="F763" s="21" t="n">
        <v>0</v>
      </c>
      <c r="G763" s="21" t="n">
        <v>0</v>
      </c>
      <c r="H763" s="21" t="n">
        <v>0</v>
      </c>
      <c r="I763" s="21" t="n">
        <v>-0.02</v>
      </c>
      <c r="J763" s="21" t="n">
        <v>0.01</v>
      </c>
      <c r="K763" s="21" t="n">
        <v>0.03</v>
      </c>
      <c r="L763" s="21" t="n">
        <v>0</v>
      </c>
      <c r="M763" s="21" t="n">
        <v>0</v>
      </c>
      <c r="N763" s="21" t="n">
        <v>0</v>
      </c>
      <c r="O763" s="21" t="n">
        <v>0</v>
      </c>
      <c r="P763" s="21" t="n">
        <v>-0.02</v>
      </c>
      <c r="Q763" s="21" t="n">
        <v>0.01</v>
      </c>
      <c r="R763" s="18" t="n">
        <f aca="false">ABS(D763)+MAX(ABS(G763),ABS(H763))+MAX(ABS(I763),ABS(J763))</f>
        <v>0.05</v>
      </c>
      <c r="S763" s="18" t="n">
        <f aca="false">ABS(K763)+MAX(ABS(N763),ABS(O763))+MAX(ABS(P763),ABS(Q763))</f>
        <v>0.05</v>
      </c>
      <c r="T763" s="18" t="n">
        <f aca="false">MAX(ABS(E763),ABS(F763))</f>
        <v>0</v>
      </c>
      <c r="U763" s="18" t="n">
        <f aca="false">MAX(ABS(L763),ABS(M763))</f>
        <v>0</v>
      </c>
    </row>
    <row r="764" customFormat="false" ht="15" hidden="false" customHeight="false" outlineLevel="0" collapsed="false">
      <c r="A764" s="4" t="n">
        <v>376</v>
      </c>
      <c r="B764" s="4" t="n">
        <v>155</v>
      </c>
      <c r="C764" s="18" t="n">
        <v>1</v>
      </c>
      <c r="D764" s="21" t="n">
        <v>0.03</v>
      </c>
      <c r="E764" s="21" t="n">
        <v>0</v>
      </c>
      <c r="F764" s="21" t="n">
        <v>0</v>
      </c>
      <c r="G764" s="21" t="n">
        <v>0</v>
      </c>
      <c r="H764" s="21" t="n">
        <v>0</v>
      </c>
      <c r="I764" s="21" t="n">
        <v>-0.04</v>
      </c>
      <c r="J764" s="21" t="n">
        <v>0.02</v>
      </c>
      <c r="K764" s="21" t="n">
        <v>0.03</v>
      </c>
      <c r="L764" s="21" t="n">
        <v>0</v>
      </c>
      <c r="M764" s="21" t="n">
        <v>0</v>
      </c>
      <c r="N764" s="21" t="n">
        <v>0</v>
      </c>
      <c r="O764" s="21" t="n">
        <v>0</v>
      </c>
      <c r="P764" s="21" t="n">
        <v>-0.04</v>
      </c>
      <c r="Q764" s="21" t="n">
        <v>0.02</v>
      </c>
      <c r="R764" s="18" t="n">
        <f aca="false">ABS(D764)+MAX(ABS(G764),ABS(H764))+MAX(ABS(I764),ABS(J764))</f>
        <v>0.07</v>
      </c>
      <c r="S764" s="18" t="n">
        <f aca="false">ABS(K764)+MAX(ABS(N764),ABS(O764))+MAX(ABS(P764),ABS(Q764))</f>
        <v>0.07</v>
      </c>
      <c r="T764" s="18" t="n">
        <f aca="false">MAX(ABS(E764),ABS(F764))</f>
        <v>0</v>
      </c>
      <c r="U764" s="18" t="n">
        <f aca="false">MAX(ABS(L764),ABS(M764))</f>
        <v>0</v>
      </c>
    </row>
    <row r="765" customFormat="false" ht="15" hidden="false" customHeight="false" outlineLevel="0" collapsed="false">
      <c r="A765" s="4" t="n">
        <v>377</v>
      </c>
      <c r="B765" s="4" t="n">
        <v>156</v>
      </c>
      <c r="C765" s="18" t="n">
        <v>0</v>
      </c>
      <c r="D765" s="21" t="n">
        <v>-0.01</v>
      </c>
      <c r="E765" s="21" t="n">
        <v>0</v>
      </c>
      <c r="F765" s="21" t="n">
        <v>0</v>
      </c>
      <c r="G765" s="21" t="n">
        <v>0</v>
      </c>
      <c r="H765" s="21" t="n">
        <v>0</v>
      </c>
      <c r="I765" s="21" t="n">
        <v>0.03</v>
      </c>
      <c r="J765" s="21" t="n">
        <v>-0.01</v>
      </c>
      <c r="K765" s="21" t="n">
        <v>-0.01</v>
      </c>
      <c r="L765" s="21" t="n">
        <v>0</v>
      </c>
      <c r="M765" s="21" t="n">
        <v>0</v>
      </c>
      <c r="N765" s="21" t="n">
        <v>0</v>
      </c>
      <c r="O765" s="21" t="n">
        <v>0</v>
      </c>
      <c r="P765" s="21" t="n">
        <v>0.03</v>
      </c>
      <c r="Q765" s="21" t="n">
        <v>-0.01</v>
      </c>
      <c r="R765" s="18" t="n">
        <f aca="false">ABS(D765)+MAX(ABS(G765),ABS(H765))+MAX(ABS(I765),ABS(J765))</f>
        <v>0.04</v>
      </c>
      <c r="S765" s="18" t="n">
        <f aca="false">ABS(K765)+MAX(ABS(N765),ABS(O765))+MAX(ABS(P765),ABS(Q765))</f>
        <v>0.04</v>
      </c>
      <c r="T765" s="18" t="n">
        <f aca="false">MAX(ABS(E765),ABS(F765))</f>
        <v>0</v>
      </c>
      <c r="U765" s="18" t="n">
        <f aca="false">MAX(ABS(L765),ABS(M765))</f>
        <v>0</v>
      </c>
    </row>
    <row r="766" customFormat="false" ht="15" hidden="false" customHeight="false" outlineLevel="0" collapsed="false">
      <c r="A766" s="4" t="n">
        <v>377</v>
      </c>
      <c r="B766" s="4" t="n">
        <v>156</v>
      </c>
      <c r="C766" s="18" t="n">
        <v>0.25</v>
      </c>
      <c r="D766" s="21" t="n">
        <v>-0.01</v>
      </c>
      <c r="E766" s="21" t="n">
        <v>0</v>
      </c>
      <c r="F766" s="21" t="n">
        <v>0</v>
      </c>
      <c r="G766" s="21" t="n">
        <v>0</v>
      </c>
      <c r="H766" s="21" t="n">
        <v>0</v>
      </c>
      <c r="I766" s="21" t="n">
        <v>0.01</v>
      </c>
      <c r="J766" s="21" t="n">
        <v>-0.01</v>
      </c>
      <c r="K766" s="21" t="n">
        <v>-0.01</v>
      </c>
      <c r="L766" s="21" t="n">
        <v>0</v>
      </c>
      <c r="M766" s="21" t="n">
        <v>0</v>
      </c>
      <c r="N766" s="21" t="n">
        <v>0</v>
      </c>
      <c r="O766" s="21" t="n">
        <v>0</v>
      </c>
      <c r="P766" s="21" t="n">
        <v>0.01</v>
      </c>
      <c r="Q766" s="21" t="n">
        <v>-0.01</v>
      </c>
      <c r="R766" s="18" t="n">
        <f aca="false">ABS(D766)+MAX(ABS(G766),ABS(H766))+MAX(ABS(I766),ABS(J766))</f>
        <v>0.02</v>
      </c>
      <c r="S766" s="18" t="n">
        <f aca="false">ABS(K766)+MAX(ABS(N766),ABS(O766))+MAX(ABS(P766),ABS(Q766))</f>
        <v>0.02</v>
      </c>
      <c r="T766" s="18" t="n">
        <f aca="false">MAX(ABS(E766),ABS(F766))</f>
        <v>0</v>
      </c>
      <c r="U766" s="18" t="n">
        <f aca="false">MAX(ABS(L766),ABS(M766))</f>
        <v>0</v>
      </c>
    </row>
    <row r="767" customFormat="false" ht="15" hidden="false" customHeight="false" outlineLevel="0" collapsed="false">
      <c r="A767" s="4" t="n">
        <v>377</v>
      </c>
      <c r="B767" s="4" t="n">
        <v>156</v>
      </c>
      <c r="C767" s="18" t="n">
        <v>0.5</v>
      </c>
      <c r="D767" s="21" t="n">
        <v>-0.01</v>
      </c>
      <c r="E767" s="21" t="n">
        <v>0</v>
      </c>
      <c r="F767" s="21" t="n">
        <v>0</v>
      </c>
      <c r="G767" s="21" t="n">
        <v>0</v>
      </c>
      <c r="H767" s="21" t="n">
        <v>0</v>
      </c>
      <c r="I767" s="21" t="n">
        <v>0</v>
      </c>
      <c r="J767" s="21" t="n">
        <v>0</v>
      </c>
      <c r="K767" s="21" t="n">
        <v>-0.01</v>
      </c>
      <c r="L767" s="21" t="n">
        <v>0</v>
      </c>
      <c r="M767" s="21" t="n">
        <v>0</v>
      </c>
      <c r="N767" s="21" t="n">
        <v>0</v>
      </c>
      <c r="O767" s="21" t="n">
        <v>0</v>
      </c>
      <c r="P767" s="21" t="n">
        <v>0</v>
      </c>
      <c r="Q767" s="21" t="n">
        <v>0</v>
      </c>
      <c r="R767" s="18" t="n">
        <f aca="false">ABS(D767)+MAX(ABS(G767),ABS(H767))+MAX(ABS(I767),ABS(J767))</f>
        <v>0.01</v>
      </c>
      <c r="S767" s="18" t="n">
        <f aca="false">ABS(K767)+MAX(ABS(N767),ABS(O767))+MAX(ABS(P767),ABS(Q767))</f>
        <v>0.01</v>
      </c>
      <c r="T767" s="18" t="n">
        <f aca="false">MAX(ABS(E767),ABS(F767))</f>
        <v>0</v>
      </c>
      <c r="U767" s="18" t="n">
        <f aca="false">MAX(ABS(L767),ABS(M767))</f>
        <v>0</v>
      </c>
    </row>
    <row r="768" customFormat="false" ht="15" hidden="false" customHeight="false" outlineLevel="0" collapsed="false">
      <c r="A768" s="4" t="n">
        <v>377</v>
      </c>
      <c r="B768" s="4" t="n">
        <v>156</v>
      </c>
      <c r="C768" s="18" t="n">
        <v>0.75</v>
      </c>
      <c r="D768" s="21" t="n">
        <v>-0.01</v>
      </c>
      <c r="E768" s="21" t="n">
        <v>0</v>
      </c>
      <c r="F768" s="21" t="n">
        <v>0</v>
      </c>
      <c r="G768" s="21" t="n">
        <v>-0.01</v>
      </c>
      <c r="H768" s="21" t="n">
        <v>0.01</v>
      </c>
      <c r="I768" s="21" t="n">
        <v>-0.01</v>
      </c>
      <c r="J768" s="21" t="n">
        <v>0.01</v>
      </c>
      <c r="K768" s="21" t="n">
        <v>-0.01</v>
      </c>
      <c r="L768" s="21" t="n">
        <v>0</v>
      </c>
      <c r="M768" s="21" t="n">
        <v>0</v>
      </c>
      <c r="N768" s="21" t="n">
        <v>-0.01</v>
      </c>
      <c r="O768" s="21" t="n">
        <v>0.01</v>
      </c>
      <c r="P768" s="21" t="n">
        <v>-0.01</v>
      </c>
      <c r="Q768" s="21" t="n">
        <v>0.01</v>
      </c>
      <c r="R768" s="18" t="n">
        <f aca="false">ABS(D768)+MAX(ABS(G768),ABS(H768))+MAX(ABS(I768),ABS(J768))</f>
        <v>0.03</v>
      </c>
      <c r="S768" s="18" t="n">
        <f aca="false">ABS(K768)+MAX(ABS(N768),ABS(O768))+MAX(ABS(P768),ABS(Q768))</f>
        <v>0.03</v>
      </c>
      <c r="T768" s="18" t="n">
        <f aca="false">MAX(ABS(E768),ABS(F768))</f>
        <v>0</v>
      </c>
      <c r="U768" s="18" t="n">
        <f aca="false">MAX(ABS(L768),ABS(M768))</f>
        <v>0</v>
      </c>
    </row>
    <row r="769" customFormat="false" ht="15" hidden="false" customHeight="false" outlineLevel="0" collapsed="false">
      <c r="A769" s="4" t="n">
        <v>377</v>
      </c>
      <c r="B769" s="4" t="n">
        <v>156</v>
      </c>
      <c r="C769" s="18" t="n">
        <v>1</v>
      </c>
      <c r="D769" s="21" t="n">
        <v>-0.01</v>
      </c>
      <c r="E769" s="21" t="n">
        <v>0</v>
      </c>
      <c r="F769" s="21" t="n">
        <v>0</v>
      </c>
      <c r="G769" s="21" t="n">
        <v>-0.01</v>
      </c>
      <c r="H769" s="21" t="n">
        <v>0.01</v>
      </c>
      <c r="I769" s="21" t="n">
        <v>-0.03</v>
      </c>
      <c r="J769" s="21" t="n">
        <v>0.01</v>
      </c>
      <c r="K769" s="21" t="n">
        <v>-0.01</v>
      </c>
      <c r="L769" s="21" t="n">
        <v>0</v>
      </c>
      <c r="M769" s="21" t="n">
        <v>0</v>
      </c>
      <c r="N769" s="21" t="n">
        <v>-0.01</v>
      </c>
      <c r="O769" s="21" t="n">
        <v>0.01</v>
      </c>
      <c r="P769" s="21" t="n">
        <v>-0.03</v>
      </c>
      <c r="Q769" s="21" t="n">
        <v>0.01</v>
      </c>
      <c r="R769" s="18" t="n">
        <f aca="false">ABS(D769)+MAX(ABS(G769),ABS(H769))+MAX(ABS(I769),ABS(J769))</f>
        <v>0.05</v>
      </c>
      <c r="S769" s="18" t="n">
        <f aca="false">ABS(K769)+MAX(ABS(N769),ABS(O769))+MAX(ABS(P769),ABS(Q769))</f>
        <v>0.05</v>
      </c>
      <c r="T769" s="18" t="n">
        <f aca="false">MAX(ABS(E769),ABS(F769))</f>
        <v>0</v>
      </c>
      <c r="U769" s="18" t="n">
        <f aca="false">MAX(ABS(L769),ABS(M769))</f>
        <v>0</v>
      </c>
    </row>
    <row r="770" customFormat="false" ht="15" hidden="false" customHeight="false" outlineLevel="0" collapsed="false">
      <c r="A770" s="4" t="n">
        <v>378</v>
      </c>
      <c r="B770" s="4" t="n">
        <v>157</v>
      </c>
      <c r="C770" s="18" t="n">
        <v>0</v>
      </c>
      <c r="D770" s="21" t="n">
        <v>0</v>
      </c>
      <c r="E770" s="21" t="n">
        <v>0</v>
      </c>
      <c r="F770" s="21" t="n">
        <v>0</v>
      </c>
      <c r="G770" s="21" t="n">
        <v>0.01</v>
      </c>
      <c r="H770" s="21" t="n">
        <v>-0.01</v>
      </c>
      <c r="I770" s="21" t="n">
        <v>-0.02</v>
      </c>
      <c r="J770" s="21" t="n">
        <v>0.01</v>
      </c>
      <c r="K770" s="21" t="n">
        <v>0</v>
      </c>
      <c r="L770" s="21" t="n">
        <v>0</v>
      </c>
      <c r="M770" s="21" t="n">
        <v>0</v>
      </c>
      <c r="N770" s="21" t="n">
        <v>0.01</v>
      </c>
      <c r="O770" s="21" t="n">
        <v>-0.01</v>
      </c>
      <c r="P770" s="21" t="n">
        <v>-0.02</v>
      </c>
      <c r="Q770" s="21" t="n">
        <v>0.01</v>
      </c>
      <c r="R770" s="18" t="n">
        <f aca="false">ABS(D770)+MAX(ABS(G770),ABS(H770))+MAX(ABS(I770),ABS(J770))</f>
        <v>0.03</v>
      </c>
      <c r="S770" s="18" t="n">
        <f aca="false">ABS(K770)+MAX(ABS(N770),ABS(O770))+MAX(ABS(P770),ABS(Q770))</f>
        <v>0.03</v>
      </c>
      <c r="T770" s="18" t="n">
        <f aca="false">MAX(ABS(E770),ABS(F770))</f>
        <v>0</v>
      </c>
      <c r="U770" s="18" t="n">
        <f aca="false">MAX(ABS(L770),ABS(M770))</f>
        <v>0</v>
      </c>
    </row>
    <row r="771" customFormat="false" ht="15" hidden="false" customHeight="false" outlineLevel="0" collapsed="false">
      <c r="A771" s="4" t="n">
        <v>378</v>
      </c>
      <c r="B771" s="4" t="n">
        <v>157</v>
      </c>
      <c r="C771" s="18" t="n">
        <v>0.25</v>
      </c>
      <c r="D771" s="21" t="n">
        <v>0</v>
      </c>
      <c r="E771" s="21" t="n">
        <v>0</v>
      </c>
      <c r="F771" s="21" t="n">
        <v>0</v>
      </c>
      <c r="G771" s="21" t="n">
        <v>0.01</v>
      </c>
      <c r="H771" s="21" t="n">
        <v>-0.01</v>
      </c>
      <c r="I771" s="21" t="n">
        <v>-0.01</v>
      </c>
      <c r="J771" s="21" t="n">
        <v>0</v>
      </c>
      <c r="K771" s="21" t="n">
        <v>0</v>
      </c>
      <c r="L771" s="21" t="n">
        <v>0</v>
      </c>
      <c r="M771" s="21" t="n">
        <v>0</v>
      </c>
      <c r="N771" s="21" t="n">
        <v>0.01</v>
      </c>
      <c r="O771" s="21" t="n">
        <v>-0.01</v>
      </c>
      <c r="P771" s="21" t="n">
        <v>-0.01</v>
      </c>
      <c r="Q771" s="21" t="n">
        <v>0</v>
      </c>
      <c r="R771" s="18" t="n">
        <f aca="false">ABS(D771)+MAX(ABS(G771),ABS(H771))+MAX(ABS(I771),ABS(J771))</f>
        <v>0.02</v>
      </c>
      <c r="S771" s="18" t="n">
        <f aca="false">ABS(K771)+MAX(ABS(N771),ABS(O771))+MAX(ABS(P771),ABS(Q771))</f>
        <v>0.02</v>
      </c>
      <c r="T771" s="18" t="n">
        <f aca="false">MAX(ABS(E771),ABS(F771))</f>
        <v>0</v>
      </c>
      <c r="U771" s="18" t="n">
        <f aca="false">MAX(ABS(L771),ABS(M771))</f>
        <v>0</v>
      </c>
    </row>
    <row r="772" customFormat="false" ht="15" hidden="false" customHeight="false" outlineLevel="0" collapsed="false">
      <c r="A772" s="4" t="n">
        <v>378</v>
      </c>
      <c r="B772" s="4" t="n">
        <v>157</v>
      </c>
      <c r="C772" s="18" t="n">
        <v>0.5</v>
      </c>
      <c r="D772" s="21" t="n">
        <v>0</v>
      </c>
      <c r="E772" s="21" t="n">
        <v>0</v>
      </c>
      <c r="F772" s="21" t="n">
        <v>0</v>
      </c>
      <c r="G772" s="21" t="n">
        <v>0.01</v>
      </c>
      <c r="H772" s="21" t="n">
        <v>-0.01</v>
      </c>
      <c r="I772" s="21" t="n">
        <v>0</v>
      </c>
      <c r="J772" s="21" t="n">
        <v>0</v>
      </c>
      <c r="K772" s="21" t="n">
        <v>0</v>
      </c>
      <c r="L772" s="21" t="n">
        <v>0</v>
      </c>
      <c r="M772" s="21" t="n">
        <v>0</v>
      </c>
      <c r="N772" s="21" t="n">
        <v>0.01</v>
      </c>
      <c r="O772" s="21" t="n">
        <v>-0.01</v>
      </c>
      <c r="P772" s="21" t="n">
        <v>0</v>
      </c>
      <c r="Q772" s="21" t="n">
        <v>0</v>
      </c>
      <c r="R772" s="18" t="n">
        <f aca="false">ABS(D772)+MAX(ABS(G772),ABS(H772))+MAX(ABS(I772),ABS(J772))</f>
        <v>0.01</v>
      </c>
      <c r="S772" s="18" t="n">
        <f aca="false">ABS(K772)+MAX(ABS(N772),ABS(O772))+MAX(ABS(P772),ABS(Q772))</f>
        <v>0.01</v>
      </c>
      <c r="T772" s="18" t="n">
        <f aca="false">MAX(ABS(E772),ABS(F772))</f>
        <v>0</v>
      </c>
      <c r="U772" s="18" t="n">
        <f aca="false">MAX(ABS(L772),ABS(M772))</f>
        <v>0</v>
      </c>
    </row>
    <row r="773" customFormat="false" ht="15" hidden="false" customHeight="false" outlineLevel="0" collapsed="false">
      <c r="A773" s="4" t="n">
        <v>378</v>
      </c>
      <c r="B773" s="4" t="n">
        <v>157</v>
      </c>
      <c r="C773" s="18" t="n">
        <v>0.75</v>
      </c>
      <c r="D773" s="21" t="n">
        <v>0</v>
      </c>
      <c r="E773" s="21" t="n">
        <v>0</v>
      </c>
      <c r="F773" s="21" t="n">
        <v>0</v>
      </c>
      <c r="G773" s="21" t="n">
        <v>0</v>
      </c>
      <c r="H773" s="21" t="n">
        <v>0</v>
      </c>
      <c r="I773" s="21" t="n">
        <v>0.01</v>
      </c>
      <c r="J773" s="21" t="n">
        <v>-0.01</v>
      </c>
      <c r="K773" s="21" t="n">
        <v>0</v>
      </c>
      <c r="L773" s="21" t="n">
        <v>0</v>
      </c>
      <c r="M773" s="21" t="n">
        <v>0</v>
      </c>
      <c r="N773" s="21" t="n">
        <v>0</v>
      </c>
      <c r="O773" s="21" t="n">
        <v>0</v>
      </c>
      <c r="P773" s="21" t="n">
        <v>0.01</v>
      </c>
      <c r="Q773" s="21" t="n">
        <v>-0.01</v>
      </c>
      <c r="R773" s="18" t="n">
        <f aca="false">ABS(D773)+MAX(ABS(G773),ABS(H773))+MAX(ABS(I773),ABS(J773))</f>
        <v>0.01</v>
      </c>
      <c r="S773" s="18" t="n">
        <f aca="false">ABS(K773)+MAX(ABS(N773),ABS(O773))+MAX(ABS(P773),ABS(Q773))</f>
        <v>0.01</v>
      </c>
      <c r="T773" s="18" t="n">
        <f aca="false">MAX(ABS(E773),ABS(F773))</f>
        <v>0</v>
      </c>
      <c r="U773" s="18" t="n">
        <f aca="false">MAX(ABS(L773),ABS(M773))</f>
        <v>0</v>
      </c>
    </row>
    <row r="774" customFormat="false" ht="15" hidden="false" customHeight="false" outlineLevel="0" collapsed="false">
      <c r="A774" s="4" t="n">
        <v>378</v>
      </c>
      <c r="B774" s="4" t="n">
        <v>157</v>
      </c>
      <c r="C774" s="18" t="n">
        <v>1</v>
      </c>
      <c r="D774" s="21" t="n">
        <v>0</v>
      </c>
      <c r="E774" s="21" t="n">
        <v>0</v>
      </c>
      <c r="F774" s="21" t="n">
        <v>0</v>
      </c>
      <c r="G774" s="21" t="n">
        <v>0</v>
      </c>
      <c r="H774" s="21" t="n">
        <v>0</v>
      </c>
      <c r="I774" s="21" t="n">
        <v>0.03</v>
      </c>
      <c r="J774" s="21" t="n">
        <v>-0.01</v>
      </c>
      <c r="K774" s="21" t="n">
        <v>0</v>
      </c>
      <c r="L774" s="21" t="n">
        <v>0</v>
      </c>
      <c r="M774" s="21" t="n">
        <v>0</v>
      </c>
      <c r="N774" s="21" t="n">
        <v>0</v>
      </c>
      <c r="O774" s="21" t="n">
        <v>0</v>
      </c>
      <c r="P774" s="21" t="n">
        <v>0.02</v>
      </c>
      <c r="Q774" s="21" t="n">
        <v>-0.01</v>
      </c>
      <c r="R774" s="18" t="n">
        <f aca="false">ABS(D774)+MAX(ABS(G774),ABS(H774))+MAX(ABS(I774),ABS(J774))</f>
        <v>0.03</v>
      </c>
      <c r="S774" s="18" t="n">
        <f aca="false">ABS(K774)+MAX(ABS(N774),ABS(O774))+MAX(ABS(P774),ABS(Q774))</f>
        <v>0.02</v>
      </c>
      <c r="T774" s="18" t="n">
        <f aca="false">MAX(ABS(E774),ABS(F774))</f>
        <v>0</v>
      </c>
      <c r="U774" s="18" t="n">
        <f aca="false">MAX(ABS(L774),ABS(M774))</f>
        <v>0</v>
      </c>
    </row>
    <row r="775" customFormat="false" ht="15" hidden="false" customHeight="false" outlineLevel="0" collapsed="false">
      <c r="A775" s="4" t="n">
        <v>379</v>
      </c>
      <c r="B775" s="4" t="n">
        <v>158</v>
      </c>
      <c r="C775" s="18" t="n">
        <v>0</v>
      </c>
      <c r="D775" s="21" t="n">
        <v>-0.04</v>
      </c>
      <c r="E775" s="21" t="n">
        <v>0</v>
      </c>
      <c r="F775" s="21" t="n">
        <v>0</v>
      </c>
      <c r="G775" s="21" t="n">
        <v>0.01</v>
      </c>
      <c r="H775" s="21" t="n">
        <v>-0.01</v>
      </c>
      <c r="I775" s="21" t="n">
        <v>-0.04</v>
      </c>
      <c r="J775" s="21" t="n">
        <v>0.02</v>
      </c>
      <c r="K775" s="21" t="n">
        <v>-0.04</v>
      </c>
      <c r="L775" s="21" t="n">
        <v>0</v>
      </c>
      <c r="M775" s="21" t="n">
        <v>0</v>
      </c>
      <c r="N775" s="21" t="n">
        <v>0.01</v>
      </c>
      <c r="O775" s="21" t="n">
        <v>-0.01</v>
      </c>
      <c r="P775" s="21" t="n">
        <v>-0.04</v>
      </c>
      <c r="Q775" s="21" t="n">
        <v>0.02</v>
      </c>
      <c r="R775" s="18" t="n">
        <f aca="false">ABS(D775)+MAX(ABS(G775),ABS(H775))+MAX(ABS(I775),ABS(J775))</f>
        <v>0.09</v>
      </c>
      <c r="S775" s="18" t="n">
        <f aca="false">ABS(K775)+MAX(ABS(N775),ABS(O775))+MAX(ABS(P775),ABS(Q775))</f>
        <v>0.09</v>
      </c>
      <c r="T775" s="18" t="n">
        <f aca="false">MAX(ABS(E775),ABS(F775))</f>
        <v>0</v>
      </c>
      <c r="U775" s="18" t="n">
        <f aca="false">MAX(ABS(L775),ABS(M775))</f>
        <v>0</v>
      </c>
    </row>
    <row r="776" customFormat="false" ht="15" hidden="false" customHeight="false" outlineLevel="0" collapsed="false">
      <c r="A776" s="4" t="n">
        <v>379</v>
      </c>
      <c r="B776" s="4" t="n">
        <v>158</v>
      </c>
      <c r="C776" s="18" t="n">
        <v>0.25</v>
      </c>
      <c r="D776" s="21" t="n">
        <v>-0.04</v>
      </c>
      <c r="E776" s="21" t="n">
        <v>0</v>
      </c>
      <c r="F776" s="21" t="n">
        <v>0</v>
      </c>
      <c r="G776" s="21" t="n">
        <v>0</v>
      </c>
      <c r="H776" s="21" t="n">
        <v>0</v>
      </c>
      <c r="I776" s="21" t="n">
        <v>-0.02</v>
      </c>
      <c r="J776" s="21" t="n">
        <v>0.01</v>
      </c>
      <c r="K776" s="21" t="n">
        <v>-0.04</v>
      </c>
      <c r="L776" s="21" t="n">
        <v>0</v>
      </c>
      <c r="M776" s="21" t="n">
        <v>0</v>
      </c>
      <c r="N776" s="21" t="n">
        <v>0</v>
      </c>
      <c r="O776" s="21" t="n">
        <v>0</v>
      </c>
      <c r="P776" s="21" t="n">
        <v>-0.02</v>
      </c>
      <c r="Q776" s="21" t="n">
        <v>0.01</v>
      </c>
      <c r="R776" s="18" t="n">
        <f aca="false">ABS(D776)+MAX(ABS(G776),ABS(H776))+MAX(ABS(I776),ABS(J776))</f>
        <v>0.06</v>
      </c>
      <c r="S776" s="18" t="n">
        <f aca="false">ABS(K776)+MAX(ABS(N776),ABS(O776))+MAX(ABS(P776),ABS(Q776))</f>
        <v>0.06</v>
      </c>
      <c r="T776" s="18" t="n">
        <f aca="false">MAX(ABS(E776),ABS(F776))</f>
        <v>0</v>
      </c>
      <c r="U776" s="18" t="n">
        <f aca="false">MAX(ABS(L776),ABS(M776))</f>
        <v>0</v>
      </c>
    </row>
    <row r="777" customFormat="false" ht="15" hidden="false" customHeight="false" outlineLevel="0" collapsed="false">
      <c r="A777" s="4" t="n">
        <v>379</v>
      </c>
      <c r="B777" s="4" t="n">
        <v>158</v>
      </c>
      <c r="C777" s="18" t="n">
        <v>0.5</v>
      </c>
      <c r="D777" s="21" t="n">
        <v>-0.04</v>
      </c>
      <c r="E777" s="21" t="n">
        <v>0</v>
      </c>
      <c r="F777" s="21" t="n">
        <v>0</v>
      </c>
      <c r="G777" s="21" t="n">
        <v>0</v>
      </c>
      <c r="H777" s="21" t="n">
        <v>0</v>
      </c>
      <c r="I777" s="21" t="n">
        <v>0</v>
      </c>
      <c r="J777" s="21" t="n">
        <v>0</v>
      </c>
      <c r="K777" s="21" t="n">
        <v>-0.04</v>
      </c>
      <c r="L777" s="21" t="n">
        <v>0</v>
      </c>
      <c r="M777" s="21" t="n">
        <v>0</v>
      </c>
      <c r="N777" s="21" t="n">
        <v>0</v>
      </c>
      <c r="O777" s="21" t="n">
        <v>0</v>
      </c>
      <c r="P777" s="21" t="n">
        <v>0</v>
      </c>
      <c r="Q777" s="21" t="n">
        <v>0</v>
      </c>
      <c r="R777" s="18" t="n">
        <f aca="false">ABS(D777)+MAX(ABS(G777),ABS(H777))+MAX(ABS(I777),ABS(J777))</f>
        <v>0.04</v>
      </c>
      <c r="S777" s="18" t="n">
        <f aca="false">ABS(K777)+MAX(ABS(N777),ABS(O777))+MAX(ABS(P777),ABS(Q777))</f>
        <v>0.04</v>
      </c>
      <c r="T777" s="18" t="n">
        <f aca="false">MAX(ABS(E777),ABS(F777))</f>
        <v>0</v>
      </c>
      <c r="U777" s="18" t="n">
        <f aca="false">MAX(ABS(L777),ABS(M777))</f>
        <v>0</v>
      </c>
    </row>
    <row r="778" customFormat="false" ht="15" hidden="false" customHeight="false" outlineLevel="0" collapsed="false">
      <c r="A778" s="4" t="n">
        <v>379</v>
      </c>
      <c r="B778" s="4" t="n">
        <v>158</v>
      </c>
      <c r="C778" s="18" t="n">
        <v>0.75</v>
      </c>
      <c r="D778" s="21" t="n">
        <v>-0.04</v>
      </c>
      <c r="E778" s="21" t="n">
        <v>0</v>
      </c>
      <c r="F778" s="21" t="n">
        <v>0</v>
      </c>
      <c r="G778" s="21" t="n">
        <v>0</v>
      </c>
      <c r="H778" s="21" t="n">
        <v>0</v>
      </c>
      <c r="I778" s="21" t="n">
        <v>0.02</v>
      </c>
      <c r="J778" s="21" t="n">
        <v>-0.01</v>
      </c>
      <c r="K778" s="21" t="n">
        <v>-0.04</v>
      </c>
      <c r="L778" s="21" t="n">
        <v>0</v>
      </c>
      <c r="M778" s="21" t="n">
        <v>0</v>
      </c>
      <c r="N778" s="21" t="n">
        <v>0</v>
      </c>
      <c r="O778" s="21" t="n">
        <v>0</v>
      </c>
      <c r="P778" s="21" t="n">
        <v>0.02</v>
      </c>
      <c r="Q778" s="21" t="n">
        <v>-0.01</v>
      </c>
      <c r="R778" s="18" t="n">
        <f aca="false">ABS(D778)+MAX(ABS(G778),ABS(H778))+MAX(ABS(I778),ABS(J778))</f>
        <v>0.06</v>
      </c>
      <c r="S778" s="18" t="n">
        <f aca="false">ABS(K778)+MAX(ABS(N778),ABS(O778))+MAX(ABS(P778),ABS(Q778))</f>
        <v>0.06</v>
      </c>
      <c r="T778" s="18" t="n">
        <f aca="false">MAX(ABS(E778),ABS(F778))</f>
        <v>0</v>
      </c>
      <c r="U778" s="18" t="n">
        <f aca="false">MAX(ABS(L778),ABS(M778))</f>
        <v>0</v>
      </c>
    </row>
    <row r="779" customFormat="false" ht="15" hidden="false" customHeight="false" outlineLevel="0" collapsed="false">
      <c r="A779" s="4" t="n">
        <v>379</v>
      </c>
      <c r="B779" s="4" t="n">
        <v>158</v>
      </c>
      <c r="C779" s="18" t="n">
        <v>1</v>
      </c>
      <c r="D779" s="21" t="n">
        <v>-0.04</v>
      </c>
      <c r="E779" s="21" t="n">
        <v>0</v>
      </c>
      <c r="F779" s="21" t="n">
        <v>0</v>
      </c>
      <c r="G779" s="21" t="n">
        <v>0</v>
      </c>
      <c r="H779" s="21" t="n">
        <v>0</v>
      </c>
      <c r="I779" s="21" t="n">
        <v>0.04</v>
      </c>
      <c r="J779" s="21" t="n">
        <v>-0.02</v>
      </c>
      <c r="K779" s="21" t="n">
        <v>-0.04</v>
      </c>
      <c r="L779" s="21" t="n">
        <v>0</v>
      </c>
      <c r="M779" s="21" t="n">
        <v>0</v>
      </c>
      <c r="N779" s="21" t="n">
        <v>0</v>
      </c>
      <c r="O779" s="21" t="n">
        <v>0</v>
      </c>
      <c r="P779" s="21" t="n">
        <v>0.04</v>
      </c>
      <c r="Q779" s="21" t="n">
        <v>-0.02</v>
      </c>
      <c r="R779" s="18" t="n">
        <f aca="false">ABS(D779)+MAX(ABS(G779),ABS(H779))+MAX(ABS(I779),ABS(J779))</f>
        <v>0.08</v>
      </c>
      <c r="S779" s="18" t="n">
        <f aca="false">ABS(K779)+MAX(ABS(N779),ABS(O779))+MAX(ABS(P779),ABS(Q779))</f>
        <v>0.08</v>
      </c>
      <c r="T779" s="18" t="n">
        <f aca="false">MAX(ABS(E779),ABS(F779))</f>
        <v>0</v>
      </c>
      <c r="U779" s="18" t="n">
        <f aca="false">MAX(ABS(L779),ABS(M779))</f>
        <v>0</v>
      </c>
    </row>
    <row r="780" customFormat="false" ht="15" hidden="false" customHeight="false" outlineLevel="0" collapsed="false">
      <c r="A780" s="4" t="n">
        <v>380</v>
      </c>
      <c r="B780" s="4" t="n">
        <v>159</v>
      </c>
      <c r="C780" s="18" t="n">
        <v>0</v>
      </c>
      <c r="D780" s="21" t="n">
        <v>0.02</v>
      </c>
      <c r="E780" s="21" t="n">
        <v>0</v>
      </c>
      <c r="F780" s="21" t="n">
        <v>0</v>
      </c>
      <c r="G780" s="21" t="n">
        <v>0.01</v>
      </c>
      <c r="H780" s="21" t="n">
        <v>-0.01</v>
      </c>
      <c r="I780" s="21" t="n">
        <v>-0.03</v>
      </c>
      <c r="J780" s="21" t="n">
        <v>0.01</v>
      </c>
      <c r="K780" s="21" t="n">
        <v>0.02</v>
      </c>
      <c r="L780" s="21" t="n">
        <v>0</v>
      </c>
      <c r="M780" s="21" t="n">
        <v>0</v>
      </c>
      <c r="N780" s="21" t="n">
        <v>0.01</v>
      </c>
      <c r="O780" s="21" t="n">
        <v>-0.01</v>
      </c>
      <c r="P780" s="21" t="n">
        <v>-0.03</v>
      </c>
      <c r="Q780" s="21" t="n">
        <v>0.01</v>
      </c>
      <c r="R780" s="18" t="n">
        <f aca="false">ABS(D780)+MAX(ABS(G780),ABS(H780))+MAX(ABS(I780),ABS(J780))</f>
        <v>0.06</v>
      </c>
      <c r="S780" s="18" t="n">
        <f aca="false">ABS(K780)+MAX(ABS(N780),ABS(O780))+MAX(ABS(P780),ABS(Q780))</f>
        <v>0.06</v>
      </c>
      <c r="T780" s="18" t="n">
        <f aca="false">MAX(ABS(E780),ABS(F780))</f>
        <v>0</v>
      </c>
      <c r="U780" s="18" t="n">
        <f aca="false">MAX(ABS(L780),ABS(M780))</f>
        <v>0</v>
      </c>
    </row>
    <row r="781" customFormat="false" ht="15" hidden="false" customHeight="false" outlineLevel="0" collapsed="false">
      <c r="A781" s="4" t="n">
        <v>380</v>
      </c>
      <c r="B781" s="4" t="n">
        <v>159</v>
      </c>
      <c r="C781" s="18" t="n">
        <v>0.25</v>
      </c>
      <c r="D781" s="21" t="n">
        <v>0.02</v>
      </c>
      <c r="E781" s="21" t="n">
        <v>0</v>
      </c>
      <c r="F781" s="21" t="n">
        <v>0</v>
      </c>
      <c r="G781" s="21" t="n">
        <v>0</v>
      </c>
      <c r="H781" s="21" t="n">
        <v>0</v>
      </c>
      <c r="I781" s="21" t="n">
        <v>-0.01</v>
      </c>
      <c r="J781" s="21" t="n">
        <v>0.01</v>
      </c>
      <c r="K781" s="21" t="n">
        <v>0.02</v>
      </c>
      <c r="L781" s="21" t="n">
        <v>0</v>
      </c>
      <c r="M781" s="21" t="n">
        <v>0</v>
      </c>
      <c r="N781" s="21" t="n">
        <v>0</v>
      </c>
      <c r="O781" s="21" t="n">
        <v>0</v>
      </c>
      <c r="P781" s="21" t="n">
        <v>-0.01</v>
      </c>
      <c r="Q781" s="21" t="n">
        <v>0.01</v>
      </c>
      <c r="R781" s="18" t="n">
        <f aca="false">ABS(D781)+MAX(ABS(G781),ABS(H781))+MAX(ABS(I781),ABS(J781))</f>
        <v>0.03</v>
      </c>
      <c r="S781" s="18" t="n">
        <f aca="false">ABS(K781)+MAX(ABS(N781),ABS(O781))+MAX(ABS(P781),ABS(Q781))</f>
        <v>0.03</v>
      </c>
      <c r="T781" s="18" t="n">
        <f aca="false">MAX(ABS(E781),ABS(F781))</f>
        <v>0</v>
      </c>
      <c r="U781" s="18" t="n">
        <f aca="false">MAX(ABS(L781),ABS(M781))</f>
        <v>0</v>
      </c>
    </row>
    <row r="782" customFormat="false" ht="15" hidden="false" customHeight="false" outlineLevel="0" collapsed="false">
      <c r="A782" s="4" t="n">
        <v>380</v>
      </c>
      <c r="B782" s="4" t="n">
        <v>159</v>
      </c>
      <c r="C782" s="18" t="n">
        <v>0.5</v>
      </c>
      <c r="D782" s="21" t="n">
        <v>0.02</v>
      </c>
      <c r="E782" s="21" t="n">
        <v>0</v>
      </c>
      <c r="F782" s="21" t="n">
        <v>0</v>
      </c>
      <c r="G782" s="21" t="n">
        <v>0</v>
      </c>
      <c r="H782" s="21" t="n">
        <v>0</v>
      </c>
      <c r="I782" s="21" t="n">
        <v>0</v>
      </c>
      <c r="J782" s="21" t="n">
        <v>0</v>
      </c>
      <c r="K782" s="21" t="n">
        <v>0.02</v>
      </c>
      <c r="L782" s="21" t="n">
        <v>0</v>
      </c>
      <c r="M782" s="21" t="n">
        <v>0</v>
      </c>
      <c r="N782" s="21" t="n">
        <v>0</v>
      </c>
      <c r="O782" s="21" t="n">
        <v>0</v>
      </c>
      <c r="P782" s="21" t="n">
        <v>0</v>
      </c>
      <c r="Q782" s="21" t="n">
        <v>0</v>
      </c>
      <c r="R782" s="18" t="n">
        <f aca="false">ABS(D782)+MAX(ABS(G782),ABS(H782))+MAX(ABS(I782),ABS(J782))</f>
        <v>0.02</v>
      </c>
      <c r="S782" s="18" t="n">
        <f aca="false">ABS(K782)+MAX(ABS(N782),ABS(O782))+MAX(ABS(P782),ABS(Q782))</f>
        <v>0.02</v>
      </c>
      <c r="T782" s="18" t="n">
        <f aca="false">MAX(ABS(E782),ABS(F782))</f>
        <v>0</v>
      </c>
      <c r="U782" s="18" t="n">
        <f aca="false">MAX(ABS(L782),ABS(M782))</f>
        <v>0</v>
      </c>
    </row>
    <row r="783" customFormat="false" ht="15" hidden="false" customHeight="false" outlineLevel="0" collapsed="false">
      <c r="A783" s="4" t="n">
        <v>380</v>
      </c>
      <c r="B783" s="4" t="n">
        <v>159</v>
      </c>
      <c r="C783" s="18" t="n">
        <v>0.75</v>
      </c>
      <c r="D783" s="21" t="n">
        <v>0.02</v>
      </c>
      <c r="E783" s="21" t="n">
        <v>0</v>
      </c>
      <c r="F783" s="21" t="n">
        <v>0</v>
      </c>
      <c r="G783" s="21" t="n">
        <v>0</v>
      </c>
      <c r="H783" s="21" t="n">
        <v>0</v>
      </c>
      <c r="I783" s="21" t="n">
        <v>0.02</v>
      </c>
      <c r="J783" s="21" t="n">
        <v>-0.01</v>
      </c>
      <c r="K783" s="21" t="n">
        <v>0.02</v>
      </c>
      <c r="L783" s="21" t="n">
        <v>0</v>
      </c>
      <c r="M783" s="21" t="n">
        <v>0</v>
      </c>
      <c r="N783" s="21" t="n">
        <v>0</v>
      </c>
      <c r="O783" s="21" t="n">
        <v>0</v>
      </c>
      <c r="P783" s="21" t="n">
        <v>0.02</v>
      </c>
      <c r="Q783" s="21" t="n">
        <v>-0.01</v>
      </c>
      <c r="R783" s="18" t="n">
        <f aca="false">ABS(D783)+MAX(ABS(G783),ABS(H783))+MAX(ABS(I783),ABS(J783))</f>
        <v>0.04</v>
      </c>
      <c r="S783" s="18" t="n">
        <f aca="false">ABS(K783)+MAX(ABS(N783),ABS(O783))+MAX(ABS(P783),ABS(Q783))</f>
        <v>0.04</v>
      </c>
      <c r="T783" s="18" t="n">
        <f aca="false">MAX(ABS(E783),ABS(F783))</f>
        <v>0</v>
      </c>
      <c r="U783" s="18" t="n">
        <f aca="false">MAX(ABS(L783),ABS(M783))</f>
        <v>0</v>
      </c>
    </row>
    <row r="784" customFormat="false" ht="15" hidden="false" customHeight="false" outlineLevel="0" collapsed="false">
      <c r="A784" s="4" t="n">
        <v>380</v>
      </c>
      <c r="B784" s="4" t="n">
        <v>159</v>
      </c>
      <c r="C784" s="18" t="n">
        <v>1</v>
      </c>
      <c r="D784" s="21" t="n">
        <v>0.02</v>
      </c>
      <c r="E784" s="21" t="n">
        <v>0</v>
      </c>
      <c r="F784" s="21" t="n">
        <v>0</v>
      </c>
      <c r="G784" s="21" t="n">
        <v>0</v>
      </c>
      <c r="H784" s="21" t="n">
        <v>0</v>
      </c>
      <c r="I784" s="21" t="n">
        <v>0.03</v>
      </c>
      <c r="J784" s="21" t="n">
        <v>-0.01</v>
      </c>
      <c r="K784" s="21" t="n">
        <v>0.02</v>
      </c>
      <c r="L784" s="21" t="n">
        <v>0</v>
      </c>
      <c r="M784" s="21" t="n">
        <v>0</v>
      </c>
      <c r="N784" s="21" t="n">
        <v>0</v>
      </c>
      <c r="O784" s="21" t="n">
        <v>0</v>
      </c>
      <c r="P784" s="21" t="n">
        <v>0.03</v>
      </c>
      <c r="Q784" s="21" t="n">
        <v>-0.01</v>
      </c>
      <c r="R784" s="18" t="n">
        <f aca="false">ABS(D784)+MAX(ABS(G784),ABS(H784))+MAX(ABS(I784),ABS(J784))</f>
        <v>0.05</v>
      </c>
      <c r="S784" s="18" t="n">
        <f aca="false">ABS(K784)+MAX(ABS(N784),ABS(O784))+MAX(ABS(P784),ABS(Q784))</f>
        <v>0.05</v>
      </c>
      <c r="T784" s="18" t="n">
        <f aca="false">MAX(ABS(E784),ABS(F784))</f>
        <v>0</v>
      </c>
      <c r="U784" s="18" t="n">
        <f aca="false">MAX(ABS(L784),ABS(M784))</f>
        <v>0</v>
      </c>
    </row>
    <row r="785" customFormat="false" ht="15" hidden="false" customHeight="false" outlineLevel="0" collapsed="false">
      <c r="A785" s="4" t="n">
        <v>381</v>
      </c>
      <c r="B785" s="4" t="n">
        <v>160</v>
      </c>
      <c r="C785" s="18" t="n">
        <v>0</v>
      </c>
      <c r="D785" s="21" t="n">
        <v>-0.02</v>
      </c>
      <c r="E785" s="21" t="n">
        <v>0</v>
      </c>
      <c r="F785" s="21" t="n">
        <v>0</v>
      </c>
      <c r="G785" s="21" t="n">
        <v>0</v>
      </c>
      <c r="H785" s="21" t="n">
        <v>0</v>
      </c>
      <c r="I785" s="21" t="n">
        <v>-0.03</v>
      </c>
      <c r="J785" s="21" t="n">
        <v>0.01</v>
      </c>
      <c r="K785" s="21" t="n">
        <v>-0.02</v>
      </c>
      <c r="L785" s="21" t="n">
        <v>0</v>
      </c>
      <c r="M785" s="21" t="n">
        <v>0</v>
      </c>
      <c r="N785" s="21" t="n">
        <v>0</v>
      </c>
      <c r="O785" s="21" t="n">
        <v>0</v>
      </c>
      <c r="P785" s="21" t="n">
        <v>-0.03</v>
      </c>
      <c r="Q785" s="21" t="n">
        <v>0.01</v>
      </c>
      <c r="R785" s="18" t="n">
        <f aca="false">ABS(D785)+MAX(ABS(G785),ABS(H785))+MAX(ABS(I785),ABS(J785))</f>
        <v>0.05</v>
      </c>
      <c r="S785" s="18" t="n">
        <f aca="false">ABS(K785)+MAX(ABS(N785),ABS(O785))+MAX(ABS(P785),ABS(Q785))</f>
        <v>0.05</v>
      </c>
      <c r="T785" s="18" t="n">
        <f aca="false">MAX(ABS(E785),ABS(F785))</f>
        <v>0</v>
      </c>
      <c r="U785" s="18" t="n">
        <f aca="false">MAX(ABS(L785),ABS(M785))</f>
        <v>0</v>
      </c>
    </row>
    <row r="786" customFormat="false" ht="15" hidden="false" customHeight="false" outlineLevel="0" collapsed="false">
      <c r="A786" s="4" t="n">
        <v>381</v>
      </c>
      <c r="B786" s="4" t="n">
        <v>160</v>
      </c>
      <c r="C786" s="18" t="n">
        <v>0.25</v>
      </c>
      <c r="D786" s="21" t="n">
        <v>-0.02</v>
      </c>
      <c r="E786" s="21" t="n">
        <v>0</v>
      </c>
      <c r="F786" s="21" t="n">
        <v>0</v>
      </c>
      <c r="G786" s="21" t="n">
        <v>0</v>
      </c>
      <c r="H786" s="21" t="n">
        <v>0</v>
      </c>
      <c r="I786" s="21" t="n">
        <v>-0.02</v>
      </c>
      <c r="J786" s="21" t="n">
        <v>0.01</v>
      </c>
      <c r="K786" s="21" t="n">
        <v>-0.02</v>
      </c>
      <c r="L786" s="21" t="n">
        <v>0</v>
      </c>
      <c r="M786" s="21" t="n">
        <v>0</v>
      </c>
      <c r="N786" s="21" t="n">
        <v>0</v>
      </c>
      <c r="O786" s="21" t="n">
        <v>0</v>
      </c>
      <c r="P786" s="21" t="n">
        <v>-0.02</v>
      </c>
      <c r="Q786" s="21" t="n">
        <v>0.01</v>
      </c>
      <c r="R786" s="18" t="n">
        <f aca="false">ABS(D786)+MAX(ABS(G786),ABS(H786))+MAX(ABS(I786),ABS(J786))</f>
        <v>0.04</v>
      </c>
      <c r="S786" s="18" t="n">
        <f aca="false">ABS(K786)+MAX(ABS(N786),ABS(O786))+MAX(ABS(P786),ABS(Q786))</f>
        <v>0.04</v>
      </c>
      <c r="T786" s="18" t="n">
        <f aca="false">MAX(ABS(E786),ABS(F786))</f>
        <v>0</v>
      </c>
      <c r="U786" s="18" t="n">
        <f aca="false">MAX(ABS(L786),ABS(M786))</f>
        <v>0</v>
      </c>
    </row>
    <row r="787" customFormat="false" ht="15" hidden="false" customHeight="false" outlineLevel="0" collapsed="false">
      <c r="A787" s="4" t="n">
        <v>381</v>
      </c>
      <c r="B787" s="4" t="n">
        <v>160</v>
      </c>
      <c r="C787" s="18" t="n">
        <v>0.5</v>
      </c>
      <c r="D787" s="21" t="n">
        <v>-0.02</v>
      </c>
      <c r="E787" s="21" t="n">
        <v>0</v>
      </c>
      <c r="F787" s="21" t="n">
        <v>0</v>
      </c>
      <c r="G787" s="21" t="n">
        <v>0</v>
      </c>
      <c r="H787" s="21" t="n">
        <v>0</v>
      </c>
      <c r="I787" s="21" t="n">
        <v>0</v>
      </c>
      <c r="J787" s="21" t="n">
        <v>0</v>
      </c>
      <c r="K787" s="21" t="n">
        <v>-0.02</v>
      </c>
      <c r="L787" s="21" t="n">
        <v>0</v>
      </c>
      <c r="M787" s="21" t="n">
        <v>0</v>
      </c>
      <c r="N787" s="21" t="n">
        <v>0</v>
      </c>
      <c r="O787" s="21" t="n">
        <v>0</v>
      </c>
      <c r="P787" s="21" t="n">
        <v>0</v>
      </c>
      <c r="Q787" s="21" t="n">
        <v>0</v>
      </c>
      <c r="R787" s="18" t="n">
        <f aca="false">ABS(D787)+MAX(ABS(G787),ABS(H787))+MAX(ABS(I787),ABS(J787))</f>
        <v>0.02</v>
      </c>
      <c r="S787" s="18" t="n">
        <f aca="false">ABS(K787)+MAX(ABS(N787),ABS(O787))+MAX(ABS(P787),ABS(Q787))</f>
        <v>0.02</v>
      </c>
      <c r="T787" s="18" t="n">
        <f aca="false">MAX(ABS(E787),ABS(F787))</f>
        <v>0</v>
      </c>
      <c r="U787" s="18" t="n">
        <f aca="false">MAX(ABS(L787),ABS(M787))</f>
        <v>0</v>
      </c>
    </row>
    <row r="788" customFormat="false" ht="15" hidden="false" customHeight="false" outlineLevel="0" collapsed="false">
      <c r="A788" s="4" t="n">
        <v>381</v>
      </c>
      <c r="B788" s="4" t="n">
        <v>160</v>
      </c>
      <c r="C788" s="18" t="n">
        <v>0.75</v>
      </c>
      <c r="D788" s="21" t="n">
        <v>-0.02</v>
      </c>
      <c r="E788" s="21" t="n">
        <v>0</v>
      </c>
      <c r="F788" s="21" t="n">
        <v>0</v>
      </c>
      <c r="G788" s="21" t="n">
        <v>0</v>
      </c>
      <c r="H788" s="21" t="n">
        <v>0</v>
      </c>
      <c r="I788" s="21" t="n">
        <v>0.01</v>
      </c>
      <c r="J788" s="21" t="n">
        <v>-0.01</v>
      </c>
      <c r="K788" s="21" t="n">
        <v>-0.02</v>
      </c>
      <c r="L788" s="21" t="n">
        <v>0</v>
      </c>
      <c r="M788" s="21" t="n">
        <v>0</v>
      </c>
      <c r="N788" s="21" t="n">
        <v>0</v>
      </c>
      <c r="O788" s="21" t="n">
        <v>0</v>
      </c>
      <c r="P788" s="21" t="n">
        <v>0.01</v>
      </c>
      <c r="Q788" s="21" t="n">
        <v>-0.01</v>
      </c>
      <c r="R788" s="18" t="n">
        <f aca="false">ABS(D788)+MAX(ABS(G788),ABS(H788))+MAX(ABS(I788),ABS(J788))</f>
        <v>0.03</v>
      </c>
      <c r="S788" s="18" t="n">
        <f aca="false">ABS(K788)+MAX(ABS(N788),ABS(O788))+MAX(ABS(P788),ABS(Q788))</f>
        <v>0.03</v>
      </c>
      <c r="T788" s="18" t="n">
        <f aca="false">MAX(ABS(E788),ABS(F788))</f>
        <v>0</v>
      </c>
      <c r="U788" s="18" t="n">
        <f aca="false">MAX(ABS(L788),ABS(M788))</f>
        <v>0</v>
      </c>
    </row>
    <row r="789" customFormat="false" ht="15" hidden="false" customHeight="false" outlineLevel="0" collapsed="false">
      <c r="A789" s="4" t="n">
        <v>381</v>
      </c>
      <c r="B789" s="4" t="n">
        <v>160</v>
      </c>
      <c r="C789" s="18" t="n">
        <v>1</v>
      </c>
      <c r="D789" s="21" t="n">
        <v>-0.02</v>
      </c>
      <c r="E789" s="21" t="n">
        <v>0</v>
      </c>
      <c r="F789" s="21" t="n">
        <v>0</v>
      </c>
      <c r="G789" s="21" t="n">
        <v>-0.01</v>
      </c>
      <c r="H789" s="21" t="n">
        <v>0.01</v>
      </c>
      <c r="I789" s="21" t="n">
        <v>0.03</v>
      </c>
      <c r="J789" s="21" t="n">
        <v>-0.01</v>
      </c>
      <c r="K789" s="21" t="n">
        <v>-0.02</v>
      </c>
      <c r="L789" s="21" t="n">
        <v>0</v>
      </c>
      <c r="M789" s="21" t="n">
        <v>0</v>
      </c>
      <c r="N789" s="21" t="n">
        <v>-0.01</v>
      </c>
      <c r="O789" s="21" t="n">
        <v>0.01</v>
      </c>
      <c r="P789" s="21" t="n">
        <v>0.03</v>
      </c>
      <c r="Q789" s="21" t="n">
        <v>-0.01</v>
      </c>
      <c r="R789" s="18" t="n">
        <f aca="false">ABS(D789)+MAX(ABS(G789),ABS(H789))+MAX(ABS(I789),ABS(J789))</f>
        <v>0.06</v>
      </c>
      <c r="S789" s="18" t="n">
        <f aca="false">ABS(K789)+MAX(ABS(N789),ABS(O789))+MAX(ABS(P789),ABS(Q789))</f>
        <v>0.06</v>
      </c>
      <c r="T789" s="18" t="n">
        <f aca="false">MAX(ABS(E789),ABS(F789))</f>
        <v>0</v>
      </c>
      <c r="U789" s="18" t="n">
        <f aca="false">MAX(ABS(L789),ABS(M789))</f>
        <v>0</v>
      </c>
    </row>
    <row r="790" customFormat="false" ht="15" hidden="false" customHeight="false" outlineLevel="0" collapsed="false">
      <c r="A790" s="4" t="n">
        <v>382</v>
      </c>
      <c r="B790" s="4" t="n">
        <v>161</v>
      </c>
      <c r="C790" s="18" t="n">
        <v>0</v>
      </c>
      <c r="D790" s="21" t="n">
        <v>0.03</v>
      </c>
      <c r="E790" s="21" t="n">
        <v>0</v>
      </c>
      <c r="F790" s="21" t="n">
        <v>0</v>
      </c>
      <c r="G790" s="21" t="n">
        <v>0.01</v>
      </c>
      <c r="H790" s="21" t="n">
        <v>-0.01</v>
      </c>
      <c r="I790" s="21" t="n">
        <v>-0.03</v>
      </c>
      <c r="J790" s="21" t="n">
        <v>0.01</v>
      </c>
      <c r="K790" s="21" t="n">
        <v>0.03</v>
      </c>
      <c r="L790" s="21" t="n">
        <v>0</v>
      </c>
      <c r="M790" s="21" t="n">
        <v>0</v>
      </c>
      <c r="N790" s="21" t="n">
        <v>0.01</v>
      </c>
      <c r="O790" s="21" t="n">
        <v>-0.01</v>
      </c>
      <c r="P790" s="21" t="n">
        <v>-0.03</v>
      </c>
      <c r="Q790" s="21" t="n">
        <v>0.01</v>
      </c>
      <c r="R790" s="18" t="n">
        <f aca="false">ABS(D790)+MAX(ABS(G790),ABS(H790))+MAX(ABS(I790),ABS(J790))</f>
        <v>0.07</v>
      </c>
      <c r="S790" s="18" t="n">
        <f aca="false">ABS(K790)+MAX(ABS(N790),ABS(O790))+MAX(ABS(P790),ABS(Q790))</f>
        <v>0.07</v>
      </c>
      <c r="T790" s="18" t="n">
        <f aca="false">MAX(ABS(E790),ABS(F790))</f>
        <v>0</v>
      </c>
      <c r="U790" s="18" t="n">
        <f aca="false">MAX(ABS(L790),ABS(M790))</f>
        <v>0</v>
      </c>
    </row>
    <row r="791" customFormat="false" ht="15" hidden="false" customHeight="false" outlineLevel="0" collapsed="false">
      <c r="A791" s="4" t="n">
        <v>382</v>
      </c>
      <c r="B791" s="4" t="n">
        <v>161</v>
      </c>
      <c r="C791" s="18" t="n">
        <v>0.25</v>
      </c>
      <c r="D791" s="21" t="n">
        <v>0.03</v>
      </c>
      <c r="E791" s="21" t="n">
        <v>0</v>
      </c>
      <c r="F791" s="21" t="n">
        <v>0</v>
      </c>
      <c r="G791" s="21" t="n">
        <v>0</v>
      </c>
      <c r="H791" s="21" t="n">
        <v>0</v>
      </c>
      <c r="I791" s="21" t="n">
        <v>-0.01</v>
      </c>
      <c r="J791" s="21" t="n">
        <v>0.01</v>
      </c>
      <c r="K791" s="21" t="n">
        <v>0.03</v>
      </c>
      <c r="L791" s="21" t="n">
        <v>0</v>
      </c>
      <c r="M791" s="21" t="n">
        <v>0</v>
      </c>
      <c r="N791" s="21" t="n">
        <v>0</v>
      </c>
      <c r="O791" s="21" t="n">
        <v>0</v>
      </c>
      <c r="P791" s="21" t="n">
        <v>-0.01</v>
      </c>
      <c r="Q791" s="21" t="n">
        <v>0</v>
      </c>
      <c r="R791" s="18" t="n">
        <f aca="false">ABS(D791)+MAX(ABS(G791),ABS(H791))+MAX(ABS(I791),ABS(J791))</f>
        <v>0.04</v>
      </c>
      <c r="S791" s="18" t="n">
        <f aca="false">ABS(K791)+MAX(ABS(N791),ABS(O791))+MAX(ABS(P791),ABS(Q791))</f>
        <v>0.04</v>
      </c>
      <c r="T791" s="18" t="n">
        <f aca="false">MAX(ABS(E791),ABS(F791))</f>
        <v>0</v>
      </c>
      <c r="U791" s="18" t="n">
        <f aca="false">MAX(ABS(L791),ABS(M791))</f>
        <v>0</v>
      </c>
    </row>
    <row r="792" customFormat="false" ht="15" hidden="false" customHeight="false" outlineLevel="0" collapsed="false">
      <c r="A792" s="4" t="n">
        <v>382</v>
      </c>
      <c r="B792" s="4" t="n">
        <v>161</v>
      </c>
      <c r="C792" s="18" t="n">
        <v>0.5</v>
      </c>
      <c r="D792" s="21" t="n">
        <v>0.03</v>
      </c>
      <c r="E792" s="21" t="n">
        <v>0</v>
      </c>
      <c r="F792" s="21" t="n">
        <v>0</v>
      </c>
      <c r="G792" s="21" t="n">
        <v>0</v>
      </c>
      <c r="H792" s="21" t="n">
        <v>0</v>
      </c>
      <c r="I792" s="21" t="n">
        <v>0</v>
      </c>
      <c r="J792" s="21" t="n">
        <v>0</v>
      </c>
      <c r="K792" s="21" t="n">
        <v>0.03</v>
      </c>
      <c r="L792" s="21" t="n">
        <v>0</v>
      </c>
      <c r="M792" s="21" t="n">
        <v>0</v>
      </c>
      <c r="N792" s="21" t="n">
        <v>0</v>
      </c>
      <c r="O792" s="21" t="n">
        <v>0</v>
      </c>
      <c r="P792" s="21" t="n">
        <v>0</v>
      </c>
      <c r="Q792" s="21" t="n">
        <v>0</v>
      </c>
      <c r="R792" s="18" t="n">
        <f aca="false">ABS(D792)+MAX(ABS(G792),ABS(H792))+MAX(ABS(I792),ABS(J792))</f>
        <v>0.03</v>
      </c>
      <c r="S792" s="18" t="n">
        <f aca="false">ABS(K792)+MAX(ABS(N792),ABS(O792))+MAX(ABS(P792),ABS(Q792))</f>
        <v>0.03</v>
      </c>
      <c r="T792" s="18" t="n">
        <f aca="false">MAX(ABS(E792),ABS(F792))</f>
        <v>0</v>
      </c>
      <c r="U792" s="18" t="n">
        <f aca="false">MAX(ABS(L792),ABS(M792))</f>
        <v>0</v>
      </c>
    </row>
    <row r="793" customFormat="false" ht="15" hidden="false" customHeight="false" outlineLevel="0" collapsed="false">
      <c r="A793" s="4" t="n">
        <v>382</v>
      </c>
      <c r="B793" s="4" t="n">
        <v>161</v>
      </c>
      <c r="C793" s="18" t="n">
        <v>0.75</v>
      </c>
      <c r="D793" s="21" t="n">
        <v>0.03</v>
      </c>
      <c r="E793" s="21" t="n">
        <v>0</v>
      </c>
      <c r="F793" s="21" t="n">
        <v>0</v>
      </c>
      <c r="G793" s="21" t="n">
        <v>0</v>
      </c>
      <c r="H793" s="21" t="n">
        <v>0</v>
      </c>
      <c r="I793" s="21" t="n">
        <v>0.02</v>
      </c>
      <c r="J793" s="21" t="n">
        <v>-0.01</v>
      </c>
      <c r="K793" s="21" t="n">
        <v>0.03</v>
      </c>
      <c r="L793" s="21" t="n">
        <v>0</v>
      </c>
      <c r="M793" s="21" t="n">
        <v>0</v>
      </c>
      <c r="N793" s="21" t="n">
        <v>0</v>
      </c>
      <c r="O793" s="21" t="n">
        <v>0</v>
      </c>
      <c r="P793" s="21" t="n">
        <v>0.02</v>
      </c>
      <c r="Q793" s="21" t="n">
        <v>-0.01</v>
      </c>
      <c r="R793" s="18" t="n">
        <f aca="false">ABS(D793)+MAX(ABS(G793),ABS(H793))+MAX(ABS(I793),ABS(J793))</f>
        <v>0.05</v>
      </c>
      <c r="S793" s="18" t="n">
        <f aca="false">ABS(K793)+MAX(ABS(N793),ABS(O793))+MAX(ABS(P793),ABS(Q793))</f>
        <v>0.05</v>
      </c>
      <c r="T793" s="18" t="n">
        <f aca="false">MAX(ABS(E793),ABS(F793))</f>
        <v>0</v>
      </c>
      <c r="U793" s="18" t="n">
        <f aca="false">MAX(ABS(L793),ABS(M793))</f>
        <v>0</v>
      </c>
    </row>
    <row r="794" customFormat="false" ht="15" hidden="false" customHeight="false" outlineLevel="0" collapsed="false">
      <c r="A794" s="4" t="n">
        <v>382</v>
      </c>
      <c r="B794" s="4" t="n">
        <v>161</v>
      </c>
      <c r="C794" s="18" t="n">
        <v>1</v>
      </c>
      <c r="D794" s="21" t="n">
        <v>0.03</v>
      </c>
      <c r="E794" s="21" t="n">
        <v>0</v>
      </c>
      <c r="F794" s="21" t="n">
        <v>0</v>
      </c>
      <c r="G794" s="21" t="n">
        <v>-0.01</v>
      </c>
      <c r="H794" s="21" t="n">
        <v>0.01</v>
      </c>
      <c r="I794" s="21" t="n">
        <v>0.03</v>
      </c>
      <c r="J794" s="21" t="n">
        <v>-0.01</v>
      </c>
      <c r="K794" s="21" t="n">
        <v>0.03</v>
      </c>
      <c r="L794" s="21" t="n">
        <v>0</v>
      </c>
      <c r="M794" s="21" t="n">
        <v>0</v>
      </c>
      <c r="N794" s="21" t="n">
        <v>-0.01</v>
      </c>
      <c r="O794" s="21" t="n">
        <v>0.01</v>
      </c>
      <c r="P794" s="21" t="n">
        <v>0.03</v>
      </c>
      <c r="Q794" s="21" t="n">
        <v>-0.01</v>
      </c>
      <c r="R794" s="18" t="n">
        <f aca="false">ABS(D794)+MAX(ABS(G794),ABS(H794))+MAX(ABS(I794),ABS(J794))</f>
        <v>0.07</v>
      </c>
      <c r="S794" s="18" t="n">
        <f aca="false">ABS(K794)+MAX(ABS(N794),ABS(O794))+MAX(ABS(P794),ABS(Q794))</f>
        <v>0.07</v>
      </c>
      <c r="T794" s="18" t="n">
        <f aca="false">MAX(ABS(E794),ABS(F794))</f>
        <v>0</v>
      </c>
      <c r="U794" s="18" t="n">
        <f aca="false">MAX(ABS(L794),ABS(M794))</f>
        <v>0</v>
      </c>
    </row>
    <row r="795" customFormat="false" ht="15" hidden="false" customHeight="false" outlineLevel="0" collapsed="false">
      <c r="A795" s="4" t="n">
        <v>383</v>
      </c>
      <c r="B795" s="4" t="n">
        <v>162</v>
      </c>
      <c r="C795" s="18" t="n">
        <v>0</v>
      </c>
      <c r="D795" s="21" t="n">
        <v>-0.04</v>
      </c>
      <c r="E795" s="21" t="n">
        <v>0</v>
      </c>
      <c r="F795" s="21" t="n">
        <v>0</v>
      </c>
      <c r="G795" s="21" t="n">
        <v>0</v>
      </c>
      <c r="H795" s="21" t="n">
        <v>0</v>
      </c>
      <c r="I795" s="21" t="n">
        <v>-0.01</v>
      </c>
      <c r="J795" s="21" t="n">
        <v>0.01</v>
      </c>
      <c r="K795" s="21" t="n">
        <v>-0.04</v>
      </c>
      <c r="L795" s="21" t="n">
        <v>0</v>
      </c>
      <c r="M795" s="21" t="n">
        <v>0</v>
      </c>
      <c r="N795" s="21" t="n">
        <v>0</v>
      </c>
      <c r="O795" s="21" t="n">
        <v>0</v>
      </c>
      <c r="P795" s="21" t="n">
        <v>-0.01</v>
      </c>
      <c r="Q795" s="21" t="n">
        <v>0.01</v>
      </c>
      <c r="R795" s="18" t="n">
        <f aca="false">ABS(D795)+MAX(ABS(G795),ABS(H795))+MAX(ABS(I795),ABS(J795))</f>
        <v>0.05</v>
      </c>
      <c r="S795" s="18" t="n">
        <f aca="false">ABS(K795)+MAX(ABS(N795),ABS(O795))+MAX(ABS(P795),ABS(Q795))</f>
        <v>0.05</v>
      </c>
      <c r="T795" s="18" t="n">
        <f aca="false">MAX(ABS(E795),ABS(F795))</f>
        <v>0</v>
      </c>
      <c r="U795" s="18" t="n">
        <f aca="false">MAX(ABS(L795),ABS(M795))</f>
        <v>0</v>
      </c>
    </row>
    <row r="796" customFormat="false" ht="15" hidden="false" customHeight="false" outlineLevel="0" collapsed="false">
      <c r="A796" s="4" t="n">
        <v>383</v>
      </c>
      <c r="B796" s="4" t="n">
        <v>162</v>
      </c>
      <c r="C796" s="18" t="n">
        <v>0.25</v>
      </c>
      <c r="D796" s="21" t="n">
        <v>-0.04</v>
      </c>
      <c r="E796" s="21" t="n">
        <v>0</v>
      </c>
      <c r="F796" s="21" t="n">
        <v>0</v>
      </c>
      <c r="G796" s="21" t="n">
        <v>0</v>
      </c>
      <c r="H796" s="21" t="n">
        <v>0</v>
      </c>
      <c r="I796" s="21" t="n">
        <v>0</v>
      </c>
      <c r="J796" s="21" t="n">
        <v>0</v>
      </c>
      <c r="K796" s="21" t="n">
        <v>-0.04</v>
      </c>
      <c r="L796" s="21" t="n">
        <v>0</v>
      </c>
      <c r="M796" s="21" t="n">
        <v>0</v>
      </c>
      <c r="N796" s="21" t="n">
        <v>0</v>
      </c>
      <c r="O796" s="21" t="n">
        <v>0</v>
      </c>
      <c r="P796" s="21" t="n">
        <v>0</v>
      </c>
      <c r="Q796" s="21" t="n">
        <v>0</v>
      </c>
      <c r="R796" s="18" t="n">
        <f aca="false">ABS(D796)+MAX(ABS(G796),ABS(H796))+MAX(ABS(I796),ABS(J796))</f>
        <v>0.04</v>
      </c>
      <c r="S796" s="18" t="n">
        <f aca="false">ABS(K796)+MAX(ABS(N796),ABS(O796))+MAX(ABS(P796),ABS(Q796))</f>
        <v>0.04</v>
      </c>
      <c r="T796" s="18" t="n">
        <f aca="false">MAX(ABS(E796),ABS(F796))</f>
        <v>0</v>
      </c>
      <c r="U796" s="18" t="n">
        <f aca="false">MAX(ABS(L796),ABS(M796))</f>
        <v>0</v>
      </c>
    </row>
    <row r="797" customFormat="false" ht="15" hidden="false" customHeight="false" outlineLevel="0" collapsed="false">
      <c r="A797" s="4" t="n">
        <v>383</v>
      </c>
      <c r="B797" s="4" t="n">
        <v>162</v>
      </c>
      <c r="C797" s="18" t="n">
        <v>0.5</v>
      </c>
      <c r="D797" s="21" t="n">
        <v>-0.04</v>
      </c>
      <c r="E797" s="21" t="n">
        <v>0</v>
      </c>
      <c r="F797" s="21" t="n">
        <v>0</v>
      </c>
      <c r="G797" s="21" t="n">
        <v>0</v>
      </c>
      <c r="H797" s="21" t="n">
        <v>0</v>
      </c>
      <c r="I797" s="21" t="n">
        <v>0.01</v>
      </c>
      <c r="J797" s="21" t="n">
        <v>0</v>
      </c>
      <c r="K797" s="21" t="n">
        <v>-0.04</v>
      </c>
      <c r="L797" s="21" t="n">
        <v>0</v>
      </c>
      <c r="M797" s="21" t="n">
        <v>0</v>
      </c>
      <c r="N797" s="21" t="n">
        <v>0</v>
      </c>
      <c r="O797" s="21" t="n">
        <v>0</v>
      </c>
      <c r="P797" s="21" t="n">
        <v>0.01</v>
      </c>
      <c r="Q797" s="21" t="n">
        <v>0</v>
      </c>
      <c r="R797" s="18" t="n">
        <f aca="false">ABS(D797)+MAX(ABS(G797),ABS(H797))+MAX(ABS(I797),ABS(J797))</f>
        <v>0.05</v>
      </c>
      <c r="S797" s="18" t="n">
        <f aca="false">ABS(K797)+MAX(ABS(N797),ABS(O797))+MAX(ABS(P797),ABS(Q797))</f>
        <v>0.05</v>
      </c>
      <c r="T797" s="18" t="n">
        <f aca="false">MAX(ABS(E797),ABS(F797))</f>
        <v>0</v>
      </c>
      <c r="U797" s="18" t="n">
        <f aca="false">MAX(ABS(L797),ABS(M797))</f>
        <v>0</v>
      </c>
    </row>
    <row r="798" customFormat="false" ht="15" hidden="false" customHeight="false" outlineLevel="0" collapsed="false">
      <c r="A798" s="4" t="n">
        <v>383</v>
      </c>
      <c r="B798" s="4" t="n">
        <v>162</v>
      </c>
      <c r="C798" s="18" t="n">
        <v>0.75</v>
      </c>
      <c r="D798" s="21" t="n">
        <v>-0.04</v>
      </c>
      <c r="E798" s="21" t="n">
        <v>0</v>
      </c>
      <c r="F798" s="21" t="n">
        <v>0</v>
      </c>
      <c r="G798" s="21" t="n">
        <v>0</v>
      </c>
      <c r="H798" s="21" t="n">
        <v>0</v>
      </c>
      <c r="I798" s="21" t="n">
        <v>0.01</v>
      </c>
      <c r="J798" s="21" t="n">
        <v>-0.01</v>
      </c>
      <c r="K798" s="21" t="n">
        <v>-0.04</v>
      </c>
      <c r="L798" s="21" t="n">
        <v>0</v>
      </c>
      <c r="M798" s="21" t="n">
        <v>0</v>
      </c>
      <c r="N798" s="21" t="n">
        <v>0</v>
      </c>
      <c r="O798" s="21" t="n">
        <v>0</v>
      </c>
      <c r="P798" s="21" t="n">
        <v>0.02</v>
      </c>
      <c r="Q798" s="21" t="n">
        <v>-0.01</v>
      </c>
      <c r="R798" s="18" t="n">
        <f aca="false">ABS(D798)+MAX(ABS(G798),ABS(H798))+MAX(ABS(I798),ABS(J798))</f>
        <v>0.05</v>
      </c>
      <c r="S798" s="18" t="n">
        <f aca="false">ABS(K798)+MAX(ABS(N798),ABS(O798))+MAX(ABS(P798),ABS(Q798))</f>
        <v>0.06</v>
      </c>
      <c r="T798" s="18" t="n">
        <f aca="false">MAX(ABS(E798),ABS(F798))</f>
        <v>0</v>
      </c>
      <c r="U798" s="18" t="n">
        <f aca="false">MAX(ABS(L798),ABS(M798))</f>
        <v>0</v>
      </c>
    </row>
    <row r="799" customFormat="false" ht="15" hidden="false" customHeight="false" outlineLevel="0" collapsed="false">
      <c r="A799" s="4" t="n">
        <v>383</v>
      </c>
      <c r="B799" s="4" t="n">
        <v>162</v>
      </c>
      <c r="C799" s="18" t="n">
        <v>1</v>
      </c>
      <c r="D799" s="21" t="n">
        <v>-0.04</v>
      </c>
      <c r="E799" s="21" t="n">
        <v>0</v>
      </c>
      <c r="F799" s="21" t="n">
        <v>0</v>
      </c>
      <c r="G799" s="21" t="n">
        <v>0</v>
      </c>
      <c r="H799" s="21" t="n">
        <v>0</v>
      </c>
      <c r="I799" s="21" t="n">
        <v>0.02</v>
      </c>
      <c r="J799" s="21" t="n">
        <v>-0.01</v>
      </c>
      <c r="K799" s="21" t="n">
        <v>-0.04</v>
      </c>
      <c r="L799" s="21" t="n">
        <v>0</v>
      </c>
      <c r="M799" s="21" t="n">
        <v>0</v>
      </c>
      <c r="N799" s="21" t="n">
        <v>0</v>
      </c>
      <c r="O799" s="21" t="n">
        <v>0</v>
      </c>
      <c r="P799" s="21" t="n">
        <v>0.03</v>
      </c>
      <c r="Q799" s="21" t="n">
        <v>-0.01</v>
      </c>
      <c r="R799" s="18" t="n">
        <f aca="false">ABS(D799)+MAX(ABS(G799),ABS(H799))+MAX(ABS(I799),ABS(J799))</f>
        <v>0.06</v>
      </c>
      <c r="S799" s="18" t="n">
        <f aca="false">ABS(K799)+MAX(ABS(N799),ABS(O799))+MAX(ABS(P799),ABS(Q799))</f>
        <v>0.07</v>
      </c>
      <c r="T799" s="18" t="n">
        <f aca="false">MAX(ABS(E799),ABS(F799))</f>
        <v>0</v>
      </c>
      <c r="U799" s="18" t="n">
        <f aca="false">MAX(ABS(L799),ABS(M799))</f>
        <v>0</v>
      </c>
    </row>
    <row r="800" customFormat="false" ht="15" hidden="false" customHeight="false" outlineLevel="0" collapsed="false">
      <c r="A800" s="4" t="n">
        <v>384</v>
      </c>
      <c r="B800" s="4" t="n">
        <v>163</v>
      </c>
      <c r="C800" s="18" t="n">
        <v>0</v>
      </c>
      <c r="D800" s="21" t="n">
        <v>0.04</v>
      </c>
      <c r="E800" s="21" t="n">
        <v>0</v>
      </c>
      <c r="F800" s="21" t="n">
        <v>0</v>
      </c>
      <c r="G800" s="21" t="n">
        <v>0</v>
      </c>
      <c r="H800" s="21" t="n">
        <v>0</v>
      </c>
      <c r="I800" s="21" t="n">
        <v>-0.04</v>
      </c>
      <c r="J800" s="21" t="n">
        <v>0.02</v>
      </c>
      <c r="K800" s="21" t="n">
        <v>0.04</v>
      </c>
      <c r="L800" s="21" t="n">
        <v>0</v>
      </c>
      <c r="M800" s="21" t="n">
        <v>0</v>
      </c>
      <c r="N800" s="21" t="n">
        <v>0</v>
      </c>
      <c r="O800" s="21" t="n">
        <v>0</v>
      </c>
      <c r="P800" s="21" t="n">
        <v>-0.03</v>
      </c>
      <c r="Q800" s="21" t="n">
        <v>0.02</v>
      </c>
      <c r="R800" s="18" t="n">
        <f aca="false">ABS(D800)+MAX(ABS(G800),ABS(H800))+MAX(ABS(I800),ABS(J800))</f>
        <v>0.08</v>
      </c>
      <c r="S800" s="18" t="n">
        <f aca="false">ABS(K800)+MAX(ABS(N800),ABS(O800))+MAX(ABS(P800),ABS(Q800))</f>
        <v>0.07</v>
      </c>
      <c r="T800" s="18" t="n">
        <f aca="false">MAX(ABS(E800),ABS(F800))</f>
        <v>0</v>
      </c>
      <c r="U800" s="18" t="n">
        <f aca="false">MAX(ABS(L800),ABS(M800))</f>
        <v>0</v>
      </c>
    </row>
    <row r="801" customFormat="false" ht="15" hidden="false" customHeight="false" outlineLevel="0" collapsed="false">
      <c r="A801" s="4" t="n">
        <v>384</v>
      </c>
      <c r="B801" s="4" t="n">
        <v>163</v>
      </c>
      <c r="C801" s="18" t="n">
        <v>0.25</v>
      </c>
      <c r="D801" s="21" t="n">
        <v>0.04</v>
      </c>
      <c r="E801" s="21" t="n">
        <v>0</v>
      </c>
      <c r="F801" s="21" t="n">
        <v>0</v>
      </c>
      <c r="G801" s="21" t="n">
        <v>0</v>
      </c>
      <c r="H801" s="21" t="n">
        <v>0</v>
      </c>
      <c r="I801" s="21" t="n">
        <v>-0.02</v>
      </c>
      <c r="J801" s="21" t="n">
        <v>0.01</v>
      </c>
      <c r="K801" s="21" t="n">
        <v>0.04</v>
      </c>
      <c r="L801" s="21" t="n">
        <v>0</v>
      </c>
      <c r="M801" s="21" t="n">
        <v>0</v>
      </c>
      <c r="N801" s="21" t="n">
        <v>0</v>
      </c>
      <c r="O801" s="21" t="n">
        <v>0</v>
      </c>
      <c r="P801" s="21" t="n">
        <v>-0.02</v>
      </c>
      <c r="Q801" s="21" t="n">
        <v>0.01</v>
      </c>
      <c r="R801" s="18" t="n">
        <f aca="false">ABS(D801)+MAX(ABS(G801),ABS(H801))+MAX(ABS(I801),ABS(J801))</f>
        <v>0.06</v>
      </c>
      <c r="S801" s="18" t="n">
        <f aca="false">ABS(K801)+MAX(ABS(N801),ABS(O801))+MAX(ABS(P801),ABS(Q801))</f>
        <v>0.06</v>
      </c>
      <c r="T801" s="18" t="n">
        <f aca="false">MAX(ABS(E801),ABS(F801))</f>
        <v>0</v>
      </c>
      <c r="U801" s="18" t="n">
        <f aca="false">MAX(ABS(L801),ABS(M801))</f>
        <v>0</v>
      </c>
    </row>
    <row r="802" customFormat="false" ht="15" hidden="false" customHeight="false" outlineLevel="0" collapsed="false">
      <c r="A802" s="4" t="n">
        <v>384</v>
      </c>
      <c r="B802" s="4" t="n">
        <v>163</v>
      </c>
      <c r="C802" s="18" t="n">
        <v>0.5</v>
      </c>
      <c r="D802" s="21" t="n">
        <v>0.04</v>
      </c>
      <c r="E802" s="21" t="n">
        <v>0</v>
      </c>
      <c r="F802" s="21" t="n">
        <v>0</v>
      </c>
      <c r="G802" s="21" t="n">
        <v>0</v>
      </c>
      <c r="H802" s="21" t="n">
        <v>0</v>
      </c>
      <c r="I802" s="21" t="n">
        <v>0</v>
      </c>
      <c r="J802" s="21" t="n">
        <v>0</v>
      </c>
      <c r="K802" s="21" t="n">
        <v>0.04</v>
      </c>
      <c r="L802" s="21" t="n">
        <v>0</v>
      </c>
      <c r="M802" s="21" t="n">
        <v>0</v>
      </c>
      <c r="N802" s="21" t="n">
        <v>0</v>
      </c>
      <c r="O802" s="21" t="n">
        <v>0</v>
      </c>
      <c r="P802" s="21" t="n">
        <v>0</v>
      </c>
      <c r="Q802" s="21" t="n">
        <v>0</v>
      </c>
      <c r="R802" s="18" t="n">
        <f aca="false">ABS(D802)+MAX(ABS(G802),ABS(H802))+MAX(ABS(I802),ABS(J802))</f>
        <v>0.04</v>
      </c>
      <c r="S802" s="18" t="n">
        <f aca="false">ABS(K802)+MAX(ABS(N802),ABS(O802))+MAX(ABS(P802),ABS(Q802))</f>
        <v>0.04</v>
      </c>
      <c r="T802" s="18" t="n">
        <f aca="false">MAX(ABS(E802),ABS(F802))</f>
        <v>0</v>
      </c>
      <c r="U802" s="18" t="n">
        <f aca="false">MAX(ABS(L802),ABS(M802))</f>
        <v>0</v>
      </c>
    </row>
    <row r="803" customFormat="false" ht="15" hidden="false" customHeight="false" outlineLevel="0" collapsed="false">
      <c r="A803" s="4" t="n">
        <v>384</v>
      </c>
      <c r="B803" s="4" t="n">
        <v>163</v>
      </c>
      <c r="C803" s="18" t="n">
        <v>0.75</v>
      </c>
      <c r="D803" s="21" t="n">
        <v>0.04</v>
      </c>
      <c r="E803" s="21" t="n">
        <v>0</v>
      </c>
      <c r="F803" s="21" t="n">
        <v>0</v>
      </c>
      <c r="G803" s="21" t="n">
        <v>0</v>
      </c>
      <c r="H803" s="21" t="n">
        <v>0</v>
      </c>
      <c r="I803" s="21" t="n">
        <v>0.02</v>
      </c>
      <c r="J803" s="21" t="n">
        <v>-0.01</v>
      </c>
      <c r="K803" s="21" t="n">
        <v>0.04</v>
      </c>
      <c r="L803" s="21" t="n">
        <v>0</v>
      </c>
      <c r="M803" s="21" t="n">
        <v>0</v>
      </c>
      <c r="N803" s="21" t="n">
        <v>0</v>
      </c>
      <c r="O803" s="21" t="n">
        <v>0</v>
      </c>
      <c r="P803" s="21" t="n">
        <v>0.02</v>
      </c>
      <c r="Q803" s="21" t="n">
        <v>-0.01</v>
      </c>
      <c r="R803" s="18" t="n">
        <f aca="false">ABS(D803)+MAX(ABS(G803),ABS(H803))+MAX(ABS(I803),ABS(J803))</f>
        <v>0.06</v>
      </c>
      <c r="S803" s="18" t="n">
        <f aca="false">ABS(K803)+MAX(ABS(N803),ABS(O803))+MAX(ABS(P803),ABS(Q803))</f>
        <v>0.06</v>
      </c>
      <c r="T803" s="18" t="n">
        <f aca="false">MAX(ABS(E803),ABS(F803))</f>
        <v>0</v>
      </c>
      <c r="U803" s="18" t="n">
        <f aca="false">MAX(ABS(L803),ABS(M803))</f>
        <v>0</v>
      </c>
    </row>
    <row r="804" customFormat="false" ht="15" hidden="false" customHeight="false" outlineLevel="0" collapsed="false">
      <c r="A804" s="4" t="n">
        <v>384</v>
      </c>
      <c r="B804" s="4" t="n">
        <v>163</v>
      </c>
      <c r="C804" s="18" t="n">
        <v>1</v>
      </c>
      <c r="D804" s="21" t="n">
        <v>0.04</v>
      </c>
      <c r="E804" s="21" t="n">
        <v>0</v>
      </c>
      <c r="F804" s="21" t="n">
        <v>0</v>
      </c>
      <c r="G804" s="21" t="n">
        <v>-0.01</v>
      </c>
      <c r="H804" s="21" t="n">
        <v>0.01</v>
      </c>
      <c r="I804" s="21" t="n">
        <v>0.04</v>
      </c>
      <c r="J804" s="21" t="n">
        <v>-0.02</v>
      </c>
      <c r="K804" s="21" t="n">
        <v>0.04</v>
      </c>
      <c r="L804" s="21" t="n">
        <v>0</v>
      </c>
      <c r="M804" s="21" t="n">
        <v>0</v>
      </c>
      <c r="N804" s="21" t="n">
        <v>-0.01</v>
      </c>
      <c r="O804" s="21" t="n">
        <v>0.01</v>
      </c>
      <c r="P804" s="21" t="n">
        <v>0.04</v>
      </c>
      <c r="Q804" s="21" t="n">
        <v>-0.02</v>
      </c>
      <c r="R804" s="18" t="n">
        <f aca="false">ABS(D804)+MAX(ABS(G804),ABS(H804))+MAX(ABS(I804),ABS(J804))</f>
        <v>0.09</v>
      </c>
      <c r="S804" s="18" t="n">
        <f aca="false">ABS(K804)+MAX(ABS(N804),ABS(O804))+MAX(ABS(P804),ABS(Q804))</f>
        <v>0.09</v>
      </c>
      <c r="T804" s="18" t="n">
        <f aca="false">MAX(ABS(E804),ABS(F804))</f>
        <v>0</v>
      </c>
      <c r="U804" s="18" t="n">
        <f aca="false">MAX(ABS(L804),ABS(M804))</f>
        <v>0</v>
      </c>
    </row>
    <row r="805" customFormat="false" ht="15" hidden="false" customHeight="false" outlineLevel="0" collapsed="false">
      <c r="A805" s="4" t="n">
        <v>385</v>
      </c>
      <c r="B805" s="4" t="n">
        <v>164</v>
      </c>
      <c r="C805" s="18" t="n">
        <v>0</v>
      </c>
      <c r="D805" s="21" t="n">
        <v>-0.03</v>
      </c>
      <c r="E805" s="21" t="n">
        <v>0</v>
      </c>
      <c r="F805" s="21" t="n">
        <v>0</v>
      </c>
      <c r="G805" s="21" t="n">
        <v>0</v>
      </c>
      <c r="H805" s="21" t="n">
        <v>0</v>
      </c>
      <c r="I805" s="21" t="n">
        <v>-0.01</v>
      </c>
      <c r="J805" s="21" t="n">
        <v>0</v>
      </c>
      <c r="K805" s="21" t="n">
        <v>-0.03</v>
      </c>
      <c r="L805" s="21" t="n">
        <v>0</v>
      </c>
      <c r="M805" s="21" t="n">
        <v>0</v>
      </c>
      <c r="N805" s="21" t="n">
        <v>0</v>
      </c>
      <c r="O805" s="21" t="n">
        <v>0</v>
      </c>
      <c r="P805" s="21" t="n">
        <v>-0.01</v>
      </c>
      <c r="Q805" s="21" t="n">
        <v>0.01</v>
      </c>
      <c r="R805" s="18" t="n">
        <f aca="false">ABS(D805)+MAX(ABS(G805),ABS(H805))+MAX(ABS(I805),ABS(J805))</f>
        <v>0.04</v>
      </c>
      <c r="S805" s="18" t="n">
        <f aca="false">ABS(K805)+MAX(ABS(N805),ABS(O805))+MAX(ABS(P805),ABS(Q805))</f>
        <v>0.04</v>
      </c>
      <c r="T805" s="18" t="n">
        <f aca="false">MAX(ABS(E805),ABS(F805))</f>
        <v>0</v>
      </c>
      <c r="U805" s="18" t="n">
        <f aca="false">MAX(ABS(L805),ABS(M805))</f>
        <v>0</v>
      </c>
    </row>
    <row r="806" customFormat="false" ht="15" hidden="false" customHeight="false" outlineLevel="0" collapsed="false">
      <c r="A806" s="4" t="n">
        <v>385</v>
      </c>
      <c r="B806" s="4" t="n">
        <v>164</v>
      </c>
      <c r="C806" s="18" t="n">
        <v>0.25</v>
      </c>
      <c r="D806" s="21" t="n">
        <v>-0.03</v>
      </c>
      <c r="E806" s="21" t="n">
        <v>0</v>
      </c>
      <c r="F806" s="21" t="n">
        <v>0</v>
      </c>
      <c r="G806" s="21" t="n">
        <v>0</v>
      </c>
      <c r="H806" s="21" t="n">
        <v>0</v>
      </c>
      <c r="I806" s="21" t="n">
        <v>0</v>
      </c>
      <c r="J806" s="21" t="n">
        <v>0</v>
      </c>
      <c r="K806" s="21" t="n">
        <v>-0.03</v>
      </c>
      <c r="L806" s="21" t="n">
        <v>0</v>
      </c>
      <c r="M806" s="21" t="n">
        <v>0</v>
      </c>
      <c r="N806" s="21" t="n">
        <v>0</v>
      </c>
      <c r="O806" s="21" t="n">
        <v>0</v>
      </c>
      <c r="P806" s="21" t="n">
        <v>0</v>
      </c>
      <c r="Q806" s="21" t="n">
        <v>0</v>
      </c>
      <c r="R806" s="18" t="n">
        <f aca="false">ABS(D806)+MAX(ABS(G806),ABS(H806))+MAX(ABS(I806),ABS(J806))</f>
        <v>0.03</v>
      </c>
      <c r="S806" s="18" t="n">
        <f aca="false">ABS(K806)+MAX(ABS(N806),ABS(O806))+MAX(ABS(P806),ABS(Q806))</f>
        <v>0.03</v>
      </c>
      <c r="T806" s="18" t="n">
        <f aca="false">MAX(ABS(E806),ABS(F806))</f>
        <v>0</v>
      </c>
      <c r="U806" s="18" t="n">
        <f aca="false">MAX(ABS(L806),ABS(M806))</f>
        <v>0</v>
      </c>
    </row>
    <row r="807" customFormat="false" ht="15" hidden="false" customHeight="false" outlineLevel="0" collapsed="false">
      <c r="A807" s="4" t="n">
        <v>385</v>
      </c>
      <c r="B807" s="4" t="n">
        <v>164</v>
      </c>
      <c r="C807" s="18" t="n">
        <v>0.5</v>
      </c>
      <c r="D807" s="21" t="n">
        <v>-0.03</v>
      </c>
      <c r="E807" s="21" t="n">
        <v>0</v>
      </c>
      <c r="F807" s="21" t="n">
        <v>0</v>
      </c>
      <c r="G807" s="21" t="n">
        <v>0</v>
      </c>
      <c r="H807" s="21" t="n">
        <v>0</v>
      </c>
      <c r="I807" s="21" t="n">
        <v>0.01</v>
      </c>
      <c r="J807" s="21" t="n">
        <v>0</v>
      </c>
      <c r="K807" s="21" t="n">
        <v>-0.03</v>
      </c>
      <c r="L807" s="21" t="n">
        <v>0</v>
      </c>
      <c r="M807" s="21" t="n">
        <v>0</v>
      </c>
      <c r="N807" s="21" t="n">
        <v>0</v>
      </c>
      <c r="O807" s="21" t="n">
        <v>0</v>
      </c>
      <c r="P807" s="21" t="n">
        <v>0.01</v>
      </c>
      <c r="Q807" s="21" t="n">
        <v>0</v>
      </c>
      <c r="R807" s="18" t="n">
        <f aca="false">ABS(D807)+MAX(ABS(G807),ABS(H807))+MAX(ABS(I807),ABS(J807))</f>
        <v>0.04</v>
      </c>
      <c r="S807" s="18" t="n">
        <f aca="false">ABS(K807)+MAX(ABS(N807),ABS(O807))+MAX(ABS(P807),ABS(Q807))</f>
        <v>0.04</v>
      </c>
      <c r="T807" s="18" t="n">
        <f aca="false">MAX(ABS(E807),ABS(F807))</f>
        <v>0</v>
      </c>
      <c r="U807" s="18" t="n">
        <f aca="false">MAX(ABS(L807),ABS(M807))</f>
        <v>0</v>
      </c>
    </row>
    <row r="808" customFormat="false" ht="15" hidden="false" customHeight="false" outlineLevel="0" collapsed="false">
      <c r="A808" s="4" t="n">
        <v>385</v>
      </c>
      <c r="B808" s="4" t="n">
        <v>164</v>
      </c>
      <c r="C808" s="18" t="n">
        <v>0.75</v>
      </c>
      <c r="D808" s="21" t="n">
        <v>-0.03</v>
      </c>
      <c r="E808" s="21" t="n">
        <v>0</v>
      </c>
      <c r="F808" s="21" t="n">
        <v>0</v>
      </c>
      <c r="G808" s="21" t="n">
        <v>0</v>
      </c>
      <c r="H808" s="21" t="n">
        <v>0</v>
      </c>
      <c r="I808" s="21" t="n">
        <v>0.01</v>
      </c>
      <c r="J808" s="21" t="n">
        <v>-0.01</v>
      </c>
      <c r="K808" s="21" t="n">
        <v>-0.03</v>
      </c>
      <c r="L808" s="21" t="n">
        <v>0</v>
      </c>
      <c r="M808" s="21" t="n">
        <v>0</v>
      </c>
      <c r="N808" s="21" t="n">
        <v>0</v>
      </c>
      <c r="O808" s="21" t="n">
        <v>0</v>
      </c>
      <c r="P808" s="21" t="n">
        <v>0.02</v>
      </c>
      <c r="Q808" s="21" t="n">
        <v>-0.01</v>
      </c>
      <c r="R808" s="18" t="n">
        <f aca="false">ABS(D808)+MAX(ABS(G808),ABS(H808))+MAX(ABS(I808),ABS(J808))</f>
        <v>0.04</v>
      </c>
      <c r="S808" s="18" t="n">
        <f aca="false">ABS(K808)+MAX(ABS(N808),ABS(O808))+MAX(ABS(P808),ABS(Q808))</f>
        <v>0.05</v>
      </c>
      <c r="T808" s="18" t="n">
        <f aca="false">MAX(ABS(E808),ABS(F808))</f>
        <v>0</v>
      </c>
      <c r="U808" s="18" t="n">
        <f aca="false">MAX(ABS(L808),ABS(M808))</f>
        <v>0</v>
      </c>
    </row>
    <row r="809" customFormat="false" ht="15" hidden="false" customHeight="false" outlineLevel="0" collapsed="false">
      <c r="A809" s="4" t="n">
        <v>385</v>
      </c>
      <c r="B809" s="4" t="n">
        <v>164</v>
      </c>
      <c r="C809" s="18" t="n">
        <v>1</v>
      </c>
      <c r="D809" s="21" t="n">
        <v>-0.03</v>
      </c>
      <c r="E809" s="21" t="n">
        <v>0</v>
      </c>
      <c r="F809" s="21" t="n">
        <v>0</v>
      </c>
      <c r="G809" s="21" t="n">
        <v>0</v>
      </c>
      <c r="H809" s="21" t="n">
        <v>0</v>
      </c>
      <c r="I809" s="21" t="n">
        <v>0.02</v>
      </c>
      <c r="J809" s="21" t="n">
        <v>-0.01</v>
      </c>
      <c r="K809" s="21" t="n">
        <v>-0.03</v>
      </c>
      <c r="L809" s="21" t="n">
        <v>0</v>
      </c>
      <c r="M809" s="21" t="n">
        <v>0</v>
      </c>
      <c r="N809" s="21" t="n">
        <v>0</v>
      </c>
      <c r="O809" s="21" t="n">
        <v>0</v>
      </c>
      <c r="P809" s="21" t="n">
        <v>0.03</v>
      </c>
      <c r="Q809" s="21" t="n">
        <v>-0.01</v>
      </c>
      <c r="R809" s="18" t="n">
        <f aca="false">ABS(D809)+MAX(ABS(G809),ABS(H809))+MAX(ABS(I809),ABS(J809))</f>
        <v>0.05</v>
      </c>
      <c r="S809" s="18" t="n">
        <f aca="false">ABS(K809)+MAX(ABS(N809),ABS(O809))+MAX(ABS(P809),ABS(Q809))</f>
        <v>0.06</v>
      </c>
      <c r="T809" s="18" t="n">
        <f aca="false">MAX(ABS(E809),ABS(F809))</f>
        <v>0</v>
      </c>
      <c r="U809" s="18" t="n">
        <f aca="false">MAX(ABS(L809),ABS(M809))</f>
        <v>0</v>
      </c>
    </row>
    <row r="810" customFormat="false" ht="15" hidden="false" customHeight="false" outlineLevel="0" collapsed="false">
      <c r="A810" s="4" t="n">
        <v>386</v>
      </c>
      <c r="B810" s="4" t="n">
        <v>173</v>
      </c>
      <c r="C810" s="18" t="n">
        <v>0</v>
      </c>
      <c r="D810" s="21" t="n">
        <v>0</v>
      </c>
      <c r="E810" s="21" t="n">
        <v>0</v>
      </c>
      <c r="F810" s="21" t="n">
        <v>0.01</v>
      </c>
      <c r="G810" s="21" t="n">
        <v>0</v>
      </c>
      <c r="H810" s="21" t="n">
        <v>0</v>
      </c>
      <c r="I810" s="21" t="n">
        <v>-0.12</v>
      </c>
      <c r="J810" s="21" t="n">
        <v>0.12</v>
      </c>
      <c r="K810" s="21" t="n">
        <v>0</v>
      </c>
      <c r="L810" s="21" t="n">
        <v>0</v>
      </c>
      <c r="M810" s="21" t="n">
        <v>0.01</v>
      </c>
      <c r="N810" s="21" t="n">
        <v>0</v>
      </c>
      <c r="O810" s="21" t="n">
        <v>0</v>
      </c>
      <c r="P810" s="21" t="n">
        <v>-0.12</v>
      </c>
      <c r="Q810" s="21" t="n">
        <v>0.12</v>
      </c>
      <c r="R810" s="18" t="n">
        <f aca="false">ABS(D810)+MAX(ABS(G810),ABS(H810))+MAX(ABS(I810),ABS(J810))</f>
        <v>0.12</v>
      </c>
      <c r="S810" s="18" t="n">
        <f aca="false">ABS(K810)+MAX(ABS(N810),ABS(O810))+MAX(ABS(P810),ABS(Q810))</f>
        <v>0.12</v>
      </c>
      <c r="T810" s="18" t="n">
        <f aca="false">MAX(ABS(E810),ABS(F810))</f>
        <v>0.01</v>
      </c>
      <c r="U810" s="18" t="n">
        <f aca="false">MAX(ABS(L810),ABS(M810))</f>
        <v>0.01</v>
      </c>
    </row>
    <row r="811" customFormat="false" ht="15" hidden="false" customHeight="false" outlineLevel="0" collapsed="false">
      <c r="A811" s="4" t="n">
        <v>386</v>
      </c>
      <c r="B811" s="4" t="n">
        <v>173</v>
      </c>
      <c r="C811" s="18" t="n">
        <v>0.25</v>
      </c>
      <c r="D811" s="21" t="n">
        <v>0</v>
      </c>
      <c r="E811" s="21" t="n">
        <v>0</v>
      </c>
      <c r="F811" s="21" t="n">
        <v>0.01</v>
      </c>
      <c r="G811" s="21" t="n">
        <v>0</v>
      </c>
      <c r="H811" s="21" t="n">
        <v>0</v>
      </c>
      <c r="I811" s="21" t="n">
        <v>-0.06</v>
      </c>
      <c r="J811" s="21" t="n">
        <v>0.06</v>
      </c>
      <c r="K811" s="21" t="n">
        <v>0</v>
      </c>
      <c r="L811" s="21" t="n">
        <v>0</v>
      </c>
      <c r="M811" s="21" t="n">
        <v>0.01</v>
      </c>
      <c r="N811" s="21" t="n">
        <v>0</v>
      </c>
      <c r="O811" s="21" t="n">
        <v>0</v>
      </c>
      <c r="P811" s="21" t="n">
        <v>-0.06</v>
      </c>
      <c r="Q811" s="21" t="n">
        <v>0.06</v>
      </c>
      <c r="R811" s="18" t="n">
        <f aca="false">ABS(D811)+MAX(ABS(G811),ABS(H811))+MAX(ABS(I811),ABS(J811))</f>
        <v>0.06</v>
      </c>
      <c r="S811" s="18" t="n">
        <f aca="false">ABS(K811)+MAX(ABS(N811),ABS(O811))+MAX(ABS(P811),ABS(Q811))</f>
        <v>0.06</v>
      </c>
      <c r="T811" s="18" t="n">
        <f aca="false">MAX(ABS(E811),ABS(F811))</f>
        <v>0.01</v>
      </c>
      <c r="U811" s="18" t="n">
        <f aca="false">MAX(ABS(L811),ABS(M811))</f>
        <v>0.01</v>
      </c>
    </row>
    <row r="812" customFormat="false" ht="15" hidden="false" customHeight="false" outlineLevel="0" collapsed="false">
      <c r="A812" s="4" t="n">
        <v>386</v>
      </c>
      <c r="B812" s="4" t="n">
        <v>173</v>
      </c>
      <c r="C812" s="18" t="n">
        <v>0.5</v>
      </c>
      <c r="D812" s="21" t="n">
        <v>0</v>
      </c>
      <c r="E812" s="21" t="n">
        <v>0</v>
      </c>
      <c r="F812" s="21" t="n">
        <v>0.01</v>
      </c>
      <c r="G812" s="21" t="n">
        <v>0</v>
      </c>
      <c r="H812" s="21" t="n">
        <v>0</v>
      </c>
      <c r="I812" s="21" t="n">
        <v>-0.01</v>
      </c>
      <c r="J812" s="21" t="n">
        <v>0.01</v>
      </c>
      <c r="K812" s="21" t="n">
        <v>0</v>
      </c>
      <c r="L812" s="21" t="n">
        <v>0</v>
      </c>
      <c r="M812" s="21" t="n">
        <v>0.01</v>
      </c>
      <c r="N812" s="21" t="n">
        <v>0</v>
      </c>
      <c r="O812" s="21" t="n">
        <v>0</v>
      </c>
      <c r="P812" s="21" t="n">
        <v>-0.01</v>
      </c>
      <c r="Q812" s="21" t="n">
        <v>0.01</v>
      </c>
      <c r="R812" s="18" t="n">
        <f aca="false">ABS(D812)+MAX(ABS(G812),ABS(H812))+MAX(ABS(I812),ABS(J812))</f>
        <v>0.01</v>
      </c>
      <c r="S812" s="18" t="n">
        <f aca="false">ABS(K812)+MAX(ABS(N812),ABS(O812))+MAX(ABS(P812),ABS(Q812))</f>
        <v>0.01</v>
      </c>
      <c r="T812" s="18" t="n">
        <f aca="false">MAX(ABS(E812),ABS(F812))</f>
        <v>0.01</v>
      </c>
      <c r="U812" s="18" t="n">
        <f aca="false">MAX(ABS(L812),ABS(M812))</f>
        <v>0.01</v>
      </c>
    </row>
    <row r="813" customFormat="false" ht="15" hidden="false" customHeight="false" outlineLevel="0" collapsed="false">
      <c r="A813" s="4" t="n">
        <v>386</v>
      </c>
      <c r="B813" s="4" t="n">
        <v>173</v>
      </c>
      <c r="C813" s="18" t="n">
        <v>0.75</v>
      </c>
      <c r="D813" s="21" t="n">
        <v>0</v>
      </c>
      <c r="E813" s="21" t="n">
        <v>0</v>
      </c>
      <c r="F813" s="21" t="n">
        <v>0.01</v>
      </c>
      <c r="G813" s="21" t="n">
        <v>0</v>
      </c>
      <c r="H813" s="21" t="n">
        <v>0</v>
      </c>
      <c r="I813" s="21" t="n">
        <v>0.05</v>
      </c>
      <c r="J813" s="21" t="n">
        <v>-0.05</v>
      </c>
      <c r="K813" s="21" t="n">
        <v>0</v>
      </c>
      <c r="L813" s="21" t="n">
        <v>0</v>
      </c>
      <c r="M813" s="21" t="n">
        <v>0.01</v>
      </c>
      <c r="N813" s="21" t="n">
        <v>0</v>
      </c>
      <c r="O813" s="21" t="n">
        <v>0</v>
      </c>
      <c r="P813" s="21" t="n">
        <v>0.05</v>
      </c>
      <c r="Q813" s="21" t="n">
        <v>-0.05</v>
      </c>
      <c r="R813" s="18" t="n">
        <f aca="false">ABS(D813)+MAX(ABS(G813),ABS(H813))+MAX(ABS(I813),ABS(J813))</f>
        <v>0.05</v>
      </c>
      <c r="S813" s="18" t="n">
        <f aca="false">ABS(K813)+MAX(ABS(N813),ABS(O813))+MAX(ABS(P813),ABS(Q813))</f>
        <v>0.05</v>
      </c>
      <c r="T813" s="18" t="n">
        <f aca="false">MAX(ABS(E813),ABS(F813))</f>
        <v>0.01</v>
      </c>
      <c r="U813" s="18" t="n">
        <f aca="false">MAX(ABS(L813),ABS(M813))</f>
        <v>0.01</v>
      </c>
    </row>
    <row r="814" customFormat="false" ht="15" hidden="false" customHeight="false" outlineLevel="0" collapsed="false">
      <c r="A814" s="4" t="n">
        <v>386</v>
      </c>
      <c r="B814" s="4" t="n">
        <v>173</v>
      </c>
      <c r="C814" s="18" t="n">
        <v>1</v>
      </c>
      <c r="D814" s="21" t="n">
        <v>0</v>
      </c>
      <c r="E814" s="21" t="n">
        <v>0</v>
      </c>
      <c r="F814" s="21" t="n">
        <v>0.01</v>
      </c>
      <c r="G814" s="21" t="n">
        <v>0</v>
      </c>
      <c r="H814" s="21" t="n">
        <v>0</v>
      </c>
      <c r="I814" s="21" t="n">
        <v>0.1</v>
      </c>
      <c r="J814" s="21" t="n">
        <v>-0.1</v>
      </c>
      <c r="K814" s="21" t="n">
        <v>0</v>
      </c>
      <c r="L814" s="21" t="n">
        <v>0</v>
      </c>
      <c r="M814" s="21" t="n">
        <v>0.01</v>
      </c>
      <c r="N814" s="21" t="n">
        <v>0</v>
      </c>
      <c r="O814" s="21" t="n">
        <v>0</v>
      </c>
      <c r="P814" s="21" t="n">
        <v>0.1</v>
      </c>
      <c r="Q814" s="21" t="n">
        <v>-0.1</v>
      </c>
      <c r="R814" s="18" t="n">
        <f aca="false">ABS(D814)+MAX(ABS(G814),ABS(H814))+MAX(ABS(I814),ABS(J814))</f>
        <v>0.1</v>
      </c>
      <c r="S814" s="18" t="n">
        <f aca="false">ABS(K814)+MAX(ABS(N814),ABS(O814))+MAX(ABS(P814),ABS(Q814))</f>
        <v>0.1</v>
      </c>
      <c r="T814" s="18" t="n">
        <f aca="false">MAX(ABS(E814),ABS(F814))</f>
        <v>0.01</v>
      </c>
      <c r="U814" s="18" t="n">
        <f aca="false">MAX(ABS(L814),ABS(M814))</f>
        <v>0.01</v>
      </c>
    </row>
    <row r="815" customFormat="false" ht="15" hidden="false" customHeight="false" outlineLevel="0" collapsed="false">
      <c r="A815" s="4" t="n">
        <v>387</v>
      </c>
      <c r="B815" s="4" t="n">
        <v>174</v>
      </c>
      <c r="C815" s="18" t="n">
        <v>0</v>
      </c>
      <c r="D815" s="21" t="n">
        <v>-0.01</v>
      </c>
      <c r="E815" s="21" t="n">
        <v>0</v>
      </c>
      <c r="F815" s="21" t="n">
        <v>0</v>
      </c>
      <c r="G815" s="21" t="n">
        <v>0</v>
      </c>
      <c r="H815" s="21" t="n">
        <v>0</v>
      </c>
      <c r="I815" s="21" t="n">
        <v>-0.09</v>
      </c>
      <c r="J815" s="21" t="n">
        <v>0.09</v>
      </c>
      <c r="K815" s="21" t="n">
        <v>-0.01</v>
      </c>
      <c r="L815" s="21" t="n">
        <v>0</v>
      </c>
      <c r="M815" s="21" t="n">
        <v>0</v>
      </c>
      <c r="N815" s="21" t="n">
        <v>0</v>
      </c>
      <c r="O815" s="21" t="n">
        <v>0</v>
      </c>
      <c r="P815" s="21" t="n">
        <v>-0.09</v>
      </c>
      <c r="Q815" s="21" t="n">
        <v>0.09</v>
      </c>
      <c r="R815" s="18" t="n">
        <f aca="false">ABS(D815)+MAX(ABS(G815),ABS(H815))+MAX(ABS(I815),ABS(J815))</f>
        <v>0.1</v>
      </c>
      <c r="S815" s="18" t="n">
        <f aca="false">ABS(K815)+MAX(ABS(N815),ABS(O815))+MAX(ABS(P815),ABS(Q815))</f>
        <v>0.1</v>
      </c>
      <c r="T815" s="18" t="n">
        <f aca="false">MAX(ABS(E815),ABS(F815))</f>
        <v>0</v>
      </c>
      <c r="U815" s="18" t="n">
        <f aca="false">MAX(ABS(L815),ABS(M815))</f>
        <v>0</v>
      </c>
    </row>
    <row r="816" customFormat="false" ht="15" hidden="false" customHeight="false" outlineLevel="0" collapsed="false">
      <c r="A816" s="4" t="n">
        <v>387</v>
      </c>
      <c r="B816" s="4" t="n">
        <v>174</v>
      </c>
      <c r="C816" s="18" t="n">
        <v>0.25</v>
      </c>
      <c r="D816" s="21" t="n">
        <v>-0.01</v>
      </c>
      <c r="E816" s="21" t="n">
        <v>0</v>
      </c>
      <c r="F816" s="21" t="n">
        <v>0</v>
      </c>
      <c r="G816" s="21" t="n">
        <v>0</v>
      </c>
      <c r="H816" s="21" t="n">
        <v>0</v>
      </c>
      <c r="I816" s="21" t="n">
        <v>-0.05</v>
      </c>
      <c r="J816" s="21" t="n">
        <v>0.05</v>
      </c>
      <c r="K816" s="21" t="n">
        <v>-0.01</v>
      </c>
      <c r="L816" s="21" t="n">
        <v>0</v>
      </c>
      <c r="M816" s="21" t="n">
        <v>0</v>
      </c>
      <c r="N816" s="21" t="n">
        <v>0</v>
      </c>
      <c r="O816" s="21" t="n">
        <v>0</v>
      </c>
      <c r="P816" s="21" t="n">
        <v>-0.05</v>
      </c>
      <c r="Q816" s="21" t="n">
        <v>0.05</v>
      </c>
      <c r="R816" s="18" t="n">
        <f aca="false">ABS(D816)+MAX(ABS(G816),ABS(H816))+MAX(ABS(I816),ABS(J816))</f>
        <v>0.06</v>
      </c>
      <c r="S816" s="18" t="n">
        <f aca="false">ABS(K816)+MAX(ABS(N816),ABS(O816))+MAX(ABS(P816),ABS(Q816))</f>
        <v>0.06</v>
      </c>
      <c r="T816" s="18" t="n">
        <f aca="false">MAX(ABS(E816),ABS(F816))</f>
        <v>0</v>
      </c>
      <c r="U816" s="18" t="n">
        <f aca="false">MAX(ABS(L816),ABS(M816))</f>
        <v>0</v>
      </c>
    </row>
    <row r="817" customFormat="false" ht="15" hidden="false" customHeight="false" outlineLevel="0" collapsed="false">
      <c r="A817" s="4" t="n">
        <v>387</v>
      </c>
      <c r="B817" s="4" t="n">
        <v>174</v>
      </c>
      <c r="C817" s="18" t="n">
        <v>0.5</v>
      </c>
      <c r="D817" s="21" t="n">
        <v>-0.01</v>
      </c>
      <c r="E817" s="21" t="n">
        <v>0</v>
      </c>
      <c r="F817" s="21" t="n">
        <v>0</v>
      </c>
      <c r="G817" s="21" t="n">
        <v>0</v>
      </c>
      <c r="H817" s="21" t="n">
        <v>0</v>
      </c>
      <c r="I817" s="21" t="n">
        <v>0</v>
      </c>
      <c r="J817" s="21" t="n">
        <v>0</v>
      </c>
      <c r="K817" s="21" t="n">
        <v>-0.01</v>
      </c>
      <c r="L817" s="21" t="n">
        <v>0</v>
      </c>
      <c r="M817" s="21" t="n">
        <v>0</v>
      </c>
      <c r="N817" s="21" t="n">
        <v>0</v>
      </c>
      <c r="O817" s="21" t="n">
        <v>0</v>
      </c>
      <c r="P817" s="21" t="n">
        <v>0</v>
      </c>
      <c r="Q817" s="21" t="n">
        <v>0</v>
      </c>
      <c r="R817" s="18" t="n">
        <f aca="false">ABS(D817)+MAX(ABS(G817),ABS(H817))+MAX(ABS(I817),ABS(J817))</f>
        <v>0.01</v>
      </c>
      <c r="S817" s="18" t="n">
        <f aca="false">ABS(K817)+MAX(ABS(N817),ABS(O817))+MAX(ABS(P817),ABS(Q817))</f>
        <v>0.01</v>
      </c>
      <c r="T817" s="18" t="n">
        <f aca="false">MAX(ABS(E817),ABS(F817))</f>
        <v>0</v>
      </c>
      <c r="U817" s="18" t="n">
        <f aca="false">MAX(ABS(L817),ABS(M817))</f>
        <v>0</v>
      </c>
    </row>
    <row r="818" customFormat="false" ht="15" hidden="false" customHeight="false" outlineLevel="0" collapsed="false">
      <c r="A818" s="4" t="n">
        <v>387</v>
      </c>
      <c r="B818" s="4" t="n">
        <v>174</v>
      </c>
      <c r="C818" s="18" t="n">
        <v>0.75</v>
      </c>
      <c r="D818" s="21" t="n">
        <v>-0.01</v>
      </c>
      <c r="E818" s="21" t="n">
        <v>0</v>
      </c>
      <c r="F818" s="21" t="n">
        <v>0</v>
      </c>
      <c r="G818" s="21" t="n">
        <v>0</v>
      </c>
      <c r="H818" s="21" t="n">
        <v>0</v>
      </c>
      <c r="I818" s="21" t="n">
        <v>0.04</v>
      </c>
      <c r="J818" s="21" t="n">
        <v>-0.04</v>
      </c>
      <c r="K818" s="21" t="n">
        <v>-0.01</v>
      </c>
      <c r="L818" s="21" t="n">
        <v>0</v>
      </c>
      <c r="M818" s="21" t="n">
        <v>0</v>
      </c>
      <c r="N818" s="21" t="n">
        <v>0</v>
      </c>
      <c r="O818" s="21" t="n">
        <v>0</v>
      </c>
      <c r="P818" s="21" t="n">
        <v>0.04</v>
      </c>
      <c r="Q818" s="21" t="n">
        <v>-0.04</v>
      </c>
      <c r="R818" s="18" t="n">
        <f aca="false">ABS(D818)+MAX(ABS(G818),ABS(H818))+MAX(ABS(I818),ABS(J818))</f>
        <v>0.05</v>
      </c>
      <c r="S818" s="18" t="n">
        <f aca="false">ABS(K818)+MAX(ABS(N818),ABS(O818))+MAX(ABS(P818),ABS(Q818))</f>
        <v>0.05</v>
      </c>
      <c r="T818" s="18" t="n">
        <f aca="false">MAX(ABS(E818),ABS(F818))</f>
        <v>0</v>
      </c>
      <c r="U818" s="18" t="n">
        <f aca="false">MAX(ABS(L818),ABS(M818))</f>
        <v>0</v>
      </c>
    </row>
    <row r="819" customFormat="false" ht="15" hidden="false" customHeight="false" outlineLevel="0" collapsed="false">
      <c r="A819" s="4" t="n">
        <v>387</v>
      </c>
      <c r="B819" s="4" t="n">
        <v>174</v>
      </c>
      <c r="C819" s="18" t="n">
        <v>1</v>
      </c>
      <c r="D819" s="21" t="n">
        <v>-0.01</v>
      </c>
      <c r="E819" s="21" t="n">
        <v>0</v>
      </c>
      <c r="F819" s="21" t="n">
        <v>0</v>
      </c>
      <c r="G819" s="21" t="n">
        <v>0</v>
      </c>
      <c r="H819" s="21" t="n">
        <v>0</v>
      </c>
      <c r="I819" s="21" t="n">
        <v>0.09</v>
      </c>
      <c r="J819" s="21" t="n">
        <v>-0.09</v>
      </c>
      <c r="K819" s="21" t="n">
        <v>-0.01</v>
      </c>
      <c r="L819" s="21" t="n">
        <v>0</v>
      </c>
      <c r="M819" s="21" t="n">
        <v>0</v>
      </c>
      <c r="N819" s="21" t="n">
        <v>0</v>
      </c>
      <c r="O819" s="21" t="n">
        <v>0</v>
      </c>
      <c r="P819" s="21" t="n">
        <v>0.09</v>
      </c>
      <c r="Q819" s="21" t="n">
        <v>-0.09</v>
      </c>
      <c r="R819" s="18" t="n">
        <f aca="false">ABS(D819)+MAX(ABS(G819),ABS(H819))+MAX(ABS(I819),ABS(J819))</f>
        <v>0.1</v>
      </c>
      <c r="S819" s="18" t="n">
        <f aca="false">ABS(K819)+MAX(ABS(N819),ABS(O819))+MAX(ABS(P819),ABS(Q819))</f>
        <v>0.1</v>
      </c>
      <c r="T819" s="18" t="n">
        <f aca="false">MAX(ABS(E819),ABS(F819))</f>
        <v>0</v>
      </c>
      <c r="U819" s="18" t="n">
        <f aca="false">MAX(ABS(L819),ABS(M819))</f>
        <v>0</v>
      </c>
    </row>
    <row r="820" customFormat="false" ht="15" hidden="false" customHeight="false" outlineLevel="0" collapsed="false">
      <c r="A820" s="4" t="n">
        <v>388</v>
      </c>
      <c r="B820" s="4" t="n">
        <v>175</v>
      </c>
      <c r="C820" s="18" t="n">
        <v>0</v>
      </c>
      <c r="D820" s="21" t="n">
        <v>-0.01</v>
      </c>
      <c r="E820" s="21" t="n">
        <v>0</v>
      </c>
      <c r="F820" s="21" t="n">
        <v>0</v>
      </c>
      <c r="G820" s="21" t="n">
        <v>0</v>
      </c>
      <c r="H820" s="21" t="n">
        <v>0</v>
      </c>
      <c r="I820" s="21" t="n">
        <v>0.1</v>
      </c>
      <c r="J820" s="21" t="n">
        <v>-0.1</v>
      </c>
      <c r="K820" s="21" t="n">
        <v>0</v>
      </c>
      <c r="L820" s="21" t="n">
        <v>0</v>
      </c>
      <c r="M820" s="21" t="n">
        <v>0</v>
      </c>
      <c r="N820" s="21" t="n">
        <v>0</v>
      </c>
      <c r="O820" s="21" t="n">
        <v>0</v>
      </c>
      <c r="P820" s="21" t="n">
        <v>0.1</v>
      </c>
      <c r="Q820" s="21" t="n">
        <v>-0.1</v>
      </c>
      <c r="R820" s="18" t="n">
        <f aca="false">ABS(D820)+MAX(ABS(G820),ABS(H820))+MAX(ABS(I820),ABS(J820))</f>
        <v>0.11</v>
      </c>
      <c r="S820" s="18" t="n">
        <f aca="false">ABS(K820)+MAX(ABS(N820),ABS(O820))+MAX(ABS(P820),ABS(Q820))</f>
        <v>0.1</v>
      </c>
      <c r="T820" s="18" t="n">
        <f aca="false">MAX(ABS(E820),ABS(F820))</f>
        <v>0</v>
      </c>
      <c r="U820" s="18" t="n">
        <f aca="false">MAX(ABS(L820),ABS(M820))</f>
        <v>0</v>
      </c>
    </row>
    <row r="821" customFormat="false" ht="15" hidden="false" customHeight="false" outlineLevel="0" collapsed="false">
      <c r="A821" s="4" t="n">
        <v>388</v>
      </c>
      <c r="B821" s="4" t="n">
        <v>175</v>
      </c>
      <c r="C821" s="18" t="n">
        <v>0.25</v>
      </c>
      <c r="D821" s="21" t="n">
        <v>-0.01</v>
      </c>
      <c r="E821" s="21" t="n">
        <v>0</v>
      </c>
      <c r="F821" s="21" t="n">
        <v>0</v>
      </c>
      <c r="G821" s="21" t="n">
        <v>0</v>
      </c>
      <c r="H821" s="21" t="n">
        <v>0</v>
      </c>
      <c r="I821" s="21" t="n">
        <v>0.05</v>
      </c>
      <c r="J821" s="21" t="n">
        <v>-0.05</v>
      </c>
      <c r="K821" s="21" t="n">
        <v>0</v>
      </c>
      <c r="L821" s="21" t="n">
        <v>0</v>
      </c>
      <c r="M821" s="21" t="n">
        <v>0</v>
      </c>
      <c r="N821" s="21" t="n">
        <v>0</v>
      </c>
      <c r="O821" s="21" t="n">
        <v>0</v>
      </c>
      <c r="P821" s="21" t="n">
        <v>0.05</v>
      </c>
      <c r="Q821" s="21" t="n">
        <v>-0.05</v>
      </c>
      <c r="R821" s="18" t="n">
        <f aca="false">ABS(D821)+MAX(ABS(G821),ABS(H821))+MAX(ABS(I821),ABS(J821))</f>
        <v>0.06</v>
      </c>
      <c r="S821" s="18" t="n">
        <f aca="false">ABS(K821)+MAX(ABS(N821),ABS(O821))+MAX(ABS(P821),ABS(Q821))</f>
        <v>0.05</v>
      </c>
      <c r="T821" s="18" t="n">
        <f aca="false">MAX(ABS(E821),ABS(F821))</f>
        <v>0</v>
      </c>
      <c r="U821" s="18" t="n">
        <f aca="false">MAX(ABS(L821),ABS(M821))</f>
        <v>0</v>
      </c>
    </row>
    <row r="822" customFormat="false" ht="15" hidden="false" customHeight="false" outlineLevel="0" collapsed="false">
      <c r="A822" s="4" t="n">
        <v>388</v>
      </c>
      <c r="B822" s="4" t="n">
        <v>175</v>
      </c>
      <c r="C822" s="18" t="n">
        <v>0.5</v>
      </c>
      <c r="D822" s="21" t="n">
        <v>-0.01</v>
      </c>
      <c r="E822" s="21" t="n">
        <v>0</v>
      </c>
      <c r="F822" s="21" t="n">
        <v>0</v>
      </c>
      <c r="G822" s="21" t="n">
        <v>0</v>
      </c>
      <c r="H822" s="21" t="n">
        <v>0</v>
      </c>
      <c r="I822" s="21" t="n">
        <v>0</v>
      </c>
      <c r="J822" s="21" t="n">
        <v>0</v>
      </c>
      <c r="K822" s="21" t="n">
        <v>0</v>
      </c>
      <c r="L822" s="21" t="n">
        <v>0</v>
      </c>
      <c r="M822" s="21" t="n">
        <v>0</v>
      </c>
      <c r="N822" s="21" t="n">
        <v>0</v>
      </c>
      <c r="O822" s="21" t="n">
        <v>0</v>
      </c>
      <c r="P822" s="21" t="n">
        <v>0</v>
      </c>
      <c r="Q822" s="21" t="n">
        <v>0</v>
      </c>
      <c r="R822" s="18" t="n">
        <f aca="false">ABS(D822)+MAX(ABS(G822),ABS(H822))+MAX(ABS(I822),ABS(J822))</f>
        <v>0.01</v>
      </c>
      <c r="S822" s="18" t="n">
        <f aca="false">ABS(K822)+MAX(ABS(N822),ABS(O822))+MAX(ABS(P822),ABS(Q822))</f>
        <v>0</v>
      </c>
      <c r="T822" s="18" t="n">
        <f aca="false">MAX(ABS(E822),ABS(F822))</f>
        <v>0</v>
      </c>
      <c r="U822" s="18" t="n">
        <f aca="false">MAX(ABS(L822),ABS(M822))</f>
        <v>0</v>
      </c>
    </row>
    <row r="823" customFormat="false" ht="15" hidden="false" customHeight="false" outlineLevel="0" collapsed="false">
      <c r="A823" s="4" t="n">
        <v>388</v>
      </c>
      <c r="B823" s="4" t="n">
        <v>175</v>
      </c>
      <c r="C823" s="18" t="n">
        <v>0.75</v>
      </c>
      <c r="D823" s="21" t="n">
        <v>-0.01</v>
      </c>
      <c r="E823" s="21" t="n">
        <v>0</v>
      </c>
      <c r="F823" s="21" t="n">
        <v>0</v>
      </c>
      <c r="G823" s="21" t="n">
        <v>0</v>
      </c>
      <c r="H823" s="21" t="n">
        <v>0</v>
      </c>
      <c r="I823" s="21" t="n">
        <v>-0.04</v>
      </c>
      <c r="J823" s="21" t="n">
        <v>0.04</v>
      </c>
      <c r="K823" s="21" t="n">
        <v>0</v>
      </c>
      <c r="L823" s="21" t="n">
        <v>0</v>
      </c>
      <c r="M823" s="21" t="n">
        <v>0</v>
      </c>
      <c r="N823" s="21" t="n">
        <v>0</v>
      </c>
      <c r="O823" s="21" t="n">
        <v>0</v>
      </c>
      <c r="P823" s="21" t="n">
        <v>-0.04</v>
      </c>
      <c r="Q823" s="21" t="n">
        <v>0.04</v>
      </c>
      <c r="R823" s="18" t="n">
        <f aca="false">ABS(D823)+MAX(ABS(G823),ABS(H823))+MAX(ABS(I823),ABS(J823))</f>
        <v>0.05</v>
      </c>
      <c r="S823" s="18" t="n">
        <f aca="false">ABS(K823)+MAX(ABS(N823),ABS(O823))+MAX(ABS(P823),ABS(Q823))</f>
        <v>0.04</v>
      </c>
      <c r="T823" s="18" t="n">
        <f aca="false">MAX(ABS(E823),ABS(F823))</f>
        <v>0</v>
      </c>
      <c r="U823" s="18" t="n">
        <f aca="false">MAX(ABS(L823),ABS(M823))</f>
        <v>0</v>
      </c>
    </row>
    <row r="824" customFormat="false" ht="15" hidden="false" customHeight="false" outlineLevel="0" collapsed="false">
      <c r="A824" s="4" t="n">
        <v>388</v>
      </c>
      <c r="B824" s="4" t="n">
        <v>175</v>
      </c>
      <c r="C824" s="18" t="n">
        <v>1</v>
      </c>
      <c r="D824" s="21" t="n">
        <v>-0.01</v>
      </c>
      <c r="E824" s="21" t="n">
        <v>0</v>
      </c>
      <c r="F824" s="21" t="n">
        <v>0</v>
      </c>
      <c r="G824" s="21" t="n">
        <v>0</v>
      </c>
      <c r="H824" s="21" t="n">
        <v>0</v>
      </c>
      <c r="I824" s="21" t="n">
        <v>-0.09</v>
      </c>
      <c r="J824" s="21" t="n">
        <v>0.09</v>
      </c>
      <c r="K824" s="21" t="n">
        <v>0</v>
      </c>
      <c r="L824" s="21" t="n">
        <v>0</v>
      </c>
      <c r="M824" s="21" t="n">
        <v>0</v>
      </c>
      <c r="N824" s="21" t="n">
        <v>0</v>
      </c>
      <c r="O824" s="21" t="n">
        <v>0</v>
      </c>
      <c r="P824" s="21" t="n">
        <v>-0.09</v>
      </c>
      <c r="Q824" s="21" t="n">
        <v>0.09</v>
      </c>
      <c r="R824" s="18" t="n">
        <f aca="false">ABS(D824)+MAX(ABS(G824),ABS(H824))+MAX(ABS(I824),ABS(J824))</f>
        <v>0.1</v>
      </c>
      <c r="S824" s="18" t="n">
        <f aca="false">ABS(K824)+MAX(ABS(N824),ABS(O824))+MAX(ABS(P824),ABS(Q824))</f>
        <v>0.09</v>
      </c>
      <c r="T824" s="18" t="n">
        <f aca="false">MAX(ABS(E824),ABS(F824))</f>
        <v>0</v>
      </c>
      <c r="U824" s="18" t="n">
        <f aca="false">MAX(ABS(L824),ABS(M824))</f>
        <v>0</v>
      </c>
    </row>
    <row r="825" customFormat="false" ht="15" hidden="false" customHeight="false" outlineLevel="0" collapsed="false">
      <c r="A825" s="4" t="n">
        <v>389</v>
      </c>
      <c r="B825" s="4" t="n">
        <v>176</v>
      </c>
      <c r="C825" s="18" t="n">
        <v>0</v>
      </c>
      <c r="D825" s="21" t="n">
        <v>-0.01</v>
      </c>
      <c r="E825" s="21" t="n">
        <v>0</v>
      </c>
      <c r="F825" s="21" t="n">
        <v>0</v>
      </c>
      <c r="G825" s="21" t="n">
        <v>0</v>
      </c>
      <c r="H825" s="21" t="n">
        <v>0</v>
      </c>
      <c r="I825" s="21" t="n">
        <v>0.1</v>
      </c>
      <c r="J825" s="21" t="n">
        <v>-0.1</v>
      </c>
      <c r="K825" s="21" t="n">
        <v>-0.01</v>
      </c>
      <c r="L825" s="21" t="n">
        <v>0</v>
      </c>
      <c r="M825" s="21" t="n">
        <v>0</v>
      </c>
      <c r="N825" s="21" t="n">
        <v>0</v>
      </c>
      <c r="O825" s="21" t="n">
        <v>0</v>
      </c>
      <c r="P825" s="21" t="n">
        <v>0.09</v>
      </c>
      <c r="Q825" s="21" t="n">
        <v>-0.09</v>
      </c>
      <c r="R825" s="18" t="n">
        <f aca="false">ABS(D825)+MAX(ABS(G825),ABS(H825))+MAX(ABS(I825),ABS(J825))</f>
        <v>0.11</v>
      </c>
      <c r="S825" s="18" t="n">
        <f aca="false">ABS(K825)+MAX(ABS(N825),ABS(O825))+MAX(ABS(P825),ABS(Q825))</f>
        <v>0.1</v>
      </c>
      <c r="T825" s="18" t="n">
        <f aca="false">MAX(ABS(E825),ABS(F825))</f>
        <v>0</v>
      </c>
      <c r="U825" s="18" t="n">
        <f aca="false">MAX(ABS(L825),ABS(M825))</f>
        <v>0</v>
      </c>
    </row>
    <row r="826" customFormat="false" ht="15" hidden="false" customHeight="false" outlineLevel="0" collapsed="false">
      <c r="A826" s="4" t="n">
        <v>389</v>
      </c>
      <c r="B826" s="4" t="n">
        <v>176</v>
      </c>
      <c r="C826" s="18" t="n">
        <v>0.25</v>
      </c>
      <c r="D826" s="21" t="n">
        <v>-0.01</v>
      </c>
      <c r="E826" s="21" t="n">
        <v>0</v>
      </c>
      <c r="F826" s="21" t="n">
        <v>0</v>
      </c>
      <c r="G826" s="21" t="n">
        <v>0</v>
      </c>
      <c r="H826" s="21" t="n">
        <v>0</v>
      </c>
      <c r="I826" s="21" t="n">
        <v>0.05</v>
      </c>
      <c r="J826" s="21" t="n">
        <v>-0.05</v>
      </c>
      <c r="K826" s="21" t="n">
        <v>-0.01</v>
      </c>
      <c r="L826" s="21" t="n">
        <v>0</v>
      </c>
      <c r="M826" s="21" t="n">
        <v>0</v>
      </c>
      <c r="N826" s="21" t="n">
        <v>0</v>
      </c>
      <c r="O826" s="21" t="n">
        <v>0</v>
      </c>
      <c r="P826" s="21" t="n">
        <v>0.05</v>
      </c>
      <c r="Q826" s="21" t="n">
        <v>-0.05</v>
      </c>
      <c r="R826" s="18" t="n">
        <f aca="false">ABS(D826)+MAX(ABS(G826),ABS(H826))+MAX(ABS(I826),ABS(J826))</f>
        <v>0.06</v>
      </c>
      <c r="S826" s="18" t="n">
        <f aca="false">ABS(K826)+MAX(ABS(N826),ABS(O826))+MAX(ABS(P826),ABS(Q826))</f>
        <v>0.06</v>
      </c>
      <c r="T826" s="18" t="n">
        <f aca="false">MAX(ABS(E826),ABS(F826))</f>
        <v>0</v>
      </c>
      <c r="U826" s="18" t="n">
        <f aca="false">MAX(ABS(L826),ABS(M826))</f>
        <v>0</v>
      </c>
    </row>
    <row r="827" customFormat="false" ht="15" hidden="false" customHeight="false" outlineLevel="0" collapsed="false">
      <c r="A827" s="4" t="n">
        <v>389</v>
      </c>
      <c r="B827" s="4" t="n">
        <v>176</v>
      </c>
      <c r="C827" s="18" t="n">
        <v>0.5</v>
      </c>
      <c r="D827" s="21" t="n">
        <v>-0.01</v>
      </c>
      <c r="E827" s="21" t="n">
        <v>0</v>
      </c>
      <c r="F827" s="21" t="n">
        <v>0</v>
      </c>
      <c r="G827" s="21" t="n">
        <v>0</v>
      </c>
      <c r="H827" s="21" t="n">
        <v>0</v>
      </c>
      <c r="I827" s="21" t="n">
        <v>0</v>
      </c>
      <c r="J827" s="21" t="n">
        <v>0</v>
      </c>
      <c r="K827" s="21" t="n">
        <v>-0.01</v>
      </c>
      <c r="L827" s="21" t="n">
        <v>0</v>
      </c>
      <c r="M827" s="21" t="n">
        <v>0</v>
      </c>
      <c r="N827" s="21" t="n">
        <v>0</v>
      </c>
      <c r="O827" s="21" t="n">
        <v>0</v>
      </c>
      <c r="P827" s="21" t="n">
        <v>0</v>
      </c>
      <c r="Q827" s="21" t="n">
        <v>0</v>
      </c>
      <c r="R827" s="18" t="n">
        <f aca="false">ABS(D827)+MAX(ABS(G827),ABS(H827))+MAX(ABS(I827),ABS(J827))</f>
        <v>0.01</v>
      </c>
      <c r="S827" s="18" t="n">
        <f aca="false">ABS(K827)+MAX(ABS(N827),ABS(O827))+MAX(ABS(P827),ABS(Q827))</f>
        <v>0.01</v>
      </c>
      <c r="T827" s="18" t="n">
        <f aca="false">MAX(ABS(E827),ABS(F827))</f>
        <v>0</v>
      </c>
      <c r="U827" s="18" t="n">
        <f aca="false">MAX(ABS(L827),ABS(M827))</f>
        <v>0</v>
      </c>
    </row>
    <row r="828" customFormat="false" ht="15" hidden="false" customHeight="false" outlineLevel="0" collapsed="false">
      <c r="A828" s="4" t="n">
        <v>389</v>
      </c>
      <c r="B828" s="4" t="n">
        <v>176</v>
      </c>
      <c r="C828" s="18" t="n">
        <v>0.75</v>
      </c>
      <c r="D828" s="21" t="n">
        <v>-0.01</v>
      </c>
      <c r="E828" s="21" t="n">
        <v>0</v>
      </c>
      <c r="F828" s="21" t="n">
        <v>0</v>
      </c>
      <c r="G828" s="21" t="n">
        <v>0</v>
      </c>
      <c r="H828" s="21" t="n">
        <v>0</v>
      </c>
      <c r="I828" s="21" t="n">
        <v>-0.05</v>
      </c>
      <c r="J828" s="21" t="n">
        <v>0.05</v>
      </c>
      <c r="K828" s="21" t="n">
        <v>-0.01</v>
      </c>
      <c r="L828" s="21" t="n">
        <v>0</v>
      </c>
      <c r="M828" s="21" t="n">
        <v>0</v>
      </c>
      <c r="N828" s="21" t="n">
        <v>0</v>
      </c>
      <c r="O828" s="21" t="n">
        <v>0</v>
      </c>
      <c r="P828" s="21" t="n">
        <v>-0.05</v>
      </c>
      <c r="Q828" s="21" t="n">
        <v>0.05</v>
      </c>
      <c r="R828" s="18" t="n">
        <f aca="false">ABS(D828)+MAX(ABS(G828),ABS(H828))+MAX(ABS(I828),ABS(J828))</f>
        <v>0.06</v>
      </c>
      <c r="S828" s="18" t="n">
        <f aca="false">ABS(K828)+MAX(ABS(N828),ABS(O828))+MAX(ABS(P828),ABS(Q828))</f>
        <v>0.06</v>
      </c>
      <c r="T828" s="18" t="n">
        <f aca="false">MAX(ABS(E828),ABS(F828))</f>
        <v>0</v>
      </c>
      <c r="U828" s="18" t="n">
        <f aca="false">MAX(ABS(L828),ABS(M828))</f>
        <v>0</v>
      </c>
    </row>
    <row r="829" customFormat="false" ht="15" hidden="false" customHeight="false" outlineLevel="0" collapsed="false">
      <c r="A829" s="4" t="n">
        <v>389</v>
      </c>
      <c r="B829" s="4" t="n">
        <v>176</v>
      </c>
      <c r="C829" s="18" t="n">
        <v>1</v>
      </c>
      <c r="D829" s="21" t="n">
        <v>-0.01</v>
      </c>
      <c r="E829" s="21" t="n">
        <v>0</v>
      </c>
      <c r="F829" s="21" t="n">
        <v>0</v>
      </c>
      <c r="G829" s="21" t="n">
        <v>0</v>
      </c>
      <c r="H829" s="21" t="n">
        <v>0</v>
      </c>
      <c r="I829" s="21" t="n">
        <v>-0.1</v>
      </c>
      <c r="J829" s="21" t="n">
        <v>0.1</v>
      </c>
      <c r="K829" s="21" t="n">
        <v>-0.01</v>
      </c>
      <c r="L829" s="21" t="n">
        <v>0</v>
      </c>
      <c r="M829" s="21" t="n">
        <v>0</v>
      </c>
      <c r="N829" s="21" t="n">
        <v>0</v>
      </c>
      <c r="O829" s="21" t="n">
        <v>0</v>
      </c>
      <c r="P829" s="21" t="n">
        <v>-0.09</v>
      </c>
      <c r="Q829" s="21" t="n">
        <v>0.09</v>
      </c>
      <c r="R829" s="18" t="n">
        <f aca="false">ABS(D829)+MAX(ABS(G829),ABS(H829))+MAX(ABS(I829),ABS(J829))</f>
        <v>0.11</v>
      </c>
      <c r="S829" s="18" t="n">
        <f aca="false">ABS(K829)+MAX(ABS(N829),ABS(O829))+MAX(ABS(P829),ABS(Q829))</f>
        <v>0.1</v>
      </c>
      <c r="T829" s="18" t="n">
        <f aca="false">MAX(ABS(E829),ABS(F829))</f>
        <v>0</v>
      </c>
      <c r="U829" s="18" t="n">
        <f aca="false">MAX(ABS(L829),ABS(M829))</f>
        <v>0</v>
      </c>
    </row>
    <row r="830" customFormat="false" ht="15" hidden="false" customHeight="false" outlineLevel="0" collapsed="false">
      <c r="A830" s="4" t="n">
        <v>390</v>
      </c>
      <c r="B830" s="4" t="n">
        <v>177</v>
      </c>
      <c r="C830" s="18" t="n">
        <v>0</v>
      </c>
      <c r="D830" s="21" t="n">
        <v>-0.01</v>
      </c>
      <c r="E830" s="21" t="n">
        <v>0</v>
      </c>
      <c r="F830" s="21" t="n">
        <v>0</v>
      </c>
      <c r="G830" s="21" t="n">
        <v>0.02</v>
      </c>
      <c r="H830" s="21" t="n">
        <v>-0.02</v>
      </c>
      <c r="I830" s="21" t="n">
        <v>0.01</v>
      </c>
      <c r="J830" s="21" t="n">
        <v>0</v>
      </c>
      <c r="K830" s="21" t="n">
        <v>-0.01</v>
      </c>
      <c r="L830" s="21" t="n">
        <v>0</v>
      </c>
      <c r="M830" s="21" t="n">
        <v>0</v>
      </c>
      <c r="N830" s="21" t="n">
        <v>0.02</v>
      </c>
      <c r="O830" s="21" t="n">
        <v>-0.02</v>
      </c>
      <c r="P830" s="21" t="n">
        <v>0.01</v>
      </c>
      <c r="Q830" s="21" t="n">
        <v>0</v>
      </c>
      <c r="R830" s="18" t="n">
        <f aca="false">ABS(D830)+MAX(ABS(G830),ABS(H830))+MAX(ABS(I830),ABS(J830))</f>
        <v>0.04</v>
      </c>
      <c r="S830" s="18" t="n">
        <f aca="false">ABS(K830)+MAX(ABS(N830),ABS(O830))+MAX(ABS(P830),ABS(Q830))</f>
        <v>0.04</v>
      </c>
      <c r="T830" s="18" t="n">
        <f aca="false">MAX(ABS(E830),ABS(F830))</f>
        <v>0</v>
      </c>
      <c r="U830" s="18" t="n">
        <f aca="false">MAX(ABS(L830),ABS(M830))</f>
        <v>0</v>
      </c>
    </row>
    <row r="831" customFormat="false" ht="15" hidden="false" customHeight="false" outlineLevel="0" collapsed="false">
      <c r="A831" s="4" t="n">
        <v>390</v>
      </c>
      <c r="B831" s="4" t="n">
        <v>177</v>
      </c>
      <c r="C831" s="18" t="n">
        <v>0.25</v>
      </c>
      <c r="D831" s="21" t="n">
        <v>-0.01</v>
      </c>
      <c r="E831" s="21" t="n">
        <v>0</v>
      </c>
      <c r="F831" s="21" t="n">
        <v>0</v>
      </c>
      <c r="G831" s="21" t="n">
        <v>0.01</v>
      </c>
      <c r="H831" s="21" t="n">
        <v>-0.01</v>
      </c>
      <c r="I831" s="21" t="n">
        <v>0.01</v>
      </c>
      <c r="J831" s="21" t="n">
        <v>0</v>
      </c>
      <c r="K831" s="21" t="n">
        <v>-0.01</v>
      </c>
      <c r="L831" s="21" t="n">
        <v>0</v>
      </c>
      <c r="M831" s="21" t="n">
        <v>0</v>
      </c>
      <c r="N831" s="21" t="n">
        <v>0.01</v>
      </c>
      <c r="O831" s="21" t="n">
        <v>-0.01</v>
      </c>
      <c r="P831" s="21" t="n">
        <v>0.01</v>
      </c>
      <c r="Q831" s="21" t="n">
        <v>0</v>
      </c>
      <c r="R831" s="18" t="n">
        <f aca="false">ABS(D831)+MAX(ABS(G831),ABS(H831))+MAX(ABS(I831),ABS(J831))</f>
        <v>0.03</v>
      </c>
      <c r="S831" s="18" t="n">
        <f aca="false">ABS(K831)+MAX(ABS(N831),ABS(O831))+MAX(ABS(P831),ABS(Q831))</f>
        <v>0.03</v>
      </c>
      <c r="T831" s="18" t="n">
        <f aca="false">MAX(ABS(E831),ABS(F831))</f>
        <v>0</v>
      </c>
      <c r="U831" s="18" t="n">
        <f aca="false">MAX(ABS(L831),ABS(M831))</f>
        <v>0</v>
      </c>
    </row>
    <row r="832" customFormat="false" ht="15" hidden="false" customHeight="false" outlineLevel="0" collapsed="false">
      <c r="A832" s="4" t="n">
        <v>390</v>
      </c>
      <c r="B832" s="4" t="n">
        <v>177</v>
      </c>
      <c r="C832" s="18" t="n">
        <v>0.5</v>
      </c>
      <c r="D832" s="21" t="n">
        <v>-0.01</v>
      </c>
      <c r="E832" s="21" t="n">
        <v>0</v>
      </c>
      <c r="F832" s="21" t="n">
        <v>0</v>
      </c>
      <c r="G832" s="21" t="n">
        <v>0</v>
      </c>
      <c r="H832" s="21" t="n">
        <v>0</v>
      </c>
      <c r="I832" s="21" t="n">
        <v>0</v>
      </c>
      <c r="J832" s="21" t="n">
        <v>0</v>
      </c>
      <c r="K832" s="21" t="n">
        <v>-0.01</v>
      </c>
      <c r="L832" s="21" t="n">
        <v>0</v>
      </c>
      <c r="M832" s="21" t="n">
        <v>0</v>
      </c>
      <c r="N832" s="21" t="n">
        <v>0</v>
      </c>
      <c r="O832" s="21" t="n">
        <v>0</v>
      </c>
      <c r="P832" s="21" t="n">
        <v>0</v>
      </c>
      <c r="Q832" s="21" t="n">
        <v>0</v>
      </c>
      <c r="R832" s="18" t="n">
        <f aca="false">ABS(D832)+MAX(ABS(G832),ABS(H832))+MAX(ABS(I832),ABS(J832))</f>
        <v>0.01</v>
      </c>
      <c r="S832" s="18" t="n">
        <f aca="false">ABS(K832)+MAX(ABS(N832),ABS(O832))+MAX(ABS(P832),ABS(Q832))</f>
        <v>0.01</v>
      </c>
      <c r="T832" s="18" t="n">
        <f aca="false">MAX(ABS(E832),ABS(F832))</f>
        <v>0</v>
      </c>
      <c r="U832" s="18" t="n">
        <f aca="false">MAX(ABS(L832),ABS(M832))</f>
        <v>0</v>
      </c>
    </row>
    <row r="833" customFormat="false" ht="15" hidden="false" customHeight="false" outlineLevel="0" collapsed="false">
      <c r="A833" s="4" t="n">
        <v>390</v>
      </c>
      <c r="B833" s="4" t="n">
        <v>177</v>
      </c>
      <c r="C833" s="18" t="n">
        <v>0.75</v>
      </c>
      <c r="D833" s="21" t="n">
        <v>-0.01</v>
      </c>
      <c r="E833" s="21" t="n">
        <v>0</v>
      </c>
      <c r="F833" s="21" t="n">
        <v>0</v>
      </c>
      <c r="G833" s="21" t="n">
        <v>-0.01</v>
      </c>
      <c r="H833" s="21" t="n">
        <v>0.01</v>
      </c>
      <c r="I833" s="21" t="n">
        <v>-0.01</v>
      </c>
      <c r="J833" s="21" t="n">
        <v>0</v>
      </c>
      <c r="K833" s="21" t="n">
        <v>-0.01</v>
      </c>
      <c r="L833" s="21" t="n">
        <v>0</v>
      </c>
      <c r="M833" s="21" t="n">
        <v>0</v>
      </c>
      <c r="N833" s="21" t="n">
        <v>-0.01</v>
      </c>
      <c r="O833" s="21" t="n">
        <v>0.01</v>
      </c>
      <c r="P833" s="21" t="n">
        <v>-0.01</v>
      </c>
      <c r="Q833" s="21" t="n">
        <v>0</v>
      </c>
      <c r="R833" s="18" t="n">
        <f aca="false">ABS(D833)+MAX(ABS(G833),ABS(H833))+MAX(ABS(I833),ABS(J833))</f>
        <v>0.03</v>
      </c>
      <c r="S833" s="18" t="n">
        <f aca="false">ABS(K833)+MAX(ABS(N833),ABS(O833))+MAX(ABS(P833),ABS(Q833))</f>
        <v>0.03</v>
      </c>
      <c r="T833" s="18" t="n">
        <f aca="false">MAX(ABS(E833),ABS(F833))</f>
        <v>0</v>
      </c>
      <c r="U833" s="18" t="n">
        <f aca="false">MAX(ABS(L833),ABS(M833))</f>
        <v>0</v>
      </c>
    </row>
    <row r="834" customFormat="false" ht="15" hidden="false" customHeight="false" outlineLevel="0" collapsed="false">
      <c r="A834" s="4" t="n">
        <v>390</v>
      </c>
      <c r="B834" s="4" t="n">
        <v>177</v>
      </c>
      <c r="C834" s="18" t="n">
        <v>1</v>
      </c>
      <c r="D834" s="21" t="n">
        <v>-0.01</v>
      </c>
      <c r="E834" s="21" t="n">
        <v>0</v>
      </c>
      <c r="F834" s="21" t="n">
        <v>0</v>
      </c>
      <c r="G834" s="21" t="n">
        <v>-0.02</v>
      </c>
      <c r="H834" s="21" t="n">
        <v>0.02</v>
      </c>
      <c r="I834" s="21" t="n">
        <v>-0.01</v>
      </c>
      <c r="J834" s="21" t="n">
        <v>0</v>
      </c>
      <c r="K834" s="21" t="n">
        <v>-0.01</v>
      </c>
      <c r="L834" s="21" t="n">
        <v>0</v>
      </c>
      <c r="M834" s="21" t="n">
        <v>0</v>
      </c>
      <c r="N834" s="21" t="n">
        <v>-0.01</v>
      </c>
      <c r="O834" s="21" t="n">
        <v>0.01</v>
      </c>
      <c r="P834" s="21" t="n">
        <v>-0.01</v>
      </c>
      <c r="Q834" s="21" t="n">
        <v>0</v>
      </c>
      <c r="R834" s="18" t="n">
        <f aca="false">ABS(D834)+MAX(ABS(G834),ABS(H834))+MAX(ABS(I834),ABS(J834))</f>
        <v>0.04</v>
      </c>
      <c r="S834" s="18" t="n">
        <f aca="false">ABS(K834)+MAX(ABS(N834),ABS(O834))+MAX(ABS(P834),ABS(Q834))</f>
        <v>0.03</v>
      </c>
      <c r="T834" s="18" t="n">
        <f aca="false">MAX(ABS(E834),ABS(F834))</f>
        <v>0</v>
      </c>
      <c r="U834" s="18" t="n">
        <f aca="false">MAX(ABS(L834),ABS(M834))</f>
        <v>0</v>
      </c>
    </row>
    <row r="835" customFormat="false" ht="15" hidden="false" customHeight="false" outlineLevel="0" collapsed="false">
      <c r="A835" s="4" t="n">
        <v>391</v>
      </c>
      <c r="B835" s="4" t="n">
        <v>179</v>
      </c>
      <c r="C835" s="18" t="n">
        <v>0</v>
      </c>
      <c r="D835" s="21" t="n">
        <v>0</v>
      </c>
      <c r="E835" s="21" t="n">
        <v>0</v>
      </c>
      <c r="F835" s="21" t="n">
        <v>0</v>
      </c>
      <c r="G835" s="21" t="n">
        <v>0</v>
      </c>
      <c r="H835" s="21" t="n">
        <v>0</v>
      </c>
      <c r="I835" s="21" t="n">
        <v>-0.01</v>
      </c>
      <c r="J835" s="21" t="n">
        <v>0</v>
      </c>
      <c r="K835" s="21" t="n">
        <v>0</v>
      </c>
      <c r="L835" s="21" t="n">
        <v>0</v>
      </c>
      <c r="M835" s="21" t="n">
        <v>0</v>
      </c>
      <c r="N835" s="21" t="n">
        <v>0</v>
      </c>
      <c r="O835" s="21" t="n">
        <v>0</v>
      </c>
      <c r="P835" s="21" t="n">
        <v>-0.01</v>
      </c>
      <c r="Q835" s="21" t="n">
        <v>0</v>
      </c>
      <c r="R835" s="18" t="n">
        <f aca="false">ABS(D835)+MAX(ABS(G835),ABS(H835))+MAX(ABS(I835),ABS(J835))</f>
        <v>0.01</v>
      </c>
      <c r="S835" s="18" t="n">
        <f aca="false">ABS(K835)+MAX(ABS(N835),ABS(O835))+MAX(ABS(P835),ABS(Q835))</f>
        <v>0.01</v>
      </c>
      <c r="T835" s="18" t="n">
        <f aca="false">MAX(ABS(E835),ABS(F835))</f>
        <v>0</v>
      </c>
      <c r="U835" s="18" t="n">
        <f aca="false">MAX(ABS(L835),ABS(M835))</f>
        <v>0</v>
      </c>
    </row>
    <row r="836" customFormat="false" ht="15" hidden="false" customHeight="false" outlineLevel="0" collapsed="false">
      <c r="A836" s="4" t="n">
        <v>391</v>
      </c>
      <c r="B836" s="4" t="n">
        <v>179</v>
      </c>
      <c r="C836" s="18" t="n">
        <v>0.25</v>
      </c>
      <c r="D836" s="21" t="n">
        <v>0</v>
      </c>
      <c r="E836" s="21" t="n">
        <v>0</v>
      </c>
      <c r="F836" s="21" t="n">
        <v>0</v>
      </c>
      <c r="G836" s="21" t="n">
        <v>0</v>
      </c>
      <c r="H836" s="21" t="n">
        <v>0</v>
      </c>
      <c r="I836" s="21" t="n">
        <v>-0.01</v>
      </c>
      <c r="J836" s="21" t="n">
        <v>0</v>
      </c>
      <c r="K836" s="21" t="n">
        <v>0</v>
      </c>
      <c r="L836" s="21" t="n">
        <v>0</v>
      </c>
      <c r="M836" s="21" t="n">
        <v>0</v>
      </c>
      <c r="N836" s="21" t="n">
        <v>0</v>
      </c>
      <c r="O836" s="21" t="n">
        <v>0</v>
      </c>
      <c r="P836" s="21" t="n">
        <v>0</v>
      </c>
      <c r="Q836" s="21" t="n">
        <v>0</v>
      </c>
      <c r="R836" s="18" t="n">
        <f aca="false">ABS(D836)+MAX(ABS(G836),ABS(H836))+MAX(ABS(I836),ABS(J836))</f>
        <v>0.01</v>
      </c>
      <c r="S836" s="18" t="n">
        <f aca="false">ABS(K836)+MAX(ABS(N836),ABS(O836))+MAX(ABS(P836),ABS(Q836))</f>
        <v>0</v>
      </c>
      <c r="T836" s="18" t="n">
        <f aca="false">MAX(ABS(E836),ABS(F836))</f>
        <v>0</v>
      </c>
      <c r="U836" s="18" t="n">
        <f aca="false">MAX(ABS(L836),ABS(M836))</f>
        <v>0</v>
      </c>
    </row>
    <row r="837" customFormat="false" ht="15" hidden="false" customHeight="false" outlineLevel="0" collapsed="false">
      <c r="A837" s="4" t="n">
        <v>391</v>
      </c>
      <c r="B837" s="4" t="n">
        <v>179</v>
      </c>
      <c r="C837" s="18" t="n">
        <v>0.5</v>
      </c>
      <c r="D837" s="21" t="n">
        <v>0</v>
      </c>
      <c r="E837" s="21" t="n">
        <v>0</v>
      </c>
      <c r="F837" s="21" t="n">
        <v>0</v>
      </c>
      <c r="G837" s="21" t="n">
        <v>0.01</v>
      </c>
      <c r="H837" s="21" t="n">
        <v>-0.01</v>
      </c>
      <c r="I837" s="21" t="n">
        <v>0</v>
      </c>
      <c r="J837" s="21" t="n">
        <v>0</v>
      </c>
      <c r="K837" s="21" t="n">
        <v>0</v>
      </c>
      <c r="L837" s="21" t="n">
        <v>0</v>
      </c>
      <c r="M837" s="21" t="n">
        <v>0</v>
      </c>
      <c r="N837" s="21" t="n">
        <v>0.01</v>
      </c>
      <c r="O837" s="21" t="n">
        <v>-0.01</v>
      </c>
      <c r="P837" s="21" t="n">
        <v>0</v>
      </c>
      <c r="Q837" s="21" t="n">
        <v>0</v>
      </c>
      <c r="R837" s="18" t="n">
        <f aca="false">ABS(D837)+MAX(ABS(G837),ABS(H837))+MAX(ABS(I837),ABS(J837))</f>
        <v>0.01</v>
      </c>
      <c r="S837" s="18" t="n">
        <f aca="false">ABS(K837)+MAX(ABS(N837),ABS(O837))+MAX(ABS(P837),ABS(Q837))</f>
        <v>0.01</v>
      </c>
      <c r="T837" s="18" t="n">
        <f aca="false">MAX(ABS(E837),ABS(F837))</f>
        <v>0</v>
      </c>
      <c r="U837" s="18" t="n">
        <f aca="false">MAX(ABS(L837),ABS(M837))</f>
        <v>0</v>
      </c>
    </row>
    <row r="838" customFormat="false" ht="15" hidden="false" customHeight="false" outlineLevel="0" collapsed="false">
      <c r="A838" s="4" t="n">
        <v>391</v>
      </c>
      <c r="B838" s="4" t="n">
        <v>179</v>
      </c>
      <c r="C838" s="18" t="n">
        <v>0.75</v>
      </c>
      <c r="D838" s="21" t="n">
        <v>0</v>
      </c>
      <c r="E838" s="21" t="n">
        <v>0</v>
      </c>
      <c r="F838" s="21" t="n">
        <v>0</v>
      </c>
      <c r="G838" s="21" t="n">
        <v>0.01</v>
      </c>
      <c r="H838" s="21" t="n">
        <v>-0.01</v>
      </c>
      <c r="I838" s="21" t="n">
        <v>0.01</v>
      </c>
      <c r="J838" s="21" t="n">
        <v>0</v>
      </c>
      <c r="K838" s="21" t="n">
        <v>0</v>
      </c>
      <c r="L838" s="21" t="n">
        <v>0</v>
      </c>
      <c r="M838" s="21" t="n">
        <v>0</v>
      </c>
      <c r="N838" s="21" t="n">
        <v>0.02</v>
      </c>
      <c r="O838" s="21" t="n">
        <v>-0.02</v>
      </c>
      <c r="P838" s="21" t="n">
        <v>0.01</v>
      </c>
      <c r="Q838" s="21" t="n">
        <v>0</v>
      </c>
      <c r="R838" s="18" t="n">
        <f aca="false">ABS(D838)+MAX(ABS(G838),ABS(H838))+MAX(ABS(I838),ABS(J838))</f>
        <v>0.02</v>
      </c>
      <c r="S838" s="18" t="n">
        <f aca="false">ABS(K838)+MAX(ABS(N838),ABS(O838))+MAX(ABS(P838),ABS(Q838))</f>
        <v>0.03</v>
      </c>
      <c r="T838" s="18" t="n">
        <f aca="false">MAX(ABS(E838),ABS(F838))</f>
        <v>0</v>
      </c>
      <c r="U838" s="18" t="n">
        <f aca="false">MAX(ABS(L838),ABS(M838))</f>
        <v>0</v>
      </c>
    </row>
    <row r="839" customFormat="false" ht="15" hidden="false" customHeight="false" outlineLevel="0" collapsed="false">
      <c r="A839" s="4" t="n">
        <v>391</v>
      </c>
      <c r="B839" s="4" t="n">
        <v>179</v>
      </c>
      <c r="C839" s="18" t="n">
        <v>1</v>
      </c>
      <c r="D839" s="21" t="n">
        <v>0</v>
      </c>
      <c r="E839" s="21" t="n">
        <v>0</v>
      </c>
      <c r="F839" s="21" t="n">
        <v>0</v>
      </c>
      <c r="G839" s="21" t="n">
        <v>0.02</v>
      </c>
      <c r="H839" s="21" t="n">
        <v>-0.02</v>
      </c>
      <c r="I839" s="21" t="n">
        <v>0.01</v>
      </c>
      <c r="J839" s="21" t="n">
        <v>-0.01</v>
      </c>
      <c r="K839" s="21" t="n">
        <v>0</v>
      </c>
      <c r="L839" s="21" t="n">
        <v>0</v>
      </c>
      <c r="M839" s="21" t="n">
        <v>0</v>
      </c>
      <c r="N839" s="21" t="n">
        <v>0.02</v>
      </c>
      <c r="O839" s="21" t="n">
        <v>-0.02</v>
      </c>
      <c r="P839" s="21" t="n">
        <v>0.01</v>
      </c>
      <c r="Q839" s="21" t="n">
        <v>-0.01</v>
      </c>
      <c r="R839" s="18" t="n">
        <f aca="false">ABS(D839)+MAX(ABS(G839),ABS(H839))+MAX(ABS(I839),ABS(J839))</f>
        <v>0.03</v>
      </c>
      <c r="S839" s="18" t="n">
        <f aca="false">ABS(K839)+MAX(ABS(N839),ABS(O839))+MAX(ABS(P839),ABS(Q839))</f>
        <v>0.03</v>
      </c>
      <c r="T839" s="18" t="n">
        <f aca="false">MAX(ABS(E839),ABS(F839))</f>
        <v>0</v>
      </c>
      <c r="U839" s="18" t="n">
        <f aca="false">MAX(ABS(L839),ABS(M839))</f>
        <v>0</v>
      </c>
    </row>
    <row r="840" customFormat="false" ht="15" hidden="false" customHeight="false" outlineLevel="0" collapsed="false">
      <c r="A840" s="4" t="n">
        <v>392</v>
      </c>
      <c r="B840" s="4" t="n">
        <v>180</v>
      </c>
      <c r="C840" s="18" t="n">
        <v>0</v>
      </c>
      <c r="D840" s="21" t="n">
        <v>-0.01</v>
      </c>
      <c r="E840" s="21" t="n">
        <v>0</v>
      </c>
      <c r="F840" s="21" t="n">
        <v>0</v>
      </c>
      <c r="G840" s="21" t="n">
        <v>0.02</v>
      </c>
      <c r="H840" s="21" t="n">
        <v>-0.02</v>
      </c>
      <c r="I840" s="21" t="n">
        <v>0.01</v>
      </c>
      <c r="J840" s="21" t="n">
        <v>0</v>
      </c>
      <c r="K840" s="21" t="n">
        <v>-0.01</v>
      </c>
      <c r="L840" s="21" t="n">
        <v>0</v>
      </c>
      <c r="M840" s="21" t="n">
        <v>0</v>
      </c>
      <c r="N840" s="21" t="n">
        <v>0.02</v>
      </c>
      <c r="O840" s="21" t="n">
        <v>-0.02</v>
      </c>
      <c r="P840" s="21" t="n">
        <v>0.01</v>
      </c>
      <c r="Q840" s="21" t="n">
        <v>0</v>
      </c>
      <c r="R840" s="18" t="n">
        <f aca="false">ABS(D840)+MAX(ABS(G840),ABS(H840))+MAX(ABS(I840),ABS(J840))</f>
        <v>0.04</v>
      </c>
      <c r="S840" s="18" t="n">
        <f aca="false">ABS(K840)+MAX(ABS(N840),ABS(O840))+MAX(ABS(P840),ABS(Q840))</f>
        <v>0.04</v>
      </c>
      <c r="T840" s="18" t="n">
        <f aca="false">MAX(ABS(E840),ABS(F840))</f>
        <v>0</v>
      </c>
      <c r="U840" s="18" t="n">
        <f aca="false">MAX(ABS(L840),ABS(M840))</f>
        <v>0</v>
      </c>
    </row>
    <row r="841" customFormat="false" ht="15" hidden="false" customHeight="false" outlineLevel="0" collapsed="false">
      <c r="A841" s="4" t="n">
        <v>392</v>
      </c>
      <c r="B841" s="4" t="n">
        <v>180</v>
      </c>
      <c r="C841" s="18" t="n">
        <v>0.25</v>
      </c>
      <c r="D841" s="21" t="n">
        <v>-0.01</v>
      </c>
      <c r="E841" s="21" t="n">
        <v>0</v>
      </c>
      <c r="F841" s="21" t="n">
        <v>0</v>
      </c>
      <c r="G841" s="21" t="n">
        <v>0</v>
      </c>
      <c r="H841" s="21" t="n">
        <v>0</v>
      </c>
      <c r="I841" s="21" t="n">
        <v>0</v>
      </c>
      <c r="J841" s="21" t="n">
        <v>0</v>
      </c>
      <c r="K841" s="21" t="n">
        <v>-0.01</v>
      </c>
      <c r="L841" s="21" t="n">
        <v>0</v>
      </c>
      <c r="M841" s="21" t="n">
        <v>0</v>
      </c>
      <c r="N841" s="21" t="n">
        <v>0</v>
      </c>
      <c r="O841" s="21" t="n">
        <v>0</v>
      </c>
      <c r="P841" s="21" t="n">
        <v>0</v>
      </c>
      <c r="Q841" s="21" t="n">
        <v>0</v>
      </c>
      <c r="R841" s="18" t="n">
        <f aca="false">ABS(D841)+MAX(ABS(G841),ABS(H841))+MAX(ABS(I841),ABS(J841))</f>
        <v>0.01</v>
      </c>
      <c r="S841" s="18" t="n">
        <f aca="false">ABS(K841)+MAX(ABS(N841),ABS(O841))+MAX(ABS(P841),ABS(Q841))</f>
        <v>0.01</v>
      </c>
      <c r="T841" s="18" t="n">
        <f aca="false">MAX(ABS(E841),ABS(F841))</f>
        <v>0</v>
      </c>
      <c r="U841" s="18" t="n">
        <f aca="false">MAX(ABS(L841),ABS(M841))</f>
        <v>0</v>
      </c>
    </row>
    <row r="842" customFormat="false" ht="15" hidden="false" customHeight="false" outlineLevel="0" collapsed="false">
      <c r="A842" s="4" t="n">
        <v>392</v>
      </c>
      <c r="B842" s="4" t="n">
        <v>180</v>
      </c>
      <c r="C842" s="18" t="n">
        <v>0.5</v>
      </c>
      <c r="D842" s="21" t="n">
        <v>-0.01</v>
      </c>
      <c r="E842" s="21" t="n">
        <v>0</v>
      </c>
      <c r="F842" s="21" t="n">
        <v>0</v>
      </c>
      <c r="G842" s="21" t="n">
        <v>-0.01</v>
      </c>
      <c r="H842" s="21" t="n">
        <v>0.01</v>
      </c>
      <c r="I842" s="21" t="n">
        <v>0</v>
      </c>
      <c r="J842" s="21" t="n">
        <v>0</v>
      </c>
      <c r="K842" s="21" t="n">
        <v>-0.01</v>
      </c>
      <c r="L842" s="21" t="n">
        <v>0</v>
      </c>
      <c r="M842" s="21" t="n">
        <v>0</v>
      </c>
      <c r="N842" s="21" t="n">
        <v>-0.01</v>
      </c>
      <c r="O842" s="21" t="n">
        <v>0.01</v>
      </c>
      <c r="P842" s="21" t="n">
        <v>0</v>
      </c>
      <c r="Q842" s="21" t="n">
        <v>0</v>
      </c>
      <c r="R842" s="18" t="n">
        <f aca="false">ABS(D842)+MAX(ABS(G842),ABS(H842))+MAX(ABS(I842),ABS(J842))</f>
        <v>0.02</v>
      </c>
      <c r="S842" s="18" t="n">
        <f aca="false">ABS(K842)+MAX(ABS(N842),ABS(O842))+MAX(ABS(P842),ABS(Q842))</f>
        <v>0.02</v>
      </c>
      <c r="T842" s="18" t="n">
        <f aca="false">MAX(ABS(E842),ABS(F842))</f>
        <v>0</v>
      </c>
      <c r="U842" s="18" t="n">
        <f aca="false">MAX(ABS(L842),ABS(M842))</f>
        <v>0</v>
      </c>
    </row>
    <row r="843" customFormat="false" ht="15" hidden="false" customHeight="false" outlineLevel="0" collapsed="false">
      <c r="A843" s="4" t="n">
        <v>392</v>
      </c>
      <c r="B843" s="4" t="n">
        <v>180</v>
      </c>
      <c r="C843" s="18" t="n">
        <v>0.75</v>
      </c>
      <c r="D843" s="21" t="n">
        <v>-0.01</v>
      </c>
      <c r="E843" s="21" t="n">
        <v>0</v>
      </c>
      <c r="F843" s="21" t="n">
        <v>0</v>
      </c>
      <c r="G843" s="21" t="n">
        <v>-0.02</v>
      </c>
      <c r="H843" s="21" t="n">
        <v>0.02</v>
      </c>
      <c r="I843" s="21" t="n">
        <v>-0.01</v>
      </c>
      <c r="J843" s="21" t="n">
        <v>0</v>
      </c>
      <c r="K843" s="21" t="n">
        <v>-0.01</v>
      </c>
      <c r="L843" s="21" t="n">
        <v>0</v>
      </c>
      <c r="M843" s="21" t="n">
        <v>0</v>
      </c>
      <c r="N843" s="21" t="n">
        <v>-0.02</v>
      </c>
      <c r="O843" s="21" t="n">
        <v>0.02</v>
      </c>
      <c r="P843" s="21" t="n">
        <v>-0.01</v>
      </c>
      <c r="Q843" s="21" t="n">
        <v>0</v>
      </c>
      <c r="R843" s="18" t="n">
        <f aca="false">ABS(D843)+MAX(ABS(G843),ABS(H843))+MAX(ABS(I843),ABS(J843))</f>
        <v>0.04</v>
      </c>
      <c r="S843" s="18" t="n">
        <f aca="false">ABS(K843)+MAX(ABS(N843),ABS(O843))+MAX(ABS(P843),ABS(Q843))</f>
        <v>0.04</v>
      </c>
      <c r="T843" s="18" t="n">
        <f aca="false">MAX(ABS(E843),ABS(F843))</f>
        <v>0</v>
      </c>
      <c r="U843" s="18" t="n">
        <f aca="false">MAX(ABS(L843),ABS(M843))</f>
        <v>0</v>
      </c>
    </row>
    <row r="844" customFormat="false" ht="15" hidden="false" customHeight="false" outlineLevel="0" collapsed="false">
      <c r="A844" s="4" t="n">
        <v>392</v>
      </c>
      <c r="B844" s="4" t="n">
        <v>180</v>
      </c>
      <c r="C844" s="18" t="n">
        <v>1</v>
      </c>
      <c r="D844" s="21" t="n">
        <v>-0.01</v>
      </c>
      <c r="E844" s="21" t="n">
        <v>0</v>
      </c>
      <c r="F844" s="21" t="n">
        <v>0</v>
      </c>
      <c r="G844" s="21" t="n">
        <v>-0.04</v>
      </c>
      <c r="H844" s="21" t="n">
        <v>0.04</v>
      </c>
      <c r="I844" s="21" t="n">
        <v>-0.01</v>
      </c>
      <c r="J844" s="21" t="n">
        <v>0.01</v>
      </c>
      <c r="K844" s="21" t="n">
        <v>-0.01</v>
      </c>
      <c r="L844" s="21" t="n">
        <v>0</v>
      </c>
      <c r="M844" s="21" t="n">
        <v>0</v>
      </c>
      <c r="N844" s="21" t="n">
        <v>-0.04</v>
      </c>
      <c r="O844" s="21" t="n">
        <v>0.04</v>
      </c>
      <c r="P844" s="21" t="n">
        <v>-0.01</v>
      </c>
      <c r="Q844" s="21" t="n">
        <v>0.01</v>
      </c>
      <c r="R844" s="18" t="n">
        <f aca="false">ABS(D844)+MAX(ABS(G844),ABS(H844))+MAX(ABS(I844),ABS(J844))</f>
        <v>0.06</v>
      </c>
      <c r="S844" s="18" t="n">
        <f aca="false">ABS(K844)+MAX(ABS(N844),ABS(O844))+MAX(ABS(P844),ABS(Q844))</f>
        <v>0.06</v>
      </c>
      <c r="T844" s="18" t="n">
        <f aca="false">MAX(ABS(E844),ABS(F844))</f>
        <v>0</v>
      </c>
      <c r="U844" s="18" t="n">
        <f aca="false">MAX(ABS(L844),ABS(M844))</f>
        <v>0</v>
      </c>
    </row>
    <row r="845" customFormat="false" ht="15" hidden="false" customHeight="false" outlineLevel="0" collapsed="false">
      <c r="A845" s="4" t="n">
        <v>393</v>
      </c>
      <c r="B845" s="4" t="n">
        <v>181</v>
      </c>
      <c r="C845" s="18" t="n">
        <v>0</v>
      </c>
      <c r="D845" s="21" t="n">
        <v>-0.01</v>
      </c>
      <c r="E845" s="21" t="n">
        <v>0</v>
      </c>
      <c r="F845" s="21" t="n">
        <v>0</v>
      </c>
      <c r="G845" s="21" t="n">
        <v>-0.02</v>
      </c>
      <c r="H845" s="21" t="n">
        <v>0.02</v>
      </c>
      <c r="I845" s="21" t="n">
        <v>-0.01</v>
      </c>
      <c r="J845" s="21" t="n">
        <v>0</v>
      </c>
      <c r="K845" s="21" t="n">
        <v>-0.01</v>
      </c>
      <c r="L845" s="21" t="n">
        <v>0</v>
      </c>
      <c r="M845" s="21" t="n">
        <v>0</v>
      </c>
      <c r="N845" s="21" t="n">
        <v>-0.02</v>
      </c>
      <c r="O845" s="21" t="n">
        <v>0.02</v>
      </c>
      <c r="P845" s="21" t="n">
        <v>-0.01</v>
      </c>
      <c r="Q845" s="21" t="n">
        <v>0</v>
      </c>
      <c r="R845" s="18" t="n">
        <f aca="false">ABS(D845)+MAX(ABS(G845),ABS(H845))+MAX(ABS(I845),ABS(J845))</f>
        <v>0.04</v>
      </c>
      <c r="S845" s="18" t="n">
        <f aca="false">ABS(K845)+MAX(ABS(N845),ABS(O845))+MAX(ABS(P845),ABS(Q845))</f>
        <v>0.04</v>
      </c>
      <c r="T845" s="18" t="n">
        <f aca="false">MAX(ABS(E845),ABS(F845))</f>
        <v>0</v>
      </c>
      <c r="U845" s="18" t="n">
        <f aca="false">MAX(ABS(L845),ABS(M845))</f>
        <v>0</v>
      </c>
    </row>
    <row r="846" customFormat="false" ht="15" hidden="false" customHeight="false" outlineLevel="0" collapsed="false">
      <c r="A846" s="4" t="n">
        <v>393</v>
      </c>
      <c r="B846" s="4" t="n">
        <v>181</v>
      </c>
      <c r="C846" s="18" t="n">
        <v>0.25</v>
      </c>
      <c r="D846" s="21" t="n">
        <v>-0.01</v>
      </c>
      <c r="E846" s="21" t="n">
        <v>0</v>
      </c>
      <c r="F846" s="21" t="n">
        <v>0</v>
      </c>
      <c r="G846" s="21" t="n">
        <v>0</v>
      </c>
      <c r="H846" s="21" t="n">
        <v>0</v>
      </c>
      <c r="I846" s="21" t="n">
        <v>0</v>
      </c>
      <c r="J846" s="21" t="n">
        <v>0</v>
      </c>
      <c r="K846" s="21" t="n">
        <v>-0.01</v>
      </c>
      <c r="L846" s="21" t="n">
        <v>0</v>
      </c>
      <c r="M846" s="21" t="n">
        <v>0</v>
      </c>
      <c r="N846" s="21" t="n">
        <v>0</v>
      </c>
      <c r="O846" s="21" t="n">
        <v>0</v>
      </c>
      <c r="P846" s="21" t="n">
        <v>0</v>
      </c>
      <c r="Q846" s="21" t="n">
        <v>0</v>
      </c>
      <c r="R846" s="18" t="n">
        <f aca="false">ABS(D846)+MAX(ABS(G846),ABS(H846))+MAX(ABS(I846),ABS(J846))</f>
        <v>0.01</v>
      </c>
      <c r="S846" s="18" t="n">
        <f aca="false">ABS(K846)+MAX(ABS(N846),ABS(O846))+MAX(ABS(P846),ABS(Q846))</f>
        <v>0.01</v>
      </c>
      <c r="T846" s="18" t="n">
        <f aca="false">MAX(ABS(E846),ABS(F846))</f>
        <v>0</v>
      </c>
      <c r="U846" s="18" t="n">
        <f aca="false">MAX(ABS(L846),ABS(M846))</f>
        <v>0</v>
      </c>
    </row>
    <row r="847" customFormat="false" ht="15" hidden="false" customHeight="false" outlineLevel="0" collapsed="false">
      <c r="A847" s="4" t="n">
        <v>393</v>
      </c>
      <c r="B847" s="4" t="n">
        <v>181</v>
      </c>
      <c r="C847" s="18" t="n">
        <v>0.5</v>
      </c>
      <c r="D847" s="21" t="n">
        <v>-0.01</v>
      </c>
      <c r="E847" s="21" t="n">
        <v>0</v>
      </c>
      <c r="F847" s="21" t="n">
        <v>0</v>
      </c>
      <c r="G847" s="21" t="n">
        <v>0.01</v>
      </c>
      <c r="H847" s="21" t="n">
        <v>-0.01</v>
      </c>
      <c r="I847" s="21" t="n">
        <v>0</v>
      </c>
      <c r="J847" s="21" t="n">
        <v>0</v>
      </c>
      <c r="K847" s="21" t="n">
        <v>-0.01</v>
      </c>
      <c r="L847" s="21" t="n">
        <v>0</v>
      </c>
      <c r="M847" s="21" t="n">
        <v>0</v>
      </c>
      <c r="N847" s="21" t="n">
        <v>0.01</v>
      </c>
      <c r="O847" s="21" t="n">
        <v>-0.01</v>
      </c>
      <c r="P847" s="21" t="n">
        <v>0</v>
      </c>
      <c r="Q847" s="21" t="n">
        <v>0</v>
      </c>
      <c r="R847" s="18" t="n">
        <f aca="false">ABS(D847)+MAX(ABS(G847),ABS(H847))+MAX(ABS(I847),ABS(J847))</f>
        <v>0.02</v>
      </c>
      <c r="S847" s="18" t="n">
        <f aca="false">ABS(K847)+MAX(ABS(N847),ABS(O847))+MAX(ABS(P847),ABS(Q847))</f>
        <v>0.02</v>
      </c>
      <c r="T847" s="18" t="n">
        <f aca="false">MAX(ABS(E847),ABS(F847))</f>
        <v>0</v>
      </c>
      <c r="U847" s="18" t="n">
        <f aca="false">MAX(ABS(L847),ABS(M847))</f>
        <v>0</v>
      </c>
    </row>
    <row r="848" customFormat="false" ht="15" hidden="false" customHeight="false" outlineLevel="0" collapsed="false">
      <c r="A848" s="4" t="n">
        <v>393</v>
      </c>
      <c r="B848" s="4" t="n">
        <v>181</v>
      </c>
      <c r="C848" s="18" t="n">
        <v>0.75</v>
      </c>
      <c r="D848" s="21" t="n">
        <v>-0.01</v>
      </c>
      <c r="E848" s="21" t="n">
        <v>0</v>
      </c>
      <c r="F848" s="21" t="n">
        <v>0</v>
      </c>
      <c r="G848" s="21" t="n">
        <v>0.03</v>
      </c>
      <c r="H848" s="21" t="n">
        <v>-0.03</v>
      </c>
      <c r="I848" s="21" t="n">
        <v>0.01</v>
      </c>
      <c r="J848" s="21" t="n">
        <v>0</v>
      </c>
      <c r="K848" s="21" t="n">
        <v>-0.01</v>
      </c>
      <c r="L848" s="21" t="n">
        <v>0</v>
      </c>
      <c r="M848" s="21" t="n">
        <v>0</v>
      </c>
      <c r="N848" s="21" t="n">
        <v>0.03</v>
      </c>
      <c r="O848" s="21" t="n">
        <v>-0.03</v>
      </c>
      <c r="P848" s="21" t="n">
        <v>0</v>
      </c>
      <c r="Q848" s="21" t="n">
        <v>0</v>
      </c>
      <c r="R848" s="18" t="n">
        <f aca="false">ABS(D848)+MAX(ABS(G848),ABS(H848))+MAX(ABS(I848),ABS(J848))</f>
        <v>0.05</v>
      </c>
      <c r="S848" s="18" t="n">
        <f aca="false">ABS(K848)+MAX(ABS(N848),ABS(O848))+MAX(ABS(P848),ABS(Q848))</f>
        <v>0.04</v>
      </c>
      <c r="T848" s="18" t="n">
        <f aca="false">MAX(ABS(E848),ABS(F848))</f>
        <v>0</v>
      </c>
      <c r="U848" s="18" t="n">
        <f aca="false">MAX(ABS(L848),ABS(M848))</f>
        <v>0</v>
      </c>
    </row>
    <row r="849" customFormat="false" ht="15" hidden="false" customHeight="false" outlineLevel="0" collapsed="false">
      <c r="A849" s="4" t="n">
        <v>393</v>
      </c>
      <c r="B849" s="4" t="n">
        <v>181</v>
      </c>
      <c r="C849" s="18" t="n">
        <v>1</v>
      </c>
      <c r="D849" s="21" t="n">
        <v>-0.01</v>
      </c>
      <c r="E849" s="21" t="n">
        <v>0</v>
      </c>
      <c r="F849" s="21" t="n">
        <v>0</v>
      </c>
      <c r="G849" s="21" t="n">
        <v>0.04</v>
      </c>
      <c r="H849" s="21" t="n">
        <v>-0.04</v>
      </c>
      <c r="I849" s="21" t="n">
        <v>0.01</v>
      </c>
      <c r="J849" s="21" t="n">
        <v>0</v>
      </c>
      <c r="K849" s="21" t="n">
        <v>-0.01</v>
      </c>
      <c r="L849" s="21" t="n">
        <v>0</v>
      </c>
      <c r="M849" s="21" t="n">
        <v>0</v>
      </c>
      <c r="N849" s="21" t="n">
        <v>0.04</v>
      </c>
      <c r="O849" s="21" t="n">
        <v>-0.04</v>
      </c>
      <c r="P849" s="21" t="n">
        <v>0.01</v>
      </c>
      <c r="Q849" s="21" t="n">
        <v>0</v>
      </c>
      <c r="R849" s="18" t="n">
        <f aca="false">ABS(D849)+MAX(ABS(G849),ABS(H849))+MAX(ABS(I849),ABS(J849))</f>
        <v>0.06</v>
      </c>
      <c r="S849" s="18" t="n">
        <f aca="false">ABS(K849)+MAX(ABS(N849),ABS(O849))+MAX(ABS(P849),ABS(Q849))</f>
        <v>0.06</v>
      </c>
      <c r="T849" s="18" t="n">
        <f aca="false">MAX(ABS(E849),ABS(F849))</f>
        <v>0</v>
      </c>
      <c r="U849" s="18" t="n">
        <f aca="false">MAX(ABS(L849),ABS(M849))</f>
        <v>0</v>
      </c>
    </row>
    <row r="850" customFormat="false" ht="15" hidden="false" customHeight="false" outlineLevel="0" collapsed="false">
      <c r="A850" s="4" t="n">
        <v>394</v>
      </c>
      <c r="B850" s="4" t="n">
        <v>182</v>
      </c>
      <c r="C850" s="18" t="n">
        <v>0</v>
      </c>
      <c r="D850" s="21" t="n">
        <v>-0.01</v>
      </c>
      <c r="E850" s="21" t="n">
        <v>0.01</v>
      </c>
      <c r="F850" s="21" t="n">
        <v>0</v>
      </c>
      <c r="G850" s="21" t="n">
        <v>0.02</v>
      </c>
      <c r="H850" s="21" t="n">
        <v>-0.02</v>
      </c>
      <c r="I850" s="21" t="n">
        <v>-0.01</v>
      </c>
      <c r="J850" s="21" t="n">
        <v>0</v>
      </c>
      <c r="K850" s="21" t="n">
        <v>-0.02</v>
      </c>
      <c r="L850" s="21" t="n">
        <v>0.01</v>
      </c>
      <c r="M850" s="21" t="n">
        <v>0</v>
      </c>
      <c r="N850" s="21" t="n">
        <v>0.02</v>
      </c>
      <c r="O850" s="21" t="n">
        <v>-0.02</v>
      </c>
      <c r="P850" s="21" t="n">
        <v>-0.01</v>
      </c>
      <c r="Q850" s="21" t="n">
        <v>0</v>
      </c>
      <c r="R850" s="18" t="n">
        <f aca="false">ABS(D850)+MAX(ABS(G850),ABS(H850))+MAX(ABS(I850),ABS(J850))</f>
        <v>0.04</v>
      </c>
      <c r="S850" s="18" t="n">
        <f aca="false">ABS(K850)+MAX(ABS(N850),ABS(O850))+MAX(ABS(P850),ABS(Q850))</f>
        <v>0.05</v>
      </c>
      <c r="T850" s="18" t="n">
        <f aca="false">MAX(ABS(E850),ABS(F850))</f>
        <v>0.01</v>
      </c>
      <c r="U850" s="18" t="n">
        <f aca="false">MAX(ABS(L850),ABS(M850))</f>
        <v>0.01</v>
      </c>
    </row>
    <row r="851" customFormat="false" ht="15" hidden="false" customHeight="false" outlineLevel="0" collapsed="false">
      <c r="A851" s="4" t="n">
        <v>394</v>
      </c>
      <c r="B851" s="4" t="n">
        <v>182</v>
      </c>
      <c r="C851" s="18" t="n">
        <v>0.25</v>
      </c>
      <c r="D851" s="21" t="n">
        <v>-0.01</v>
      </c>
      <c r="E851" s="21" t="n">
        <v>0.01</v>
      </c>
      <c r="F851" s="21" t="n">
        <v>0</v>
      </c>
      <c r="G851" s="21" t="n">
        <v>0</v>
      </c>
      <c r="H851" s="21" t="n">
        <v>0</v>
      </c>
      <c r="I851" s="21" t="n">
        <v>0</v>
      </c>
      <c r="J851" s="21" t="n">
        <v>0</v>
      </c>
      <c r="K851" s="21" t="n">
        <v>-0.02</v>
      </c>
      <c r="L851" s="21" t="n">
        <v>0.01</v>
      </c>
      <c r="M851" s="21" t="n">
        <v>0</v>
      </c>
      <c r="N851" s="21" t="n">
        <v>0</v>
      </c>
      <c r="O851" s="21" t="n">
        <v>0</v>
      </c>
      <c r="P851" s="21" t="n">
        <v>0</v>
      </c>
      <c r="Q851" s="21" t="n">
        <v>0</v>
      </c>
      <c r="R851" s="18" t="n">
        <f aca="false">ABS(D851)+MAX(ABS(G851),ABS(H851))+MAX(ABS(I851),ABS(J851))</f>
        <v>0.01</v>
      </c>
      <c r="S851" s="18" t="n">
        <f aca="false">ABS(K851)+MAX(ABS(N851),ABS(O851))+MAX(ABS(P851),ABS(Q851))</f>
        <v>0.02</v>
      </c>
      <c r="T851" s="18" t="n">
        <f aca="false">MAX(ABS(E851),ABS(F851))</f>
        <v>0.01</v>
      </c>
      <c r="U851" s="18" t="n">
        <f aca="false">MAX(ABS(L851),ABS(M851))</f>
        <v>0.01</v>
      </c>
    </row>
    <row r="852" customFormat="false" ht="15" hidden="false" customHeight="false" outlineLevel="0" collapsed="false">
      <c r="A852" s="4" t="n">
        <v>394</v>
      </c>
      <c r="B852" s="4" t="n">
        <v>182</v>
      </c>
      <c r="C852" s="18" t="n">
        <v>0.5</v>
      </c>
      <c r="D852" s="21" t="n">
        <v>-0.01</v>
      </c>
      <c r="E852" s="21" t="n">
        <v>0.01</v>
      </c>
      <c r="F852" s="21" t="n">
        <v>0</v>
      </c>
      <c r="G852" s="21" t="n">
        <v>-0.01</v>
      </c>
      <c r="H852" s="21" t="n">
        <v>0.01</v>
      </c>
      <c r="I852" s="21" t="n">
        <v>0</v>
      </c>
      <c r="J852" s="21" t="n">
        <v>0</v>
      </c>
      <c r="K852" s="21" t="n">
        <v>-0.02</v>
      </c>
      <c r="L852" s="21" t="n">
        <v>0.01</v>
      </c>
      <c r="M852" s="21" t="n">
        <v>0</v>
      </c>
      <c r="N852" s="21" t="n">
        <v>-0.01</v>
      </c>
      <c r="O852" s="21" t="n">
        <v>0.01</v>
      </c>
      <c r="P852" s="21" t="n">
        <v>0</v>
      </c>
      <c r="Q852" s="21" t="n">
        <v>0</v>
      </c>
      <c r="R852" s="18" t="n">
        <f aca="false">ABS(D852)+MAX(ABS(G852),ABS(H852))+MAX(ABS(I852),ABS(J852))</f>
        <v>0.02</v>
      </c>
      <c r="S852" s="18" t="n">
        <f aca="false">ABS(K852)+MAX(ABS(N852),ABS(O852))+MAX(ABS(P852),ABS(Q852))</f>
        <v>0.03</v>
      </c>
      <c r="T852" s="18" t="n">
        <f aca="false">MAX(ABS(E852),ABS(F852))</f>
        <v>0.01</v>
      </c>
      <c r="U852" s="18" t="n">
        <f aca="false">MAX(ABS(L852),ABS(M852))</f>
        <v>0.01</v>
      </c>
    </row>
    <row r="853" customFormat="false" ht="15" hidden="false" customHeight="false" outlineLevel="0" collapsed="false">
      <c r="A853" s="4" t="n">
        <v>394</v>
      </c>
      <c r="B853" s="4" t="n">
        <v>182</v>
      </c>
      <c r="C853" s="18" t="n">
        <v>0.75</v>
      </c>
      <c r="D853" s="21" t="n">
        <v>-0.01</v>
      </c>
      <c r="E853" s="21" t="n">
        <v>0.01</v>
      </c>
      <c r="F853" s="21" t="n">
        <v>0</v>
      </c>
      <c r="G853" s="21" t="n">
        <v>-0.03</v>
      </c>
      <c r="H853" s="21" t="n">
        <v>0.03</v>
      </c>
      <c r="I853" s="21" t="n">
        <v>0.01</v>
      </c>
      <c r="J853" s="21" t="n">
        <v>0</v>
      </c>
      <c r="K853" s="21" t="n">
        <v>-0.02</v>
      </c>
      <c r="L853" s="21" t="n">
        <v>0.01</v>
      </c>
      <c r="M853" s="21" t="n">
        <v>0</v>
      </c>
      <c r="N853" s="21" t="n">
        <v>-0.03</v>
      </c>
      <c r="O853" s="21" t="n">
        <v>0.03</v>
      </c>
      <c r="P853" s="21" t="n">
        <v>0.01</v>
      </c>
      <c r="Q853" s="21" t="n">
        <v>0</v>
      </c>
      <c r="R853" s="18" t="n">
        <f aca="false">ABS(D853)+MAX(ABS(G853),ABS(H853))+MAX(ABS(I853),ABS(J853))</f>
        <v>0.05</v>
      </c>
      <c r="S853" s="18" t="n">
        <f aca="false">ABS(K853)+MAX(ABS(N853),ABS(O853))+MAX(ABS(P853),ABS(Q853))</f>
        <v>0.06</v>
      </c>
      <c r="T853" s="18" t="n">
        <f aca="false">MAX(ABS(E853),ABS(F853))</f>
        <v>0.01</v>
      </c>
      <c r="U853" s="18" t="n">
        <f aca="false">MAX(ABS(L853),ABS(M853))</f>
        <v>0.01</v>
      </c>
    </row>
    <row r="854" customFormat="false" ht="15" hidden="false" customHeight="false" outlineLevel="0" collapsed="false">
      <c r="A854" s="4" t="n">
        <v>394</v>
      </c>
      <c r="B854" s="4" t="n">
        <v>182</v>
      </c>
      <c r="C854" s="18" t="n">
        <v>1</v>
      </c>
      <c r="D854" s="21" t="n">
        <v>-0.01</v>
      </c>
      <c r="E854" s="21" t="n">
        <v>0.01</v>
      </c>
      <c r="F854" s="21" t="n">
        <v>0</v>
      </c>
      <c r="G854" s="21" t="n">
        <v>-0.04</v>
      </c>
      <c r="H854" s="21" t="n">
        <v>0.04</v>
      </c>
      <c r="I854" s="21" t="n">
        <v>0.01</v>
      </c>
      <c r="J854" s="21" t="n">
        <v>0</v>
      </c>
      <c r="K854" s="21" t="n">
        <v>-0.02</v>
      </c>
      <c r="L854" s="21" t="n">
        <v>0.01</v>
      </c>
      <c r="M854" s="21" t="n">
        <v>0</v>
      </c>
      <c r="N854" s="21" t="n">
        <v>-0.04</v>
      </c>
      <c r="O854" s="21" t="n">
        <v>0.04</v>
      </c>
      <c r="P854" s="21" t="n">
        <v>0.01</v>
      </c>
      <c r="Q854" s="21" t="n">
        <v>0</v>
      </c>
      <c r="R854" s="18" t="n">
        <f aca="false">ABS(D854)+MAX(ABS(G854),ABS(H854))+MAX(ABS(I854),ABS(J854))</f>
        <v>0.06</v>
      </c>
      <c r="S854" s="18" t="n">
        <f aca="false">ABS(K854)+MAX(ABS(N854),ABS(O854))+MAX(ABS(P854),ABS(Q854))</f>
        <v>0.07</v>
      </c>
      <c r="T854" s="18" t="n">
        <f aca="false">MAX(ABS(E854),ABS(F854))</f>
        <v>0.01</v>
      </c>
      <c r="U854" s="18" t="n">
        <f aca="false">MAX(ABS(L854),ABS(M854))</f>
        <v>0.01</v>
      </c>
    </row>
    <row r="855" customFormat="false" ht="15" hidden="false" customHeight="false" outlineLevel="0" collapsed="false">
      <c r="A855" s="4" t="n">
        <v>395</v>
      </c>
      <c r="B855" s="4" t="n">
        <v>183</v>
      </c>
      <c r="C855" s="18" t="n">
        <v>0</v>
      </c>
      <c r="D855" s="21" t="n">
        <v>-0.01</v>
      </c>
      <c r="E855" s="21" t="n">
        <v>0</v>
      </c>
      <c r="F855" s="21" t="n">
        <v>0</v>
      </c>
      <c r="G855" s="21" t="n">
        <v>-0.01</v>
      </c>
      <c r="H855" s="21" t="n">
        <v>0.01</v>
      </c>
      <c r="I855" s="21" t="n">
        <v>0.01</v>
      </c>
      <c r="J855" s="21" t="n">
        <v>0</v>
      </c>
      <c r="K855" s="21" t="n">
        <v>-0.01</v>
      </c>
      <c r="L855" s="21" t="n">
        <v>0</v>
      </c>
      <c r="M855" s="21" t="n">
        <v>0</v>
      </c>
      <c r="N855" s="21" t="n">
        <v>-0.01</v>
      </c>
      <c r="O855" s="21" t="n">
        <v>0.01</v>
      </c>
      <c r="P855" s="21" t="n">
        <v>0.01</v>
      </c>
      <c r="Q855" s="21" t="n">
        <v>0</v>
      </c>
      <c r="R855" s="18" t="n">
        <f aca="false">ABS(D855)+MAX(ABS(G855),ABS(H855))+MAX(ABS(I855),ABS(J855))</f>
        <v>0.03</v>
      </c>
      <c r="S855" s="18" t="n">
        <f aca="false">ABS(K855)+MAX(ABS(N855),ABS(O855))+MAX(ABS(P855),ABS(Q855))</f>
        <v>0.03</v>
      </c>
      <c r="T855" s="18" t="n">
        <f aca="false">MAX(ABS(E855),ABS(F855))</f>
        <v>0</v>
      </c>
      <c r="U855" s="18" t="n">
        <f aca="false">MAX(ABS(L855),ABS(M855))</f>
        <v>0</v>
      </c>
    </row>
    <row r="856" customFormat="false" ht="15" hidden="false" customHeight="false" outlineLevel="0" collapsed="false">
      <c r="A856" s="4" t="n">
        <v>395</v>
      </c>
      <c r="B856" s="4" t="n">
        <v>183</v>
      </c>
      <c r="C856" s="18" t="n">
        <v>0.25</v>
      </c>
      <c r="D856" s="21" t="n">
        <v>-0.01</v>
      </c>
      <c r="E856" s="21" t="n">
        <v>0</v>
      </c>
      <c r="F856" s="21" t="n">
        <v>0</v>
      </c>
      <c r="G856" s="21" t="n">
        <v>0</v>
      </c>
      <c r="H856" s="21" t="n">
        <v>0</v>
      </c>
      <c r="I856" s="21" t="n">
        <v>0</v>
      </c>
      <c r="J856" s="21" t="n">
        <v>0</v>
      </c>
      <c r="K856" s="21" t="n">
        <v>-0.01</v>
      </c>
      <c r="L856" s="21" t="n">
        <v>0</v>
      </c>
      <c r="M856" s="21" t="n">
        <v>0</v>
      </c>
      <c r="N856" s="21" t="n">
        <v>0</v>
      </c>
      <c r="O856" s="21" t="n">
        <v>0</v>
      </c>
      <c r="P856" s="21" t="n">
        <v>0</v>
      </c>
      <c r="Q856" s="21" t="n">
        <v>0</v>
      </c>
      <c r="R856" s="18" t="n">
        <f aca="false">ABS(D856)+MAX(ABS(G856),ABS(H856))+MAX(ABS(I856),ABS(J856))</f>
        <v>0.01</v>
      </c>
      <c r="S856" s="18" t="n">
        <f aca="false">ABS(K856)+MAX(ABS(N856),ABS(O856))+MAX(ABS(P856),ABS(Q856))</f>
        <v>0.01</v>
      </c>
      <c r="T856" s="18" t="n">
        <f aca="false">MAX(ABS(E856),ABS(F856))</f>
        <v>0</v>
      </c>
      <c r="U856" s="18" t="n">
        <f aca="false">MAX(ABS(L856),ABS(M856))</f>
        <v>0</v>
      </c>
    </row>
    <row r="857" customFormat="false" ht="15" hidden="false" customHeight="false" outlineLevel="0" collapsed="false">
      <c r="A857" s="4" t="n">
        <v>395</v>
      </c>
      <c r="B857" s="4" t="n">
        <v>183</v>
      </c>
      <c r="C857" s="18" t="n">
        <v>0.5</v>
      </c>
      <c r="D857" s="21" t="n">
        <v>-0.01</v>
      </c>
      <c r="E857" s="21" t="n">
        <v>0</v>
      </c>
      <c r="F857" s="21" t="n">
        <v>0</v>
      </c>
      <c r="G857" s="21" t="n">
        <v>0.01</v>
      </c>
      <c r="H857" s="21" t="n">
        <v>-0.01</v>
      </c>
      <c r="I857" s="21" t="n">
        <v>0</v>
      </c>
      <c r="J857" s="21" t="n">
        <v>0</v>
      </c>
      <c r="K857" s="21" t="n">
        <v>-0.01</v>
      </c>
      <c r="L857" s="21" t="n">
        <v>0</v>
      </c>
      <c r="M857" s="21" t="n">
        <v>0</v>
      </c>
      <c r="N857" s="21" t="n">
        <v>0.01</v>
      </c>
      <c r="O857" s="21" t="n">
        <v>-0.01</v>
      </c>
      <c r="P857" s="21" t="n">
        <v>0</v>
      </c>
      <c r="Q857" s="21" t="n">
        <v>0</v>
      </c>
      <c r="R857" s="18" t="n">
        <f aca="false">ABS(D857)+MAX(ABS(G857),ABS(H857))+MAX(ABS(I857),ABS(J857))</f>
        <v>0.02</v>
      </c>
      <c r="S857" s="18" t="n">
        <f aca="false">ABS(K857)+MAX(ABS(N857),ABS(O857))+MAX(ABS(P857),ABS(Q857))</f>
        <v>0.02</v>
      </c>
      <c r="T857" s="18" t="n">
        <f aca="false">MAX(ABS(E857),ABS(F857))</f>
        <v>0</v>
      </c>
      <c r="U857" s="18" t="n">
        <f aca="false">MAX(ABS(L857),ABS(M857))</f>
        <v>0</v>
      </c>
    </row>
    <row r="858" customFormat="false" ht="15" hidden="false" customHeight="false" outlineLevel="0" collapsed="false">
      <c r="A858" s="4" t="n">
        <v>395</v>
      </c>
      <c r="B858" s="4" t="n">
        <v>183</v>
      </c>
      <c r="C858" s="18" t="n">
        <v>0.75</v>
      </c>
      <c r="D858" s="21" t="n">
        <v>-0.01</v>
      </c>
      <c r="E858" s="21" t="n">
        <v>0</v>
      </c>
      <c r="F858" s="21" t="n">
        <v>0</v>
      </c>
      <c r="G858" s="21" t="n">
        <v>0.02</v>
      </c>
      <c r="H858" s="21" t="n">
        <v>-0.02</v>
      </c>
      <c r="I858" s="21" t="n">
        <v>-0.01</v>
      </c>
      <c r="J858" s="21" t="n">
        <v>0</v>
      </c>
      <c r="K858" s="21" t="n">
        <v>-0.01</v>
      </c>
      <c r="L858" s="21" t="n">
        <v>0</v>
      </c>
      <c r="M858" s="21" t="n">
        <v>0</v>
      </c>
      <c r="N858" s="21" t="n">
        <v>0.02</v>
      </c>
      <c r="O858" s="21" t="n">
        <v>-0.02</v>
      </c>
      <c r="P858" s="21" t="n">
        <v>-0.01</v>
      </c>
      <c r="Q858" s="21" t="n">
        <v>0</v>
      </c>
      <c r="R858" s="18" t="n">
        <f aca="false">ABS(D858)+MAX(ABS(G858),ABS(H858))+MAX(ABS(I858),ABS(J858))</f>
        <v>0.04</v>
      </c>
      <c r="S858" s="18" t="n">
        <f aca="false">ABS(K858)+MAX(ABS(N858),ABS(O858))+MAX(ABS(P858),ABS(Q858))</f>
        <v>0.04</v>
      </c>
      <c r="T858" s="18" t="n">
        <f aca="false">MAX(ABS(E858),ABS(F858))</f>
        <v>0</v>
      </c>
      <c r="U858" s="18" t="n">
        <f aca="false">MAX(ABS(L858),ABS(M858))</f>
        <v>0</v>
      </c>
    </row>
    <row r="859" customFormat="false" ht="15" hidden="false" customHeight="false" outlineLevel="0" collapsed="false">
      <c r="A859" s="4" t="n">
        <v>395</v>
      </c>
      <c r="B859" s="4" t="n">
        <v>183</v>
      </c>
      <c r="C859" s="18" t="n">
        <v>1</v>
      </c>
      <c r="D859" s="21" t="n">
        <v>-0.01</v>
      </c>
      <c r="E859" s="21" t="n">
        <v>0</v>
      </c>
      <c r="F859" s="21" t="n">
        <v>0</v>
      </c>
      <c r="G859" s="21" t="n">
        <v>0.03</v>
      </c>
      <c r="H859" s="21" t="n">
        <v>-0.03</v>
      </c>
      <c r="I859" s="21" t="n">
        <v>-0.01</v>
      </c>
      <c r="J859" s="21" t="n">
        <v>0.01</v>
      </c>
      <c r="K859" s="21" t="n">
        <v>-0.01</v>
      </c>
      <c r="L859" s="21" t="n">
        <v>0</v>
      </c>
      <c r="M859" s="21" t="n">
        <v>0</v>
      </c>
      <c r="N859" s="21" t="n">
        <v>0.04</v>
      </c>
      <c r="O859" s="21" t="n">
        <v>-0.04</v>
      </c>
      <c r="P859" s="21" t="n">
        <v>-0.01</v>
      </c>
      <c r="Q859" s="21" t="n">
        <v>0.01</v>
      </c>
      <c r="R859" s="18" t="n">
        <f aca="false">ABS(D859)+MAX(ABS(G859),ABS(H859))+MAX(ABS(I859),ABS(J859))</f>
        <v>0.05</v>
      </c>
      <c r="S859" s="18" t="n">
        <f aca="false">ABS(K859)+MAX(ABS(N859),ABS(O859))+MAX(ABS(P859),ABS(Q859))</f>
        <v>0.06</v>
      </c>
      <c r="T859" s="18" t="n">
        <f aca="false">MAX(ABS(E859),ABS(F859))</f>
        <v>0</v>
      </c>
      <c r="U859" s="18" t="n">
        <f aca="false">MAX(ABS(L859),ABS(M859))</f>
        <v>0</v>
      </c>
    </row>
    <row r="860" customFormat="false" ht="15" hidden="false" customHeight="false" outlineLevel="0" collapsed="false">
      <c r="A860" s="4" t="n">
        <v>396</v>
      </c>
      <c r="B860" s="4" t="n">
        <v>184</v>
      </c>
      <c r="C860" s="18" t="n">
        <v>0</v>
      </c>
      <c r="D860" s="21" t="n">
        <v>0</v>
      </c>
      <c r="E860" s="21" t="n">
        <v>0</v>
      </c>
      <c r="F860" s="21" t="n">
        <v>0</v>
      </c>
      <c r="G860" s="21" t="n">
        <v>0.01</v>
      </c>
      <c r="H860" s="21" t="n">
        <v>-0.01</v>
      </c>
      <c r="I860" s="21" t="n">
        <v>-0.01</v>
      </c>
      <c r="J860" s="21" t="n">
        <v>0.01</v>
      </c>
      <c r="K860" s="21" t="n">
        <v>-0.01</v>
      </c>
      <c r="L860" s="21" t="n">
        <v>0</v>
      </c>
      <c r="M860" s="21" t="n">
        <v>0</v>
      </c>
      <c r="N860" s="21" t="n">
        <v>0.01</v>
      </c>
      <c r="O860" s="21" t="n">
        <v>-0.01</v>
      </c>
      <c r="P860" s="21" t="n">
        <v>-0.01</v>
      </c>
      <c r="Q860" s="21" t="n">
        <v>0</v>
      </c>
      <c r="R860" s="18" t="n">
        <f aca="false">ABS(D860)+MAX(ABS(G860),ABS(H860))+MAX(ABS(I860),ABS(J860))</f>
        <v>0.02</v>
      </c>
      <c r="S860" s="18" t="n">
        <f aca="false">ABS(K860)+MAX(ABS(N860),ABS(O860))+MAX(ABS(P860),ABS(Q860))</f>
        <v>0.03</v>
      </c>
      <c r="T860" s="18" t="n">
        <f aca="false">MAX(ABS(E860),ABS(F860))</f>
        <v>0</v>
      </c>
      <c r="U860" s="18" t="n">
        <f aca="false">MAX(ABS(L860),ABS(M860))</f>
        <v>0</v>
      </c>
    </row>
    <row r="861" customFormat="false" ht="15" hidden="false" customHeight="false" outlineLevel="0" collapsed="false">
      <c r="A861" s="4" t="n">
        <v>396</v>
      </c>
      <c r="B861" s="4" t="n">
        <v>184</v>
      </c>
      <c r="C861" s="18" t="n">
        <v>0.25</v>
      </c>
      <c r="D861" s="21" t="n">
        <v>0</v>
      </c>
      <c r="E861" s="21" t="n">
        <v>0</v>
      </c>
      <c r="F861" s="21" t="n">
        <v>0</v>
      </c>
      <c r="G861" s="21" t="n">
        <v>0</v>
      </c>
      <c r="H861" s="21" t="n">
        <v>0</v>
      </c>
      <c r="I861" s="21" t="n">
        <v>-0.01</v>
      </c>
      <c r="J861" s="21" t="n">
        <v>0</v>
      </c>
      <c r="K861" s="21" t="n">
        <v>-0.01</v>
      </c>
      <c r="L861" s="21" t="n">
        <v>0</v>
      </c>
      <c r="M861" s="21" t="n">
        <v>0</v>
      </c>
      <c r="N861" s="21" t="n">
        <v>0</v>
      </c>
      <c r="O861" s="21" t="n">
        <v>0</v>
      </c>
      <c r="P861" s="21" t="n">
        <v>0</v>
      </c>
      <c r="Q861" s="21" t="n">
        <v>0</v>
      </c>
      <c r="R861" s="18" t="n">
        <f aca="false">ABS(D861)+MAX(ABS(G861),ABS(H861))+MAX(ABS(I861),ABS(J861))</f>
        <v>0.01</v>
      </c>
      <c r="S861" s="18" t="n">
        <f aca="false">ABS(K861)+MAX(ABS(N861),ABS(O861))+MAX(ABS(P861),ABS(Q861))</f>
        <v>0.01</v>
      </c>
      <c r="T861" s="18" t="n">
        <f aca="false">MAX(ABS(E861),ABS(F861))</f>
        <v>0</v>
      </c>
      <c r="U861" s="18" t="n">
        <f aca="false">MAX(ABS(L861),ABS(M861))</f>
        <v>0</v>
      </c>
    </row>
    <row r="862" customFormat="false" ht="15" hidden="false" customHeight="false" outlineLevel="0" collapsed="false">
      <c r="A862" s="4" t="n">
        <v>396</v>
      </c>
      <c r="B862" s="4" t="n">
        <v>184</v>
      </c>
      <c r="C862" s="18" t="n">
        <v>0.5</v>
      </c>
      <c r="D862" s="21" t="n">
        <v>0</v>
      </c>
      <c r="E862" s="21" t="n">
        <v>0</v>
      </c>
      <c r="F862" s="21" t="n">
        <v>0</v>
      </c>
      <c r="G862" s="21" t="n">
        <v>-0.01</v>
      </c>
      <c r="H862" s="21" t="n">
        <v>0.01</v>
      </c>
      <c r="I862" s="21" t="n">
        <v>0</v>
      </c>
      <c r="J862" s="21" t="n">
        <v>0</v>
      </c>
      <c r="K862" s="21" t="n">
        <v>-0.01</v>
      </c>
      <c r="L862" s="21" t="n">
        <v>0</v>
      </c>
      <c r="M862" s="21" t="n">
        <v>0</v>
      </c>
      <c r="N862" s="21" t="n">
        <v>-0.01</v>
      </c>
      <c r="O862" s="21" t="n">
        <v>0.01</v>
      </c>
      <c r="P862" s="21" t="n">
        <v>0</v>
      </c>
      <c r="Q862" s="21" t="n">
        <v>0</v>
      </c>
      <c r="R862" s="18" t="n">
        <f aca="false">ABS(D862)+MAX(ABS(G862),ABS(H862))+MAX(ABS(I862),ABS(J862))</f>
        <v>0.01</v>
      </c>
      <c r="S862" s="18" t="n">
        <f aca="false">ABS(K862)+MAX(ABS(N862),ABS(O862))+MAX(ABS(P862),ABS(Q862))</f>
        <v>0.02</v>
      </c>
      <c r="T862" s="18" t="n">
        <f aca="false">MAX(ABS(E862),ABS(F862))</f>
        <v>0</v>
      </c>
      <c r="U862" s="18" t="n">
        <f aca="false">MAX(ABS(L862),ABS(M862))</f>
        <v>0</v>
      </c>
    </row>
    <row r="863" customFormat="false" ht="15" hidden="false" customHeight="false" outlineLevel="0" collapsed="false">
      <c r="A863" s="4" t="n">
        <v>396</v>
      </c>
      <c r="B863" s="4" t="n">
        <v>184</v>
      </c>
      <c r="C863" s="18" t="n">
        <v>0.75</v>
      </c>
      <c r="D863" s="21" t="n">
        <v>0</v>
      </c>
      <c r="E863" s="21" t="n">
        <v>0</v>
      </c>
      <c r="F863" s="21" t="n">
        <v>0</v>
      </c>
      <c r="G863" s="21" t="n">
        <v>-0.01</v>
      </c>
      <c r="H863" s="21" t="n">
        <v>0.01</v>
      </c>
      <c r="I863" s="21" t="n">
        <v>0.01</v>
      </c>
      <c r="J863" s="21" t="n">
        <v>0</v>
      </c>
      <c r="K863" s="21" t="n">
        <v>-0.01</v>
      </c>
      <c r="L863" s="21" t="n">
        <v>0</v>
      </c>
      <c r="M863" s="21" t="n">
        <v>0</v>
      </c>
      <c r="N863" s="21" t="n">
        <v>-0.02</v>
      </c>
      <c r="O863" s="21" t="n">
        <v>0.02</v>
      </c>
      <c r="P863" s="21" t="n">
        <v>0.01</v>
      </c>
      <c r="Q863" s="21" t="n">
        <v>0</v>
      </c>
      <c r="R863" s="18" t="n">
        <f aca="false">ABS(D863)+MAX(ABS(G863),ABS(H863))+MAX(ABS(I863),ABS(J863))</f>
        <v>0.02</v>
      </c>
      <c r="S863" s="18" t="n">
        <f aca="false">ABS(K863)+MAX(ABS(N863),ABS(O863))+MAX(ABS(P863),ABS(Q863))</f>
        <v>0.04</v>
      </c>
      <c r="T863" s="18" t="n">
        <f aca="false">MAX(ABS(E863),ABS(F863))</f>
        <v>0</v>
      </c>
      <c r="U863" s="18" t="n">
        <f aca="false">MAX(ABS(L863),ABS(M863))</f>
        <v>0</v>
      </c>
    </row>
    <row r="864" customFormat="false" ht="15" hidden="false" customHeight="false" outlineLevel="0" collapsed="false">
      <c r="A864" s="4" t="n">
        <v>396</v>
      </c>
      <c r="B864" s="4" t="n">
        <v>184</v>
      </c>
      <c r="C864" s="18" t="n">
        <v>1</v>
      </c>
      <c r="D864" s="21" t="n">
        <v>0</v>
      </c>
      <c r="E864" s="21" t="n">
        <v>0</v>
      </c>
      <c r="F864" s="21" t="n">
        <v>0</v>
      </c>
      <c r="G864" s="21" t="n">
        <v>-0.02</v>
      </c>
      <c r="H864" s="21" t="n">
        <v>0.02</v>
      </c>
      <c r="I864" s="21" t="n">
        <v>0.01</v>
      </c>
      <c r="J864" s="21" t="n">
        <v>-0.01</v>
      </c>
      <c r="K864" s="21" t="n">
        <v>-0.01</v>
      </c>
      <c r="L864" s="21" t="n">
        <v>0</v>
      </c>
      <c r="M864" s="21" t="n">
        <v>0</v>
      </c>
      <c r="N864" s="21" t="n">
        <v>-0.02</v>
      </c>
      <c r="O864" s="21" t="n">
        <v>0.02</v>
      </c>
      <c r="P864" s="21" t="n">
        <v>0.01</v>
      </c>
      <c r="Q864" s="21" t="n">
        <v>-0.01</v>
      </c>
      <c r="R864" s="18" t="n">
        <f aca="false">ABS(D864)+MAX(ABS(G864),ABS(H864))+MAX(ABS(I864),ABS(J864))</f>
        <v>0.03</v>
      </c>
      <c r="S864" s="18" t="n">
        <f aca="false">ABS(K864)+MAX(ABS(N864),ABS(O864))+MAX(ABS(P864),ABS(Q864))</f>
        <v>0.04</v>
      </c>
      <c r="T864" s="18" t="n">
        <f aca="false">MAX(ABS(E864),ABS(F864))</f>
        <v>0</v>
      </c>
      <c r="U864" s="18" t="n">
        <f aca="false">MAX(ABS(L864),ABS(M864))</f>
        <v>0</v>
      </c>
    </row>
    <row r="865" customFormat="false" ht="15" hidden="false" customHeight="false" outlineLevel="0" collapsed="false">
      <c r="A865" s="4" t="n">
        <v>397</v>
      </c>
      <c r="B865" s="4" t="n">
        <v>185</v>
      </c>
      <c r="C865" s="18" t="n">
        <v>0</v>
      </c>
      <c r="D865" s="21" t="n">
        <v>0</v>
      </c>
      <c r="E865" s="21" t="n">
        <v>0</v>
      </c>
      <c r="F865" s="21" t="n">
        <v>0</v>
      </c>
      <c r="G865" s="21" t="n">
        <v>-0.02</v>
      </c>
      <c r="H865" s="21" t="n">
        <v>0.02</v>
      </c>
      <c r="I865" s="21" t="n">
        <v>0.01</v>
      </c>
      <c r="J865" s="21" t="n">
        <v>-0.01</v>
      </c>
      <c r="K865" s="21" t="n">
        <v>0</v>
      </c>
      <c r="L865" s="21" t="n">
        <v>0</v>
      </c>
      <c r="M865" s="21" t="n">
        <v>0</v>
      </c>
      <c r="N865" s="21" t="n">
        <v>-0.01</v>
      </c>
      <c r="O865" s="21" t="n">
        <v>0.01</v>
      </c>
      <c r="P865" s="21" t="n">
        <v>0.01</v>
      </c>
      <c r="Q865" s="21" t="n">
        <v>-0.01</v>
      </c>
      <c r="R865" s="18" t="n">
        <f aca="false">ABS(D865)+MAX(ABS(G865),ABS(H865))+MAX(ABS(I865),ABS(J865))</f>
        <v>0.03</v>
      </c>
      <c r="S865" s="18" t="n">
        <f aca="false">ABS(K865)+MAX(ABS(N865),ABS(O865))+MAX(ABS(P865),ABS(Q865))</f>
        <v>0.02</v>
      </c>
      <c r="T865" s="18" t="n">
        <f aca="false">MAX(ABS(E865),ABS(F865))</f>
        <v>0</v>
      </c>
      <c r="U865" s="18" t="n">
        <f aca="false">MAX(ABS(L865),ABS(M865))</f>
        <v>0</v>
      </c>
    </row>
    <row r="866" customFormat="false" ht="15" hidden="false" customHeight="false" outlineLevel="0" collapsed="false">
      <c r="A866" s="4" t="n">
        <v>397</v>
      </c>
      <c r="B866" s="4" t="n">
        <v>185</v>
      </c>
      <c r="C866" s="18" t="n">
        <v>0.25</v>
      </c>
      <c r="D866" s="21" t="n">
        <v>0</v>
      </c>
      <c r="E866" s="21" t="n">
        <v>0</v>
      </c>
      <c r="F866" s="21" t="n">
        <v>0</v>
      </c>
      <c r="G866" s="21" t="n">
        <v>-0.01</v>
      </c>
      <c r="H866" s="21" t="n">
        <v>0.01</v>
      </c>
      <c r="I866" s="21" t="n">
        <v>0.01</v>
      </c>
      <c r="J866" s="21" t="n">
        <v>0</v>
      </c>
      <c r="K866" s="21" t="n">
        <v>0</v>
      </c>
      <c r="L866" s="21" t="n">
        <v>0</v>
      </c>
      <c r="M866" s="21" t="n">
        <v>0</v>
      </c>
      <c r="N866" s="21" t="n">
        <v>-0.01</v>
      </c>
      <c r="O866" s="21" t="n">
        <v>0.01</v>
      </c>
      <c r="P866" s="21" t="n">
        <v>0.01</v>
      </c>
      <c r="Q866" s="21" t="n">
        <v>0</v>
      </c>
      <c r="R866" s="18" t="n">
        <f aca="false">ABS(D866)+MAX(ABS(G866),ABS(H866))+MAX(ABS(I866),ABS(J866))</f>
        <v>0.02</v>
      </c>
      <c r="S866" s="18" t="n">
        <f aca="false">ABS(K866)+MAX(ABS(N866),ABS(O866))+MAX(ABS(P866),ABS(Q866))</f>
        <v>0.02</v>
      </c>
      <c r="T866" s="18" t="n">
        <f aca="false">MAX(ABS(E866),ABS(F866))</f>
        <v>0</v>
      </c>
      <c r="U866" s="18" t="n">
        <f aca="false">MAX(ABS(L866),ABS(M866))</f>
        <v>0</v>
      </c>
    </row>
    <row r="867" customFormat="false" ht="15" hidden="false" customHeight="false" outlineLevel="0" collapsed="false">
      <c r="A867" s="4" t="n">
        <v>397</v>
      </c>
      <c r="B867" s="4" t="n">
        <v>185</v>
      </c>
      <c r="C867" s="18" t="n">
        <v>0.5</v>
      </c>
      <c r="D867" s="21" t="n">
        <v>0</v>
      </c>
      <c r="E867" s="21" t="n">
        <v>0</v>
      </c>
      <c r="F867" s="21" t="n">
        <v>0</v>
      </c>
      <c r="G867" s="21" t="n">
        <v>0</v>
      </c>
      <c r="H867" s="21" t="n">
        <v>0</v>
      </c>
      <c r="I867" s="21" t="n">
        <v>0</v>
      </c>
      <c r="J867" s="21" t="n">
        <v>0</v>
      </c>
      <c r="K867" s="21" t="n">
        <v>0</v>
      </c>
      <c r="L867" s="21" t="n">
        <v>0</v>
      </c>
      <c r="M867" s="21" t="n">
        <v>0</v>
      </c>
      <c r="N867" s="21" t="n">
        <v>0</v>
      </c>
      <c r="O867" s="21" t="n">
        <v>0</v>
      </c>
      <c r="P867" s="21" t="n">
        <v>0</v>
      </c>
      <c r="Q867" s="21" t="n">
        <v>0</v>
      </c>
      <c r="R867" s="18" t="n">
        <f aca="false">ABS(D867)+MAX(ABS(G867),ABS(H867))+MAX(ABS(I867),ABS(J867))</f>
        <v>0</v>
      </c>
      <c r="S867" s="18" t="n">
        <f aca="false">ABS(K867)+MAX(ABS(N867),ABS(O867))+MAX(ABS(P867),ABS(Q867))</f>
        <v>0</v>
      </c>
      <c r="T867" s="18" t="n">
        <f aca="false">MAX(ABS(E867),ABS(F867))</f>
        <v>0</v>
      </c>
      <c r="U867" s="18" t="n">
        <f aca="false">MAX(ABS(L867),ABS(M867))</f>
        <v>0</v>
      </c>
    </row>
    <row r="868" customFormat="false" ht="15" hidden="false" customHeight="false" outlineLevel="0" collapsed="false">
      <c r="A868" s="4" t="n">
        <v>397</v>
      </c>
      <c r="B868" s="4" t="n">
        <v>185</v>
      </c>
      <c r="C868" s="18" t="n">
        <v>0.75</v>
      </c>
      <c r="D868" s="21" t="n">
        <v>0</v>
      </c>
      <c r="E868" s="21" t="n">
        <v>0</v>
      </c>
      <c r="F868" s="21" t="n">
        <v>0</v>
      </c>
      <c r="G868" s="21" t="n">
        <v>0.01</v>
      </c>
      <c r="H868" s="21" t="n">
        <v>-0.01</v>
      </c>
      <c r="I868" s="21" t="n">
        <v>-0.01</v>
      </c>
      <c r="J868" s="21" t="n">
        <v>0</v>
      </c>
      <c r="K868" s="21" t="n">
        <v>0</v>
      </c>
      <c r="L868" s="21" t="n">
        <v>0</v>
      </c>
      <c r="M868" s="21" t="n">
        <v>0</v>
      </c>
      <c r="N868" s="21" t="n">
        <v>0.01</v>
      </c>
      <c r="O868" s="21" t="n">
        <v>-0.01</v>
      </c>
      <c r="P868" s="21" t="n">
        <v>-0.01</v>
      </c>
      <c r="Q868" s="21" t="n">
        <v>0</v>
      </c>
      <c r="R868" s="18" t="n">
        <f aca="false">ABS(D868)+MAX(ABS(G868),ABS(H868))+MAX(ABS(I868),ABS(J868))</f>
        <v>0.02</v>
      </c>
      <c r="S868" s="18" t="n">
        <f aca="false">ABS(K868)+MAX(ABS(N868),ABS(O868))+MAX(ABS(P868),ABS(Q868))</f>
        <v>0.02</v>
      </c>
      <c r="T868" s="18" t="n">
        <f aca="false">MAX(ABS(E868),ABS(F868))</f>
        <v>0</v>
      </c>
      <c r="U868" s="18" t="n">
        <f aca="false">MAX(ABS(L868),ABS(M868))</f>
        <v>0</v>
      </c>
    </row>
    <row r="869" customFormat="false" ht="15" hidden="false" customHeight="false" outlineLevel="0" collapsed="false">
      <c r="A869" s="4" t="n">
        <v>397</v>
      </c>
      <c r="B869" s="4" t="n">
        <v>185</v>
      </c>
      <c r="C869" s="18" t="n">
        <v>1</v>
      </c>
      <c r="D869" s="21" t="n">
        <v>0</v>
      </c>
      <c r="E869" s="21" t="n">
        <v>0</v>
      </c>
      <c r="F869" s="21" t="n">
        <v>0</v>
      </c>
      <c r="G869" s="21" t="n">
        <v>0.02</v>
      </c>
      <c r="H869" s="21" t="n">
        <v>-0.02</v>
      </c>
      <c r="I869" s="21" t="n">
        <v>-0.01</v>
      </c>
      <c r="J869" s="21" t="n">
        <v>0.01</v>
      </c>
      <c r="K869" s="21" t="n">
        <v>0</v>
      </c>
      <c r="L869" s="21" t="n">
        <v>0</v>
      </c>
      <c r="M869" s="21" t="n">
        <v>0</v>
      </c>
      <c r="N869" s="21" t="n">
        <v>0.01</v>
      </c>
      <c r="O869" s="21" t="n">
        <v>-0.01</v>
      </c>
      <c r="P869" s="21" t="n">
        <v>-0.01</v>
      </c>
      <c r="Q869" s="21" t="n">
        <v>0.01</v>
      </c>
      <c r="R869" s="18" t="n">
        <f aca="false">ABS(D869)+MAX(ABS(G869),ABS(H869))+MAX(ABS(I869),ABS(J869))</f>
        <v>0.03</v>
      </c>
      <c r="S869" s="18" t="n">
        <f aca="false">ABS(K869)+MAX(ABS(N869),ABS(O869))+MAX(ABS(P869),ABS(Q869))</f>
        <v>0.02</v>
      </c>
      <c r="T869" s="18" t="n">
        <f aca="false">MAX(ABS(E869),ABS(F869))</f>
        <v>0</v>
      </c>
      <c r="U869" s="18" t="n">
        <f aca="false">MAX(ABS(L869),ABS(M869))</f>
        <v>0</v>
      </c>
    </row>
    <row r="870" customFormat="false" ht="15" hidden="false" customHeight="false" outlineLevel="0" collapsed="false">
      <c r="A870" s="4" t="n">
        <v>398</v>
      </c>
      <c r="B870" s="4" t="n">
        <v>186</v>
      </c>
      <c r="C870" s="18" t="n">
        <v>0</v>
      </c>
      <c r="D870" s="21" t="n">
        <v>0</v>
      </c>
      <c r="E870" s="21" t="n">
        <v>0</v>
      </c>
      <c r="F870" s="21" t="n">
        <v>0</v>
      </c>
      <c r="G870" s="21" t="n">
        <v>0</v>
      </c>
      <c r="H870" s="21" t="n">
        <v>0</v>
      </c>
      <c r="I870" s="21" t="n">
        <v>0</v>
      </c>
      <c r="J870" s="21" t="n">
        <v>0</v>
      </c>
      <c r="K870" s="21" t="n">
        <v>0</v>
      </c>
      <c r="L870" s="21" t="n">
        <v>0.01</v>
      </c>
      <c r="M870" s="21" t="n">
        <v>0.01</v>
      </c>
      <c r="N870" s="21" t="n">
        <v>0</v>
      </c>
      <c r="O870" s="21" t="n">
        <v>0</v>
      </c>
      <c r="P870" s="21" t="n">
        <v>0</v>
      </c>
      <c r="Q870" s="21" t="n">
        <v>0</v>
      </c>
      <c r="R870" s="18" t="n">
        <f aca="false">ABS(D870)+MAX(ABS(G870),ABS(H870))+MAX(ABS(I870),ABS(J870))</f>
        <v>0</v>
      </c>
      <c r="S870" s="18" t="n">
        <f aca="false">ABS(K870)+MAX(ABS(N870),ABS(O870))+MAX(ABS(P870),ABS(Q870))</f>
        <v>0</v>
      </c>
      <c r="T870" s="18" t="n">
        <f aca="false">MAX(ABS(E870),ABS(F870))</f>
        <v>0</v>
      </c>
      <c r="U870" s="18" t="n">
        <f aca="false">MAX(ABS(L870),ABS(M870))</f>
        <v>0.01</v>
      </c>
    </row>
    <row r="871" customFormat="false" ht="15" hidden="false" customHeight="false" outlineLevel="0" collapsed="false">
      <c r="A871" s="4" t="n">
        <v>398</v>
      </c>
      <c r="B871" s="4" t="n">
        <v>186</v>
      </c>
      <c r="C871" s="18" t="n">
        <v>0.25</v>
      </c>
      <c r="D871" s="21" t="n">
        <v>0</v>
      </c>
      <c r="E871" s="21" t="n">
        <v>0</v>
      </c>
      <c r="F871" s="21" t="n">
        <v>0</v>
      </c>
      <c r="G871" s="21" t="n">
        <v>0</v>
      </c>
      <c r="H871" s="21" t="n">
        <v>0</v>
      </c>
      <c r="I871" s="21" t="n">
        <v>0</v>
      </c>
      <c r="J871" s="21" t="n">
        <v>0</v>
      </c>
      <c r="K871" s="21" t="n">
        <v>0</v>
      </c>
      <c r="L871" s="21" t="n">
        <v>0.01</v>
      </c>
      <c r="M871" s="21" t="n">
        <v>0.01</v>
      </c>
      <c r="N871" s="21" t="n">
        <v>0</v>
      </c>
      <c r="O871" s="21" t="n">
        <v>0</v>
      </c>
      <c r="P871" s="21" t="n">
        <v>0</v>
      </c>
      <c r="Q871" s="21" t="n">
        <v>0</v>
      </c>
      <c r="R871" s="18" t="n">
        <f aca="false">ABS(D871)+MAX(ABS(G871),ABS(H871))+MAX(ABS(I871),ABS(J871))</f>
        <v>0</v>
      </c>
      <c r="S871" s="18" t="n">
        <f aca="false">ABS(K871)+MAX(ABS(N871),ABS(O871))+MAX(ABS(P871),ABS(Q871))</f>
        <v>0</v>
      </c>
      <c r="T871" s="18" t="n">
        <f aca="false">MAX(ABS(E871),ABS(F871))</f>
        <v>0</v>
      </c>
      <c r="U871" s="18" t="n">
        <f aca="false">MAX(ABS(L871),ABS(M871))</f>
        <v>0.01</v>
      </c>
    </row>
    <row r="872" customFormat="false" ht="15" hidden="false" customHeight="false" outlineLevel="0" collapsed="false">
      <c r="A872" s="4" t="n">
        <v>398</v>
      </c>
      <c r="B872" s="4" t="n">
        <v>186</v>
      </c>
      <c r="C872" s="18" t="n">
        <v>0.5</v>
      </c>
      <c r="D872" s="21" t="n">
        <v>0</v>
      </c>
      <c r="E872" s="21" t="n">
        <v>0</v>
      </c>
      <c r="F872" s="21" t="n">
        <v>0</v>
      </c>
      <c r="G872" s="21" t="n">
        <v>0</v>
      </c>
      <c r="H872" s="21" t="n">
        <v>0</v>
      </c>
      <c r="I872" s="21" t="n">
        <v>0</v>
      </c>
      <c r="J872" s="21" t="n">
        <v>0</v>
      </c>
      <c r="K872" s="21" t="n">
        <v>0</v>
      </c>
      <c r="L872" s="21" t="n">
        <v>0.01</v>
      </c>
      <c r="M872" s="21" t="n">
        <v>0.01</v>
      </c>
      <c r="N872" s="21" t="n">
        <v>0</v>
      </c>
      <c r="O872" s="21" t="n">
        <v>0</v>
      </c>
      <c r="P872" s="21" t="n">
        <v>0</v>
      </c>
      <c r="Q872" s="21" t="n">
        <v>0</v>
      </c>
      <c r="R872" s="18" t="n">
        <f aca="false">ABS(D872)+MAX(ABS(G872),ABS(H872))+MAX(ABS(I872),ABS(J872))</f>
        <v>0</v>
      </c>
      <c r="S872" s="18" t="n">
        <f aca="false">ABS(K872)+MAX(ABS(N872),ABS(O872))+MAX(ABS(P872),ABS(Q872))</f>
        <v>0</v>
      </c>
      <c r="T872" s="18" t="n">
        <f aca="false">MAX(ABS(E872),ABS(F872))</f>
        <v>0</v>
      </c>
      <c r="U872" s="18" t="n">
        <f aca="false">MAX(ABS(L872),ABS(M872))</f>
        <v>0.01</v>
      </c>
    </row>
    <row r="873" customFormat="false" ht="15" hidden="false" customHeight="false" outlineLevel="0" collapsed="false">
      <c r="A873" s="4" t="n">
        <v>398</v>
      </c>
      <c r="B873" s="4" t="n">
        <v>186</v>
      </c>
      <c r="C873" s="18" t="n">
        <v>0.75</v>
      </c>
      <c r="D873" s="21" t="n">
        <v>0</v>
      </c>
      <c r="E873" s="21" t="n">
        <v>0</v>
      </c>
      <c r="F873" s="21" t="n">
        <v>0</v>
      </c>
      <c r="G873" s="21" t="n">
        <v>0</v>
      </c>
      <c r="H873" s="21" t="n">
        <v>0</v>
      </c>
      <c r="I873" s="21" t="n">
        <v>0</v>
      </c>
      <c r="J873" s="21" t="n">
        <v>0</v>
      </c>
      <c r="K873" s="21" t="n">
        <v>0</v>
      </c>
      <c r="L873" s="21" t="n">
        <v>0.01</v>
      </c>
      <c r="M873" s="21" t="n">
        <v>0.01</v>
      </c>
      <c r="N873" s="21" t="n">
        <v>0</v>
      </c>
      <c r="O873" s="21" t="n">
        <v>0</v>
      </c>
      <c r="P873" s="21" t="n">
        <v>0</v>
      </c>
      <c r="Q873" s="21" t="n">
        <v>0</v>
      </c>
      <c r="R873" s="18" t="n">
        <f aca="false">ABS(D873)+MAX(ABS(G873),ABS(H873))+MAX(ABS(I873),ABS(J873))</f>
        <v>0</v>
      </c>
      <c r="S873" s="18" t="n">
        <f aca="false">ABS(K873)+MAX(ABS(N873),ABS(O873))+MAX(ABS(P873),ABS(Q873))</f>
        <v>0</v>
      </c>
      <c r="T873" s="18" t="n">
        <f aca="false">MAX(ABS(E873),ABS(F873))</f>
        <v>0</v>
      </c>
      <c r="U873" s="18" t="n">
        <f aca="false">MAX(ABS(L873),ABS(M873))</f>
        <v>0.01</v>
      </c>
    </row>
    <row r="874" customFormat="false" ht="15" hidden="false" customHeight="false" outlineLevel="0" collapsed="false">
      <c r="A874" s="4" t="n">
        <v>398</v>
      </c>
      <c r="B874" s="4" t="n">
        <v>186</v>
      </c>
      <c r="C874" s="18" t="n">
        <v>1</v>
      </c>
      <c r="D874" s="21" t="n">
        <v>0</v>
      </c>
      <c r="E874" s="21" t="n">
        <v>0</v>
      </c>
      <c r="F874" s="21" t="n">
        <v>0</v>
      </c>
      <c r="G874" s="21" t="n">
        <v>0</v>
      </c>
      <c r="H874" s="21" t="n">
        <v>0</v>
      </c>
      <c r="I874" s="21" t="n">
        <v>0</v>
      </c>
      <c r="J874" s="21" t="n">
        <v>0</v>
      </c>
      <c r="K874" s="21" t="n">
        <v>0</v>
      </c>
      <c r="L874" s="21" t="n">
        <v>0.01</v>
      </c>
      <c r="M874" s="21" t="n">
        <v>0.01</v>
      </c>
      <c r="N874" s="21" t="n">
        <v>0</v>
      </c>
      <c r="O874" s="21" t="n">
        <v>0</v>
      </c>
      <c r="P874" s="21" t="n">
        <v>0</v>
      </c>
      <c r="Q874" s="21" t="n">
        <v>0</v>
      </c>
      <c r="R874" s="18" t="n">
        <f aca="false">ABS(D874)+MAX(ABS(G874),ABS(H874))+MAX(ABS(I874),ABS(J874))</f>
        <v>0</v>
      </c>
      <c r="S874" s="18" t="n">
        <f aca="false">ABS(K874)+MAX(ABS(N874),ABS(O874))+MAX(ABS(P874),ABS(Q874))</f>
        <v>0</v>
      </c>
      <c r="T874" s="18" t="n">
        <f aca="false">MAX(ABS(E874),ABS(F874))</f>
        <v>0</v>
      </c>
      <c r="U874" s="18" t="n">
        <f aca="false">MAX(ABS(L874),ABS(M874))</f>
        <v>0.01</v>
      </c>
    </row>
    <row r="875" customFormat="false" ht="15" hidden="false" customHeight="false" outlineLevel="0" collapsed="false">
      <c r="A875" s="4" t="n">
        <v>399</v>
      </c>
      <c r="B875" s="4" t="n">
        <v>187</v>
      </c>
      <c r="C875" s="18" t="n">
        <v>0</v>
      </c>
      <c r="D875" s="21" t="n">
        <v>0</v>
      </c>
      <c r="E875" s="21" t="n">
        <v>0.02</v>
      </c>
      <c r="F875" s="21" t="n">
        <v>0.01</v>
      </c>
      <c r="G875" s="21" t="n">
        <v>0.01</v>
      </c>
      <c r="H875" s="21" t="n">
        <v>-0.01</v>
      </c>
      <c r="I875" s="21" t="n">
        <v>-0.14</v>
      </c>
      <c r="J875" s="21" t="n">
        <v>0.14</v>
      </c>
      <c r="K875" s="21" t="n">
        <v>0</v>
      </c>
      <c r="L875" s="21" t="n">
        <v>0.01</v>
      </c>
      <c r="M875" s="21" t="n">
        <v>0.01</v>
      </c>
      <c r="N875" s="21" t="n">
        <v>0.02</v>
      </c>
      <c r="O875" s="21" t="n">
        <v>-0.02</v>
      </c>
      <c r="P875" s="21" t="n">
        <v>-0.1</v>
      </c>
      <c r="Q875" s="21" t="n">
        <v>0.1</v>
      </c>
      <c r="R875" s="18" t="n">
        <f aca="false">ABS(D875)+MAX(ABS(G875),ABS(H875))+MAX(ABS(I875),ABS(J875))</f>
        <v>0.15</v>
      </c>
      <c r="S875" s="18" t="n">
        <f aca="false">ABS(K875)+MAX(ABS(N875),ABS(O875))+MAX(ABS(P875),ABS(Q875))</f>
        <v>0.12</v>
      </c>
      <c r="T875" s="18" t="n">
        <f aca="false">MAX(ABS(E875),ABS(F875))</f>
        <v>0.02</v>
      </c>
      <c r="U875" s="18" t="n">
        <f aca="false">MAX(ABS(L875),ABS(M875))</f>
        <v>0.01</v>
      </c>
    </row>
    <row r="876" customFormat="false" ht="15" hidden="false" customHeight="false" outlineLevel="0" collapsed="false">
      <c r="A876" s="4" t="n">
        <v>399</v>
      </c>
      <c r="B876" s="4" t="n">
        <v>187</v>
      </c>
      <c r="C876" s="18" t="n">
        <v>0.25</v>
      </c>
      <c r="D876" s="21" t="n">
        <v>0</v>
      </c>
      <c r="E876" s="21" t="n">
        <v>0.02</v>
      </c>
      <c r="F876" s="21" t="n">
        <v>0.01</v>
      </c>
      <c r="G876" s="21" t="n">
        <v>0.01</v>
      </c>
      <c r="H876" s="21" t="n">
        <v>-0.01</v>
      </c>
      <c r="I876" s="21" t="n">
        <v>-0.13</v>
      </c>
      <c r="J876" s="21" t="n">
        <v>0.13</v>
      </c>
      <c r="K876" s="21" t="n">
        <v>0</v>
      </c>
      <c r="L876" s="21" t="n">
        <v>0.01</v>
      </c>
      <c r="M876" s="21" t="n">
        <v>0</v>
      </c>
      <c r="N876" s="21" t="n">
        <v>0.02</v>
      </c>
      <c r="O876" s="21" t="n">
        <v>-0.02</v>
      </c>
      <c r="P876" s="21" t="n">
        <v>-0.1</v>
      </c>
      <c r="Q876" s="21" t="n">
        <v>0.1</v>
      </c>
      <c r="R876" s="18" t="n">
        <f aca="false">ABS(D876)+MAX(ABS(G876),ABS(H876))+MAX(ABS(I876),ABS(J876))</f>
        <v>0.14</v>
      </c>
      <c r="S876" s="18" t="n">
        <f aca="false">ABS(K876)+MAX(ABS(N876),ABS(O876))+MAX(ABS(P876),ABS(Q876))</f>
        <v>0.12</v>
      </c>
      <c r="T876" s="18" t="n">
        <f aca="false">MAX(ABS(E876),ABS(F876))</f>
        <v>0.02</v>
      </c>
      <c r="U876" s="18" t="n">
        <f aca="false">MAX(ABS(L876),ABS(M876))</f>
        <v>0.01</v>
      </c>
    </row>
    <row r="877" customFormat="false" ht="15" hidden="false" customHeight="false" outlineLevel="0" collapsed="false">
      <c r="A877" s="4" t="n">
        <v>399</v>
      </c>
      <c r="B877" s="4" t="n">
        <v>187</v>
      </c>
      <c r="C877" s="18" t="n">
        <v>0.5</v>
      </c>
      <c r="D877" s="21" t="n">
        <v>0</v>
      </c>
      <c r="E877" s="21" t="n">
        <v>0.02</v>
      </c>
      <c r="F877" s="21" t="n">
        <v>0</v>
      </c>
      <c r="G877" s="21" t="n">
        <v>0.02</v>
      </c>
      <c r="H877" s="21" t="n">
        <v>-0.02</v>
      </c>
      <c r="I877" s="21" t="n">
        <v>-0.13</v>
      </c>
      <c r="J877" s="21" t="n">
        <v>0.13</v>
      </c>
      <c r="K877" s="21" t="n">
        <v>0</v>
      </c>
      <c r="L877" s="21" t="n">
        <v>0.01</v>
      </c>
      <c r="M877" s="21" t="n">
        <v>0</v>
      </c>
      <c r="N877" s="21" t="n">
        <v>0.02</v>
      </c>
      <c r="O877" s="21" t="n">
        <v>-0.02</v>
      </c>
      <c r="P877" s="21" t="n">
        <v>-0.1</v>
      </c>
      <c r="Q877" s="21" t="n">
        <v>0.1</v>
      </c>
      <c r="R877" s="18" t="n">
        <f aca="false">ABS(D877)+MAX(ABS(G877),ABS(H877))+MAX(ABS(I877),ABS(J877))</f>
        <v>0.15</v>
      </c>
      <c r="S877" s="18" t="n">
        <f aca="false">ABS(K877)+MAX(ABS(N877),ABS(O877))+MAX(ABS(P877),ABS(Q877))</f>
        <v>0.12</v>
      </c>
      <c r="T877" s="18" t="n">
        <f aca="false">MAX(ABS(E877),ABS(F877))</f>
        <v>0.02</v>
      </c>
      <c r="U877" s="18" t="n">
        <f aca="false">MAX(ABS(L877),ABS(M877))</f>
        <v>0.01</v>
      </c>
    </row>
    <row r="878" customFormat="false" ht="15" hidden="false" customHeight="false" outlineLevel="0" collapsed="false">
      <c r="A878" s="4" t="n">
        <v>399</v>
      </c>
      <c r="B878" s="4" t="n">
        <v>187</v>
      </c>
      <c r="C878" s="18" t="n">
        <v>0.75</v>
      </c>
      <c r="D878" s="21" t="n">
        <v>0</v>
      </c>
      <c r="E878" s="21" t="n">
        <v>0.02</v>
      </c>
      <c r="F878" s="21" t="n">
        <v>0</v>
      </c>
      <c r="G878" s="21" t="n">
        <v>0.02</v>
      </c>
      <c r="H878" s="21" t="n">
        <v>-0.02</v>
      </c>
      <c r="I878" s="21" t="n">
        <v>-0.13</v>
      </c>
      <c r="J878" s="21" t="n">
        <v>0.13</v>
      </c>
      <c r="K878" s="21" t="n">
        <v>0</v>
      </c>
      <c r="L878" s="21" t="n">
        <v>0.01</v>
      </c>
      <c r="M878" s="21" t="n">
        <v>0</v>
      </c>
      <c r="N878" s="21" t="n">
        <v>0.02</v>
      </c>
      <c r="O878" s="21" t="n">
        <v>-0.02</v>
      </c>
      <c r="P878" s="21" t="n">
        <v>-0.1</v>
      </c>
      <c r="Q878" s="21" t="n">
        <v>0.1</v>
      </c>
      <c r="R878" s="18" t="n">
        <f aca="false">ABS(D878)+MAX(ABS(G878),ABS(H878))+MAX(ABS(I878),ABS(J878))</f>
        <v>0.15</v>
      </c>
      <c r="S878" s="18" t="n">
        <f aca="false">ABS(K878)+MAX(ABS(N878),ABS(O878))+MAX(ABS(P878),ABS(Q878))</f>
        <v>0.12</v>
      </c>
      <c r="T878" s="18" t="n">
        <f aca="false">MAX(ABS(E878),ABS(F878))</f>
        <v>0.02</v>
      </c>
      <c r="U878" s="18" t="n">
        <f aca="false">MAX(ABS(L878),ABS(M878))</f>
        <v>0.01</v>
      </c>
    </row>
    <row r="879" customFormat="false" ht="15" hidden="false" customHeight="false" outlineLevel="0" collapsed="false">
      <c r="A879" s="4" t="n">
        <v>399</v>
      </c>
      <c r="B879" s="4" t="n">
        <v>187</v>
      </c>
      <c r="C879" s="18" t="n">
        <v>1</v>
      </c>
      <c r="D879" s="21" t="n">
        <v>0</v>
      </c>
      <c r="E879" s="21" t="n">
        <v>0.02</v>
      </c>
      <c r="F879" s="21" t="n">
        <v>0</v>
      </c>
      <c r="G879" s="21" t="n">
        <v>0.02</v>
      </c>
      <c r="H879" s="21" t="n">
        <v>-0.02</v>
      </c>
      <c r="I879" s="21" t="n">
        <v>-0.13</v>
      </c>
      <c r="J879" s="21" t="n">
        <v>0.13</v>
      </c>
      <c r="K879" s="21" t="n">
        <v>0</v>
      </c>
      <c r="L879" s="21" t="n">
        <v>0.01</v>
      </c>
      <c r="M879" s="21" t="n">
        <v>0</v>
      </c>
      <c r="N879" s="21" t="n">
        <v>0.02</v>
      </c>
      <c r="O879" s="21" t="n">
        <v>-0.02</v>
      </c>
      <c r="P879" s="21" t="n">
        <v>-0.1</v>
      </c>
      <c r="Q879" s="21" t="n">
        <v>0.1</v>
      </c>
      <c r="R879" s="18" t="n">
        <f aca="false">ABS(D879)+MAX(ABS(G879),ABS(H879))+MAX(ABS(I879),ABS(J879))</f>
        <v>0.15</v>
      </c>
      <c r="S879" s="18" t="n">
        <f aca="false">ABS(K879)+MAX(ABS(N879),ABS(O879))+MAX(ABS(P879),ABS(Q879))</f>
        <v>0.12</v>
      </c>
      <c r="T879" s="18" t="n">
        <f aca="false">MAX(ABS(E879),ABS(F879))</f>
        <v>0.02</v>
      </c>
      <c r="U879" s="18" t="n">
        <f aca="false">MAX(ABS(L879),ABS(M879))</f>
        <v>0.01</v>
      </c>
    </row>
    <row r="880" customFormat="false" ht="15" hidden="false" customHeight="false" outlineLevel="0" collapsed="false">
      <c r="A880" s="4" t="n">
        <v>400</v>
      </c>
      <c r="B880" s="4" t="n">
        <v>188</v>
      </c>
      <c r="C880" s="18" t="n">
        <v>0</v>
      </c>
      <c r="D880" s="21" t="n">
        <v>0</v>
      </c>
      <c r="E880" s="21" t="n">
        <v>0.02</v>
      </c>
      <c r="F880" s="21" t="n">
        <v>0.01</v>
      </c>
      <c r="G880" s="21" t="n">
        <v>0</v>
      </c>
      <c r="H880" s="21" t="n">
        <v>0</v>
      </c>
      <c r="I880" s="21" t="n">
        <v>0</v>
      </c>
      <c r="J880" s="21" t="n">
        <v>0</v>
      </c>
      <c r="K880" s="21" t="n">
        <v>0</v>
      </c>
      <c r="L880" s="21" t="n">
        <v>0.01</v>
      </c>
      <c r="M880" s="21" t="n">
        <v>0.01</v>
      </c>
      <c r="N880" s="21" t="n">
        <v>0</v>
      </c>
      <c r="O880" s="21" t="n">
        <v>0</v>
      </c>
      <c r="P880" s="21" t="n">
        <v>0.02</v>
      </c>
      <c r="Q880" s="21" t="n">
        <v>-0.02</v>
      </c>
      <c r="R880" s="18" t="n">
        <f aca="false">ABS(D880)+MAX(ABS(G880),ABS(H880))+MAX(ABS(I880),ABS(J880))</f>
        <v>0</v>
      </c>
      <c r="S880" s="18" t="n">
        <f aca="false">ABS(K880)+MAX(ABS(N880),ABS(O880))+MAX(ABS(P880),ABS(Q880))</f>
        <v>0.02</v>
      </c>
      <c r="T880" s="18" t="n">
        <f aca="false">MAX(ABS(E880),ABS(F880))</f>
        <v>0.02</v>
      </c>
      <c r="U880" s="18" t="n">
        <f aca="false">MAX(ABS(L880),ABS(M880))</f>
        <v>0.01</v>
      </c>
    </row>
    <row r="881" customFormat="false" ht="15" hidden="false" customHeight="false" outlineLevel="0" collapsed="false">
      <c r="A881" s="4" t="n">
        <v>400</v>
      </c>
      <c r="B881" s="4" t="n">
        <v>188</v>
      </c>
      <c r="C881" s="18" t="n">
        <v>0.25</v>
      </c>
      <c r="D881" s="21" t="n">
        <v>0</v>
      </c>
      <c r="E881" s="21" t="n">
        <v>0.02</v>
      </c>
      <c r="F881" s="21" t="n">
        <v>0</v>
      </c>
      <c r="G881" s="21" t="n">
        <v>0</v>
      </c>
      <c r="H881" s="21" t="n">
        <v>0</v>
      </c>
      <c r="I881" s="21" t="n">
        <v>0</v>
      </c>
      <c r="J881" s="21" t="n">
        <v>0</v>
      </c>
      <c r="K881" s="21" t="n">
        <v>0</v>
      </c>
      <c r="L881" s="21" t="n">
        <v>0.01</v>
      </c>
      <c r="M881" s="21" t="n">
        <v>0.01</v>
      </c>
      <c r="N881" s="21" t="n">
        <v>0</v>
      </c>
      <c r="O881" s="21" t="n">
        <v>0</v>
      </c>
      <c r="P881" s="21" t="n">
        <v>0.02</v>
      </c>
      <c r="Q881" s="21" t="n">
        <v>-0.02</v>
      </c>
      <c r="R881" s="18" t="n">
        <f aca="false">ABS(D881)+MAX(ABS(G881),ABS(H881))+MAX(ABS(I881),ABS(J881))</f>
        <v>0</v>
      </c>
      <c r="S881" s="18" t="n">
        <f aca="false">ABS(K881)+MAX(ABS(N881),ABS(O881))+MAX(ABS(P881),ABS(Q881))</f>
        <v>0.02</v>
      </c>
      <c r="T881" s="18" t="n">
        <f aca="false">MAX(ABS(E881),ABS(F881))</f>
        <v>0.02</v>
      </c>
      <c r="U881" s="18" t="n">
        <f aca="false">MAX(ABS(L881),ABS(M881))</f>
        <v>0.01</v>
      </c>
    </row>
    <row r="882" customFormat="false" ht="15" hidden="false" customHeight="false" outlineLevel="0" collapsed="false">
      <c r="A882" s="4" t="n">
        <v>400</v>
      </c>
      <c r="B882" s="4" t="n">
        <v>188</v>
      </c>
      <c r="C882" s="18" t="n">
        <v>0.5</v>
      </c>
      <c r="D882" s="21" t="n">
        <v>0</v>
      </c>
      <c r="E882" s="21" t="n">
        <v>0.02</v>
      </c>
      <c r="F882" s="21" t="n">
        <v>0</v>
      </c>
      <c r="G882" s="21" t="n">
        <v>0</v>
      </c>
      <c r="H882" s="21" t="n">
        <v>0</v>
      </c>
      <c r="I882" s="21" t="n">
        <v>0</v>
      </c>
      <c r="J882" s="21" t="n">
        <v>0</v>
      </c>
      <c r="K882" s="21" t="n">
        <v>0</v>
      </c>
      <c r="L882" s="21" t="n">
        <v>0.01</v>
      </c>
      <c r="M882" s="21" t="n">
        <v>0</v>
      </c>
      <c r="N882" s="21" t="n">
        <v>0</v>
      </c>
      <c r="O882" s="21" t="n">
        <v>0</v>
      </c>
      <c r="P882" s="21" t="n">
        <v>0.02</v>
      </c>
      <c r="Q882" s="21" t="n">
        <v>-0.02</v>
      </c>
      <c r="R882" s="18" t="n">
        <f aca="false">ABS(D882)+MAX(ABS(G882),ABS(H882))+MAX(ABS(I882),ABS(J882))</f>
        <v>0</v>
      </c>
      <c r="S882" s="18" t="n">
        <f aca="false">ABS(K882)+MAX(ABS(N882),ABS(O882))+MAX(ABS(P882),ABS(Q882))</f>
        <v>0.02</v>
      </c>
      <c r="T882" s="18" t="n">
        <f aca="false">MAX(ABS(E882),ABS(F882))</f>
        <v>0.02</v>
      </c>
      <c r="U882" s="18" t="n">
        <f aca="false">MAX(ABS(L882),ABS(M882))</f>
        <v>0.01</v>
      </c>
    </row>
    <row r="883" customFormat="false" ht="15" hidden="false" customHeight="false" outlineLevel="0" collapsed="false">
      <c r="A883" s="4" t="n">
        <v>400</v>
      </c>
      <c r="B883" s="4" t="n">
        <v>188</v>
      </c>
      <c r="C883" s="18" t="n">
        <v>0.75</v>
      </c>
      <c r="D883" s="21" t="n">
        <v>0</v>
      </c>
      <c r="E883" s="21" t="n">
        <v>0.02</v>
      </c>
      <c r="F883" s="21" t="n">
        <v>0.01</v>
      </c>
      <c r="G883" s="21" t="n">
        <v>0.01</v>
      </c>
      <c r="H883" s="21" t="n">
        <v>-0.01</v>
      </c>
      <c r="I883" s="21" t="n">
        <v>0</v>
      </c>
      <c r="J883" s="21" t="n">
        <v>0</v>
      </c>
      <c r="K883" s="21" t="n">
        <v>0</v>
      </c>
      <c r="L883" s="21" t="n">
        <v>0.01</v>
      </c>
      <c r="M883" s="21" t="n">
        <v>0</v>
      </c>
      <c r="N883" s="21" t="n">
        <v>0</v>
      </c>
      <c r="O883" s="21" t="n">
        <v>0</v>
      </c>
      <c r="P883" s="21" t="n">
        <v>0.02</v>
      </c>
      <c r="Q883" s="21" t="n">
        <v>-0.02</v>
      </c>
      <c r="R883" s="18" t="n">
        <f aca="false">ABS(D883)+MAX(ABS(G883),ABS(H883))+MAX(ABS(I883),ABS(J883))</f>
        <v>0.01</v>
      </c>
      <c r="S883" s="18" t="n">
        <f aca="false">ABS(K883)+MAX(ABS(N883),ABS(O883))+MAX(ABS(P883),ABS(Q883))</f>
        <v>0.02</v>
      </c>
      <c r="T883" s="18" t="n">
        <f aca="false">MAX(ABS(E883),ABS(F883))</f>
        <v>0.02</v>
      </c>
      <c r="U883" s="18" t="n">
        <f aca="false">MAX(ABS(L883),ABS(M883))</f>
        <v>0.01</v>
      </c>
    </row>
    <row r="884" customFormat="false" ht="15" hidden="false" customHeight="false" outlineLevel="0" collapsed="false">
      <c r="A884" s="4" t="n">
        <v>400</v>
      </c>
      <c r="B884" s="4" t="n">
        <v>188</v>
      </c>
      <c r="C884" s="18" t="n">
        <v>1</v>
      </c>
      <c r="D884" s="21" t="n">
        <v>0</v>
      </c>
      <c r="E884" s="21" t="n">
        <v>0.02</v>
      </c>
      <c r="F884" s="21" t="n">
        <v>0.01</v>
      </c>
      <c r="G884" s="21" t="n">
        <v>0.01</v>
      </c>
      <c r="H884" s="21" t="n">
        <v>-0.01</v>
      </c>
      <c r="I884" s="21" t="n">
        <v>0</v>
      </c>
      <c r="J884" s="21" t="n">
        <v>0</v>
      </c>
      <c r="K884" s="21" t="n">
        <v>0</v>
      </c>
      <c r="L884" s="21" t="n">
        <v>0.01</v>
      </c>
      <c r="M884" s="21" t="n">
        <v>0.01</v>
      </c>
      <c r="N884" s="21" t="n">
        <v>0.01</v>
      </c>
      <c r="O884" s="21" t="n">
        <v>-0.01</v>
      </c>
      <c r="P884" s="21" t="n">
        <v>0.02</v>
      </c>
      <c r="Q884" s="21" t="n">
        <v>-0.02</v>
      </c>
      <c r="R884" s="18" t="n">
        <f aca="false">ABS(D884)+MAX(ABS(G884),ABS(H884))+MAX(ABS(I884),ABS(J884))</f>
        <v>0.01</v>
      </c>
      <c r="S884" s="18" t="n">
        <f aca="false">ABS(K884)+MAX(ABS(N884),ABS(O884))+MAX(ABS(P884),ABS(Q884))</f>
        <v>0.03</v>
      </c>
      <c r="T884" s="18" t="n">
        <f aca="false">MAX(ABS(E884),ABS(F884))</f>
        <v>0.02</v>
      </c>
      <c r="U884" s="18" t="n">
        <f aca="false">MAX(ABS(L884),ABS(M884))</f>
        <v>0.01</v>
      </c>
    </row>
    <row r="885" customFormat="false" ht="15" hidden="false" customHeight="false" outlineLevel="0" collapsed="false">
      <c r="A885" s="4" t="n">
        <v>401</v>
      </c>
      <c r="B885" s="4" t="n">
        <v>189</v>
      </c>
      <c r="C885" s="18" t="n">
        <v>0</v>
      </c>
      <c r="D885" s="21" t="n">
        <v>0</v>
      </c>
      <c r="E885" s="21" t="n">
        <v>0.02</v>
      </c>
      <c r="F885" s="21" t="n">
        <v>0.05</v>
      </c>
      <c r="G885" s="21" t="n">
        <v>0</v>
      </c>
      <c r="H885" s="21" t="n">
        <v>0</v>
      </c>
      <c r="I885" s="21" t="n">
        <v>0.18</v>
      </c>
      <c r="J885" s="21" t="n">
        <v>-0.18</v>
      </c>
      <c r="K885" s="21" t="n">
        <v>0</v>
      </c>
      <c r="L885" s="21" t="n">
        <v>0.01</v>
      </c>
      <c r="M885" s="21" t="n">
        <v>0.05</v>
      </c>
      <c r="N885" s="21" t="n">
        <v>0</v>
      </c>
      <c r="O885" s="21" t="n">
        <v>0</v>
      </c>
      <c r="P885" s="21" t="n">
        <v>0.2</v>
      </c>
      <c r="Q885" s="21" t="n">
        <v>-0.2</v>
      </c>
      <c r="R885" s="18" t="n">
        <f aca="false">ABS(D885)+MAX(ABS(G885),ABS(H885))+MAX(ABS(I885),ABS(J885))</f>
        <v>0.18</v>
      </c>
      <c r="S885" s="18" t="n">
        <f aca="false">ABS(K885)+MAX(ABS(N885),ABS(O885))+MAX(ABS(P885),ABS(Q885))</f>
        <v>0.2</v>
      </c>
      <c r="T885" s="18" t="n">
        <f aca="false">MAX(ABS(E885),ABS(F885))</f>
        <v>0.05</v>
      </c>
      <c r="U885" s="18" t="n">
        <f aca="false">MAX(ABS(L885),ABS(M885))</f>
        <v>0.05</v>
      </c>
    </row>
    <row r="886" customFormat="false" ht="15" hidden="false" customHeight="false" outlineLevel="0" collapsed="false">
      <c r="A886" s="4" t="n">
        <v>401</v>
      </c>
      <c r="B886" s="4" t="n">
        <v>189</v>
      </c>
      <c r="C886" s="18" t="n">
        <v>0.25</v>
      </c>
      <c r="D886" s="21" t="n">
        <v>0</v>
      </c>
      <c r="E886" s="21" t="n">
        <v>0.02</v>
      </c>
      <c r="F886" s="21" t="n">
        <v>0.05</v>
      </c>
      <c r="G886" s="21" t="n">
        <v>0</v>
      </c>
      <c r="H886" s="21" t="n">
        <v>0</v>
      </c>
      <c r="I886" s="21" t="n">
        <v>0.16</v>
      </c>
      <c r="J886" s="21" t="n">
        <v>-0.16</v>
      </c>
      <c r="K886" s="21" t="n">
        <v>0</v>
      </c>
      <c r="L886" s="21" t="n">
        <v>0.01</v>
      </c>
      <c r="M886" s="21" t="n">
        <v>0.05</v>
      </c>
      <c r="N886" s="21" t="n">
        <v>0</v>
      </c>
      <c r="O886" s="21" t="n">
        <v>0</v>
      </c>
      <c r="P886" s="21" t="n">
        <v>0.18</v>
      </c>
      <c r="Q886" s="21" t="n">
        <v>-0.18</v>
      </c>
      <c r="R886" s="18" t="n">
        <f aca="false">ABS(D886)+MAX(ABS(G886),ABS(H886))+MAX(ABS(I886),ABS(J886))</f>
        <v>0.16</v>
      </c>
      <c r="S886" s="18" t="n">
        <f aca="false">ABS(K886)+MAX(ABS(N886),ABS(O886))+MAX(ABS(P886),ABS(Q886))</f>
        <v>0.18</v>
      </c>
      <c r="T886" s="18" t="n">
        <f aca="false">MAX(ABS(E886),ABS(F886))</f>
        <v>0.05</v>
      </c>
      <c r="U886" s="18" t="n">
        <f aca="false">MAX(ABS(L886),ABS(M886))</f>
        <v>0.05</v>
      </c>
    </row>
    <row r="887" customFormat="false" ht="15" hidden="false" customHeight="false" outlineLevel="0" collapsed="false">
      <c r="A887" s="4" t="n">
        <v>401</v>
      </c>
      <c r="B887" s="4" t="n">
        <v>189</v>
      </c>
      <c r="C887" s="18" t="n">
        <v>0.5</v>
      </c>
      <c r="D887" s="21" t="n">
        <v>0</v>
      </c>
      <c r="E887" s="21" t="n">
        <v>0.02</v>
      </c>
      <c r="F887" s="21" t="n">
        <v>0.05</v>
      </c>
      <c r="G887" s="21" t="n">
        <v>0.01</v>
      </c>
      <c r="H887" s="21" t="n">
        <v>-0.01</v>
      </c>
      <c r="I887" s="21" t="n">
        <v>0.14</v>
      </c>
      <c r="J887" s="21" t="n">
        <v>-0.14</v>
      </c>
      <c r="K887" s="21" t="n">
        <v>0</v>
      </c>
      <c r="L887" s="21" t="n">
        <v>0.01</v>
      </c>
      <c r="M887" s="21" t="n">
        <v>0.05</v>
      </c>
      <c r="N887" s="21" t="n">
        <v>0</v>
      </c>
      <c r="O887" s="21" t="n">
        <v>0</v>
      </c>
      <c r="P887" s="21" t="n">
        <v>0.16</v>
      </c>
      <c r="Q887" s="21" t="n">
        <v>-0.16</v>
      </c>
      <c r="R887" s="18" t="n">
        <f aca="false">ABS(D887)+MAX(ABS(G887),ABS(H887))+MAX(ABS(I887),ABS(J887))</f>
        <v>0.15</v>
      </c>
      <c r="S887" s="18" t="n">
        <f aca="false">ABS(K887)+MAX(ABS(N887),ABS(O887))+MAX(ABS(P887),ABS(Q887))</f>
        <v>0.16</v>
      </c>
      <c r="T887" s="18" t="n">
        <f aca="false">MAX(ABS(E887),ABS(F887))</f>
        <v>0.05</v>
      </c>
      <c r="U887" s="18" t="n">
        <f aca="false">MAX(ABS(L887),ABS(M887))</f>
        <v>0.05</v>
      </c>
    </row>
    <row r="888" customFormat="false" ht="15" hidden="false" customHeight="false" outlineLevel="0" collapsed="false">
      <c r="A888" s="4" t="n">
        <v>401</v>
      </c>
      <c r="B888" s="4" t="n">
        <v>189</v>
      </c>
      <c r="C888" s="18" t="n">
        <v>0.75</v>
      </c>
      <c r="D888" s="21" t="n">
        <v>0</v>
      </c>
      <c r="E888" s="21" t="n">
        <v>0.02</v>
      </c>
      <c r="F888" s="21" t="n">
        <v>0.05</v>
      </c>
      <c r="G888" s="21" t="n">
        <v>0.01</v>
      </c>
      <c r="H888" s="21" t="n">
        <v>-0.01</v>
      </c>
      <c r="I888" s="21" t="n">
        <v>0.11</v>
      </c>
      <c r="J888" s="21" t="n">
        <v>-0.11</v>
      </c>
      <c r="K888" s="21" t="n">
        <v>0</v>
      </c>
      <c r="L888" s="21" t="n">
        <v>0.01</v>
      </c>
      <c r="M888" s="21" t="n">
        <v>0.05</v>
      </c>
      <c r="N888" s="21" t="n">
        <v>0</v>
      </c>
      <c r="O888" s="21" t="n">
        <v>0</v>
      </c>
      <c r="P888" s="21" t="n">
        <v>0.13</v>
      </c>
      <c r="Q888" s="21" t="n">
        <v>-0.13</v>
      </c>
      <c r="R888" s="18" t="n">
        <f aca="false">ABS(D888)+MAX(ABS(G888),ABS(H888))+MAX(ABS(I888),ABS(J888))</f>
        <v>0.12</v>
      </c>
      <c r="S888" s="18" t="n">
        <f aca="false">ABS(K888)+MAX(ABS(N888),ABS(O888))+MAX(ABS(P888),ABS(Q888))</f>
        <v>0.13</v>
      </c>
      <c r="T888" s="18" t="n">
        <f aca="false">MAX(ABS(E888),ABS(F888))</f>
        <v>0.05</v>
      </c>
      <c r="U888" s="18" t="n">
        <f aca="false">MAX(ABS(L888),ABS(M888))</f>
        <v>0.05</v>
      </c>
    </row>
    <row r="889" customFormat="false" ht="15" hidden="false" customHeight="false" outlineLevel="0" collapsed="false">
      <c r="A889" s="4" t="n">
        <v>401</v>
      </c>
      <c r="B889" s="4" t="n">
        <v>189</v>
      </c>
      <c r="C889" s="18" t="n">
        <v>1</v>
      </c>
      <c r="D889" s="21" t="n">
        <v>0</v>
      </c>
      <c r="E889" s="21" t="n">
        <v>0.02</v>
      </c>
      <c r="F889" s="21" t="n">
        <v>0.05</v>
      </c>
      <c r="G889" s="21" t="n">
        <v>0.01</v>
      </c>
      <c r="H889" s="21" t="n">
        <v>-0.01</v>
      </c>
      <c r="I889" s="21" t="n">
        <v>0.09</v>
      </c>
      <c r="J889" s="21" t="n">
        <v>-0.09</v>
      </c>
      <c r="K889" s="21" t="n">
        <v>0</v>
      </c>
      <c r="L889" s="21" t="n">
        <v>0.01</v>
      </c>
      <c r="M889" s="21" t="n">
        <v>0.05</v>
      </c>
      <c r="N889" s="21" t="n">
        <v>0.01</v>
      </c>
      <c r="O889" s="21" t="n">
        <v>-0.01</v>
      </c>
      <c r="P889" s="21" t="n">
        <v>0.1</v>
      </c>
      <c r="Q889" s="21" t="n">
        <v>-0.1</v>
      </c>
      <c r="R889" s="18" t="n">
        <f aca="false">ABS(D889)+MAX(ABS(G889),ABS(H889))+MAX(ABS(I889),ABS(J889))</f>
        <v>0.1</v>
      </c>
      <c r="S889" s="18" t="n">
        <f aca="false">ABS(K889)+MAX(ABS(N889),ABS(O889))+MAX(ABS(P889),ABS(Q889))</f>
        <v>0.11</v>
      </c>
      <c r="T889" s="18" t="n">
        <f aca="false">MAX(ABS(E889),ABS(F889))</f>
        <v>0.05</v>
      </c>
      <c r="U889" s="18" t="n">
        <f aca="false">MAX(ABS(L889),ABS(M889))</f>
        <v>0.05</v>
      </c>
    </row>
    <row r="890" customFormat="false" ht="15" hidden="false" customHeight="false" outlineLevel="0" collapsed="false">
      <c r="A890" s="4" t="n">
        <v>402</v>
      </c>
      <c r="B890" s="4" t="n">
        <v>190</v>
      </c>
      <c r="C890" s="18" t="n">
        <v>0</v>
      </c>
      <c r="D890" s="21" t="n">
        <v>0</v>
      </c>
      <c r="E890" s="21" t="n">
        <v>0.02</v>
      </c>
      <c r="F890" s="21" t="n">
        <v>0.03</v>
      </c>
      <c r="G890" s="21" t="n">
        <v>-0.01</v>
      </c>
      <c r="H890" s="21" t="n">
        <v>0.01</v>
      </c>
      <c r="I890" s="21" t="n">
        <v>0.06</v>
      </c>
      <c r="J890" s="21" t="n">
        <v>-0.06</v>
      </c>
      <c r="K890" s="21" t="n">
        <v>0</v>
      </c>
      <c r="L890" s="21" t="n">
        <v>0.01</v>
      </c>
      <c r="M890" s="21" t="n">
        <v>0.03</v>
      </c>
      <c r="N890" s="21" t="n">
        <v>-0.02</v>
      </c>
      <c r="O890" s="21" t="n">
        <v>0.02</v>
      </c>
      <c r="P890" s="21" t="n">
        <v>0.09</v>
      </c>
      <c r="Q890" s="21" t="n">
        <v>-0.09</v>
      </c>
      <c r="R890" s="18" t="n">
        <f aca="false">ABS(D890)+MAX(ABS(G890),ABS(H890))+MAX(ABS(I890),ABS(J890))</f>
        <v>0.07</v>
      </c>
      <c r="S890" s="18" t="n">
        <f aca="false">ABS(K890)+MAX(ABS(N890),ABS(O890))+MAX(ABS(P890),ABS(Q890))</f>
        <v>0.11</v>
      </c>
      <c r="T890" s="18" t="n">
        <f aca="false">MAX(ABS(E890),ABS(F890))</f>
        <v>0.03</v>
      </c>
      <c r="U890" s="18" t="n">
        <f aca="false">MAX(ABS(L890),ABS(M890))</f>
        <v>0.03</v>
      </c>
    </row>
    <row r="891" customFormat="false" ht="15" hidden="false" customHeight="false" outlineLevel="0" collapsed="false">
      <c r="A891" s="4" t="n">
        <v>402</v>
      </c>
      <c r="B891" s="4" t="n">
        <v>190</v>
      </c>
      <c r="C891" s="18" t="n">
        <v>0.25</v>
      </c>
      <c r="D891" s="21" t="n">
        <v>0</v>
      </c>
      <c r="E891" s="21" t="n">
        <v>0.02</v>
      </c>
      <c r="F891" s="21" t="n">
        <v>0.03</v>
      </c>
      <c r="G891" s="21" t="n">
        <v>-0.01</v>
      </c>
      <c r="H891" s="21" t="n">
        <v>0.01</v>
      </c>
      <c r="I891" s="21" t="n">
        <v>0.05</v>
      </c>
      <c r="J891" s="21" t="n">
        <v>-0.05</v>
      </c>
      <c r="K891" s="21" t="n">
        <v>0</v>
      </c>
      <c r="L891" s="21" t="n">
        <v>0.01</v>
      </c>
      <c r="M891" s="21" t="n">
        <v>0.03</v>
      </c>
      <c r="N891" s="21" t="n">
        <v>-0.02</v>
      </c>
      <c r="O891" s="21" t="n">
        <v>0.02</v>
      </c>
      <c r="P891" s="21" t="n">
        <v>0.08</v>
      </c>
      <c r="Q891" s="21" t="n">
        <v>-0.08</v>
      </c>
      <c r="R891" s="18" t="n">
        <f aca="false">ABS(D891)+MAX(ABS(G891),ABS(H891))+MAX(ABS(I891),ABS(J891))</f>
        <v>0.06</v>
      </c>
      <c r="S891" s="18" t="n">
        <f aca="false">ABS(K891)+MAX(ABS(N891),ABS(O891))+MAX(ABS(P891),ABS(Q891))</f>
        <v>0.1</v>
      </c>
      <c r="T891" s="18" t="n">
        <f aca="false">MAX(ABS(E891),ABS(F891))</f>
        <v>0.03</v>
      </c>
      <c r="U891" s="18" t="n">
        <f aca="false">MAX(ABS(L891),ABS(M891))</f>
        <v>0.03</v>
      </c>
    </row>
    <row r="892" customFormat="false" ht="15" hidden="false" customHeight="false" outlineLevel="0" collapsed="false">
      <c r="A892" s="4" t="n">
        <v>402</v>
      </c>
      <c r="B892" s="4" t="n">
        <v>190</v>
      </c>
      <c r="C892" s="18" t="n">
        <v>0.5</v>
      </c>
      <c r="D892" s="21" t="n">
        <v>0</v>
      </c>
      <c r="E892" s="21" t="n">
        <v>0.02</v>
      </c>
      <c r="F892" s="21" t="n">
        <v>0.03</v>
      </c>
      <c r="G892" s="21" t="n">
        <v>0</v>
      </c>
      <c r="H892" s="21" t="n">
        <v>0</v>
      </c>
      <c r="I892" s="21" t="n">
        <v>0.03</v>
      </c>
      <c r="J892" s="21" t="n">
        <v>-0.03</v>
      </c>
      <c r="K892" s="21" t="n">
        <v>0</v>
      </c>
      <c r="L892" s="21" t="n">
        <v>0.01</v>
      </c>
      <c r="M892" s="21" t="n">
        <v>0.03</v>
      </c>
      <c r="N892" s="21" t="n">
        <v>-0.01</v>
      </c>
      <c r="O892" s="21" t="n">
        <v>0.01</v>
      </c>
      <c r="P892" s="21" t="n">
        <v>0.06</v>
      </c>
      <c r="Q892" s="21" t="n">
        <v>-0.06</v>
      </c>
      <c r="R892" s="18" t="n">
        <f aca="false">ABS(D892)+MAX(ABS(G892),ABS(H892))+MAX(ABS(I892),ABS(J892))</f>
        <v>0.03</v>
      </c>
      <c r="S892" s="18" t="n">
        <f aca="false">ABS(K892)+MAX(ABS(N892),ABS(O892))+MAX(ABS(P892),ABS(Q892))</f>
        <v>0.07</v>
      </c>
      <c r="T892" s="18" t="n">
        <f aca="false">MAX(ABS(E892),ABS(F892))</f>
        <v>0.03</v>
      </c>
      <c r="U892" s="18" t="n">
        <f aca="false">MAX(ABS(L892),ABS(M892))</f>
        <v>0.03</v>
      </c>
    </row>
    <row r="893" customFormat="false" ht="15" hidden="false" customHeight="false" outlineLevel="0" collapsed="false">
      <c r="A893" s="4" t="n">
        <v>402</v>
      </c>
      <c r="B893" s="4" t="n">
        <v>190</v>
      </c>
      <c r="C893" s="18" t="n">
        <v>0.75</v>
      </c>
      <c r="D893" s="21" t="n">
        <v>0</v>
      </c>
      <c r="E893" s="21" t="n">
        <v>0.02</v>
      </c>
      <c r="F893" s="21" t="n">
        <v>0.03</v>
      </c>
      <c r="G893" s="21" t="n">
        <v>0</v>
      </c>
      <c r="H893" s="21" t="n">
        <v>0</v>
      </c>
      <c r="I893" s="21" t="n">
        <v>0.01</v>
      </c>
      <c r="J893" s="21" t="n">
        <v>-0.01</v>
      </c>
      <c r="K893" s="21" t="n">
        <v>0</v>
      </c>
      <c r="L893" s="21" t="n">
        <v>0.01</v>
      </c>
      <c r="M893" s="21" t="n">
        <v>0.03</v>
      </c>
      <c r="N893" s="21" t="n">
        <v>-0.01</v>
      </c>
      <c r="O893" s="21" t="n">
        <v>0.01</v>
      </c>
      <c r="P893" s="21" t="n">
        <v>0.05</v>
      </c>
      <c r="Q893" s="21" t="n">
        <v>-0.05</v>
      </c>
      <c r="R893" s="18" t="n">
        <f aca="false">ABS(D893)+MAX(ABS(G893),ABS(H893))+MAX(ABS(I893),ABS(J893))</f>
        <v>0.01</v>
      </c>
      <c r="S893" s="18" t="n">
        <f aca="false">ABS(K893)+MAX(ABS(N893),ABS(O893))+MAX(ABS(P893),ABS(Q893))</f>
        <v>0.06</v>
      </c>
      <c r="T893" s="18" t="n">
        <f aca="false">MAX(ABS(E893),ABS(F893))</f>
        <v>0.03</v>
      </c>
      <c r="U893" s="18" t="n">
        <f aca="false">MAX(ABS(L893),ABS(M893))</f>
        <v>0.03</v>
      </c>
    </row>
    <row r="894" customFormat="false" ht="15" hidden="false" customHeight="false" outlineLevel="0" collapsed="false">
      <c r="A894" s="4" t="n">
        <v>402</v>
      </c>
      <c r="B894" s="4" t="n">
        <v>190</v>
      </c>
      <c r="C894" s="18" t="n">
        <v>1</v>
      </c>
      <c r="D894" s="21" t="n">
        <v>0</v>
      </c>
      <c r="E894" s="21" t="n">
        <v>0.02</v>
      </c>
      <c r="F894" s="21" t="n">
        <v>0.03</v>
      </c>
      <c r="G894" s="21" t="n">
        <v>0</v>
      </c>
      <c r="H894" s="21" t="n">
        <v>0</v>
      </c>
      <c r="I894" s="21" t="n">
        <v>0</v>
      </c>
      <c r="J894" s="21" t="n">
        <v>0</v>
      </c>
      <c r="K894" s="21" t="n">
        <v>0</v>
      </c>
      <c r="L894" s="21" t="n">
        <v>0.01</v>
      </c>
      <c r="M894" s="21" t="n">
        <v>0.03</v>
      </c>
      <c r="N894" s="21" t="n">
        <v>-0.01</v>
      </c>
      <c r="O894" s="21" t="n">
        <v>0.01</v>
      </c>
      <c r="P894" s="21" t="n">
        <v>0.03</v>
      </c>
      <c r="Q894" s="21" t="n">
        <v>-0.03</v>
      </c>
      <c r="R894" s="18" t="n">
        <f aca="false">ABS(D894)+MAX(ABS(G894),ABS(H894))+MAX(ABS(I894),ABS(J894))</f>
        <v>0</v>
      </c>
      <c r="S894" s="18" t="n">
        <f aca="false">ABS(K894)+MAX(ABS(N894),ABS(O894))+MAX(ABS(P894),ABS(Q894))</f>
        <v>0.04</v>
      </c>
      <c r="T894" s="18" t="n">
        <f aca="false">MAX(ABS(E894),ABS(F894))</f>
        <v>0.03</v>
      </c>
      <c r="U894" s="18" t="n">
        <f aca="false">MAX(ABS(L894),ABS(M894))</f>
        <v>0.03</v>
      </c>
    </row>
    <row r="895" customFormat="false" ht="15" hidden="false" customHeight="false" outlineLevel="0" collapsed="false">
      <c r="A895" s="4" t="n">
        <v>403</v>
      </c>
      <c r="B895" s="4" t="n">
        <v>191</v>
      </c>
      <c r="C895" s="18" t="n">
        <v>0</v>
      </c>
      <c r="D895" s="21" t="n">
        <v>0</v>
      </c>
      <c r="E895" s="21" t="n">
        <v>0</v>
      </c>
      <c r="F895" s="21" t="n">
        <v>0.03</v>
      </c>
      <c r="G895" s="21" t="n">
        <v>0.01</v>
      </c>
      <c r="H895" s="21" t="n">
        <v>-0.01</v>
      </c>
      <c r="I895" s="21" t="n">
        <v>-0.08</v>
      </c>
      <c r="J895" s="21" t="n">
        <v>0.08</v>
      </c>
      <c r="K895" s="21" t="n">
        <v>0</v>
      </c>
      <c r="L895" s="21" t="n">
        <v>0.01</v>
      </c>
      <c r="M895" s="21" t="n">
        <v>0.03</v>
      </c>
      <c r="N895" s="21" t="n">
        <v>0.01</v>
      </c>
      <c r="O895" s="21" t="n">
        <v>-0.01</v>
      </c>
      <c r="P895" s="21" t="n">
        <v>-0.05</v>
      </c>
      <c r="Q895" s="21" t="n">
        <v>0.05</v>
      </c>
      <c r="R895" s="18" t="n">
        <f aca="false">ABS(D895)+MAX(ABS(G895),ABS(H895))+MAX(ABS(I895),ABS(J895))</f>
        <v>0.09</v>
      </c>
      <c r="S895" s="18" t="n">
        <f aca="false">ABS(K895)+MAX(ABS(N895),ABS(O895))+MAX(ABS(P895),ABS(Q895))</f>
        <v>0.06</v>
      </c>
      <c r="T895" s="18" t="n">
        <f aca="false">MAX(ABS(E895),ABS(F895))</f>
        <v>0.03</v>
      </c>
      <c r="U895" s="18" t="n">
        <f aca="false">MAX(ABS(L895),ABS(M895))</f>
        <v>0.03</v>
      </c>
    </row>
    <row r="896" customFormat="false" ht="15" hidden="false" customHeight="false" outlineLevel="0" collapsed="false">
      <c r="A896" s="4" t="n">
        <v>403</v>
      </c>
      <c r="B896" s="4" t="n">
        <v>191</v>
      </c>
      <c r="C896" s="18" t="n">
        <v>0.25</v>
      </c>
      <c r="D896" s="21" t="n">
        <v>0</v>
      </c>
      <c r="E896" s="21" t="n">
        <v>0</v>
      </c>
      <c r="F896" s="21" t="n">
        <v>0.03</v>
      </c>
      <c r="G896" s="21" t="n">
        <v>0.01</v>
      </c>
      <c r="H896" s="21" t="n">
        <v>-0.01</v>
      </c>
      <c r="I896" s="21" t="n">
        <v>-0.06</v>
      </c>
      <c r="J896" s="21" t="n">
        <v>0.06</v>
      </c>
      <c r="K896" s="21" t="n">
        <v>0</v>
      </c>
      <c r="L896" s="21" t="n">
        <v>0.01</v>
      </c>
      <c r="M896" s="21" t="n">
        <v>0.03</v>
      </c>
      <c r="N896" s="21" t="n">
        <v>0.01</v>
      </c>
      <c r="O896" s="21" t="n">
        <v>-0.01</v>
      </c>
      <c r="P896" s="21" t="n">
        <v>-0.04</v>
      </c>
      <c r="Q896" s="21" t="n">
        <v>0.04</v>
      </c>
      <c r="R896" s="18" t="n">
        <f aca="false">ABS(D896)+MAX(ABS(G896),ABS(H896))+MAX(ABS(I896),ABS(J896))</f>
        <v>0.07</v>
      </c>
      <c r="S896" s="18" t="n">
        <f aca="false">ABS(K896)+MAX(ABS(N896),ABS(O896))+MAX(ABS(P896),ABS(Q896))</f>
        <v>0.05</v>
      </c>
      <c r="T896" s="18" t="n">
        <f aca="false">MAX(ABS(E896),ABS(F896))</f>
        <v>0.03</v>
      </c>
      <c r="U896" s="18" t="n">
        <f aca="false">MAX(ABS(L896),ABS(M896))</f>
        <v>0.03</v>
      </c>
    </row>
    <row r="897" customFormat="false" ht="15" hidden="false" customHeight="false" outlineLevel="0" collapsed="false">
      <c r="A897" s="4" t="n">
        <v>403</v>
      </c>
      <c r="B897" s="4" t="n">
        <v>191</v>
      </c>
      <c r="C897" s="18" t="n">
        <v>0.5</v>
      </c>
      <c r="D897" s="21" t="n">
        <v>0</v>
      </c>
      <c r="E897" s="21" t="n">
        <v>0</v>
      </c>
      <c r="F897" s="21" t="n">
        <v>0.03</v>
      </c>
      <c r="G897" s="21" t="n">
        <v>0.01</v>
      </c>
      <c r="H897" s="21" t="n">
        <v>-0.01</v>
      </c>
      <c r="I897" s="21" t="n">
        <v>-0.05</v>
      </c>
      <c r="J897" s="21" t="n">
        <v>0.05</v>
      </c>
      <c r="K897" s="21" t="n">
        <v>0</v>
      </c>
      <c r="L897" s="21" t="n">
        <v>0.01</v>
      </c>
      <c r="M897" s="21" t="n">
        <v>0.02</v>
      </c>
      <c r="N897" s="21" t="n">
        <v>0.01</v>
      </c>
      <c r="O897" s="21" t="n">
        <v>-0.01</v>
      </c>
      <c r="P897" s="21" t="n">
        <v>-0.03</v>
      </c>
      <c r="Q897" s="21" t="n">
        <v>0.03</v>
      </c>
      <c r="R897" s="18" t="n">
        <f aca="false">ABS(D897)+MAX(ABS(G897),ABS(H897))+MAX(ABS(I897),ABS(J897))</f>
        <v>0.06</v>
      </c>
      <c r="S897" s="18" t="n">
        <f aca="false">ABS(K897)+MAX(ABS(N897),ABS(O897))+MAX(ABS(P897),ABS(Q897))</f>
        <v>0.04</v>
      </c>
      <c r="T897" s="18" t="n">
        <f aca="false">MAX(ABS(E897),ABS(F897))</f>
        <v>0.03</v>
      </c>
      <c r="U897" s="18" t="n">
        <f aca="false">MAX(ABS(L897),ABS(M897))</f>
        <v>0.02</v>
      </c>
    </row>
    <row r="898" customFormat="false" ht="15" hidden="false" customHeight="false" outlineLevel="0" collapsed="false">
      <c r="A898" s="4" t="n">
        <v>403</v>
      </c>
      <c r="B898" s="4" t="n">
        <v>191</v>
      </c>
      <c r="C898" s="18" t="n">
        <v>0.75</v>
      </c>
      <c r="D898" s="21" t="n">
        <v>0</v>
      </c>
      <c r="E898" s="21" t="n">
        <v>0</v>
      </c>
      <c r="F898" s="21" t="n">
        <v>0.03</v>
      </c>
      <c r="G898" s="21" t="n">
        <v>0.01</v>
      </c>
      <c r="H898" s="21" t="n">
        <v>-0.01</v>
      </c>
      <c r="I898" s="21" t="n">
        <v>-0.04</v>
      </c>
      <c r="J898" s="21" t="n">
        <v>0.04</v>
      </c>
      <c r="K898" s="21" t="n">
        <v>0</v>
      </c>
      <c r="L898" s="21" t="n">
        <v>0.01</v>
      </c>
      <c r="M898" s="21" t="n">
        <v>0.02</v>
      </c>
      <c r="N898" s="21" t="n">
        <v>0.01</v>
      </c>
      <c r="O898" s="21" t="n">
        <v>-0.01</v>
      </c>
      <c r="P898" s="21" t="n">
        <v>-0.02</v>
      </c>
      <c r="Q898" s="21" t="n">
        <v>0.02</v>
      </c>
      <c r="R898" s="18" t="n">
        <f aca="false">ABS(D898)+MAX(ABS(G898),ABS(H898))+MAX(ABS(I898),ABS(J898))</f>
        <v>0.05</v>
      </c>
      <c r="S898" s="18" t="n">
        <f aca="false">ABS(K898)+MAX(ABS(N898),ABS(O898))+MAX(ABS(P898),ABS(Q898))</f>
        <v>0.03</v>
      </c>
      <c r="T898" s="18" t="n">
        <f aca="false">MAX(ABS(E898),ABS(F898))</f>
        <v>0.03</v>
      </c>
      <c r="U898" s="18" t="n">
        <f aca="false">MAX(ABS(L898),ABS(M898))</f>
        <v>0.02</v>
      </c>
    </row>
    <row r="899" customFormat="false" ht="15" hidden="false" customHeight="false" outlineLevel="0" collapsed="false">
      <c r="A899" s="4" t="n">
        <v>403</v>
      </c>
      <c r="B899" s="4" t="n">
        <v>191</v>
      </c>
      <c r="C899" s="18" t="n">
        <v>1</v>
      </c>
      <c r="D899" s="21" t="n">
        <v>0</v>
      </c>
      <c r="E899" s="21" t="n">
        <v>0</v>
      </c>
      <c r="F899" s="21" t="n">
        <v>0.02</v>
      </c>
      <c r="G899" s="21" t="n">
        <v>0.01</v>
      </c>
      <c r="H899" s="21" t="n">
        <v>-0.01</v>
      </c>
      <c r="I899" s="21" t="n">
        <v>-0.03</v>
      </c>
      <c r="J899" s="21" t="n">
        <v>0.03</v>
      </c>
      <c r="K899" s="21" t="n">
        <v>0</v>
      </c>
      <c r="L899" s="21" t="n">
        <v>0.01</v>
      </c>
      <c r="M899" s="21" t="n">
        <v>0.02</v>
      </c>
      <c r="N899" s="21" t="n">
        <v>0.01</v>
      </c>
      <c r="O899" s="21" t="n">
        <v>-0.01</v>
      </c>
      <c r="P899" s="21" t="n">
        <v>-0.01</v>
      </c>
      <c r="Q899" s="21" t="n">
        <v>0.01</v>
      </c>
      <c r="R899" s="18" t="n">
        <f aca="false">ABS(D899)+MAX(ABS(G899),ABS(H899))+MAX(ABS(I899),ABS(J899))</f>
        <v>0.04</v>
      </c>
      <c r="S899" s="18" t="n">
        <f aca="false">ABS(K899)+MAX(ABS(N899),ABS(O899))+MAX(ABS(P899),ABS(Q899))</f>
        <v>0.02</v>
      </c>
      <c r="T899" s="18" t="n">
        <f aca="false">MAX(ABS(E899),ABS(F899))</f>
        <v>0.02</v>
      </c>
      <c r="U899" s="18" t="n">
        <f aca="false">MAX(ABS(L899),ABS(M899))</f>
        <v>0.02</v>
      </c>
    </row>
    <row r="900" customFormat="false" ht="15" hidden="false" customHeight="false" outlineLevel="0" collapsed="false">
      <c r="A900" s="4" t="n">
        <v>404</v>
      </c>
      <c r="B900" s="4" t="n">
        <v>192</v>
      </c>
      <c r="C900" s="18" t="n">
        <v>0</v>
      </c>
      <c r="D900" s="21" t="n">
        <v>0</v>
      </c>
      <c r="E900" s="21" t="n">
        <v>0.01</v>
      </c>
      <c r="F900" s="21" t="n">
        <v>0.03</v>
      </c>
      <c r="G900" s="21" t="n">
        <v>-0.03</v>
      </c>
      <c r="H900" s="21" t="n">
        <v>0.03</v>
      </c>
      <c r="I900" s="21" t="n">
        <v>-0.02</v>
      </c>
      <c r="J900" s="21" t="n">
        <v>0.02</v>
      </c>
      <c r="K900" s="21" t="n">
        <v>0</v>
      </c>
      <c r="L900" s="21" t="n">
        <v>0.01</v>
      </c>
      <c r="M900" s="21" t="n">
        <v>0.03</v>
      </c>
      <c r="N900" s="21" t="n">
        <v>-0.03</v>
      </c>
      <c r="O900" s="21" t="n">
        <v>0.03</v>
      </c>
      <c r="P900" s="21" t="n">
        <v>-0.02</v>
      </c>
      <c r="Q900" s="21" t="n">
        <v>0.02</v>
      </c>
      <c r="R900" s="18" t="n">
        <f aca="false">ABS(D900)+MAX(ABS(G900),ABS(H900))+MAX(ABS(I900),ABS(J900))</f>
        <v>0.05</v>
      </c>
      <c r="S900" s="18" t="n">
        <f aca="false">ABS(K900)+MAX(ABS(N900),ABS(O900))+MAX(ABS(P900),ABS(Q900))</f>
        <v>0.05</v>
      </c>
      <c r="T900" s="18" t="n">
        <f aca="false">MAX(ABS(E900),ABS(F900))</f>
        <v>0.03</v>
      </c>
      <c r="U900" s="18" t="n">
        <f aca="false">MAX(ABS(L900),ABS(M900))</f>
        <v>0.03</v>
      </c>
    </row>
    <row r="901" customFormat="false" ht="15" hidden="false" customHeight="false" outlineLevel="0" collapsed="false">
      <c r="A901" s="4" t="n">
        <v>404</v>
      </c>
      <c r="B901" s="4" t="n">
        <v>192</v>
      </c>
      <c r="C901" s="18" t="n">
        <v>0.25</v>
      </c>
      <c r="D901" s="21" t="n">
        <v>0</v>
      </c>
      <c r="E901" s="21" t="n">
        <v>0.01</v>
      </c>
      <c r="F901" s="21" t="n">
        <v>0.03</v>
      </c>
      <c r="G901" s="21" t="n">
        <v>-0.03</v>
      </c>
      <c r="H901" s="21" t="n">
        <v>0.03</v>
      </c>
      <c r="I901" s="21" t="n">
        <v>-0.01</v>
      </c>
      <c r="J901" s="21" t="n">
        <v>0.01</v>
      </c>
      <c r="K901" s="21" t="n">
        <v>0</v>
      </c>
      <c r="L901" s="21" t="n">
        <v>0.01</v>
      </c>
      <c r="M901" s="21" t="n">
        <v>0.03</v>
      </c>
      <c r="N901" s="21" t="n">
        <v>-0.03</v>
      </c>
      <c r="O901" s="21" t="n">
        <v>0.03</v>
      </c>
      <c r="P901" s="21" t="n">
        <v>-0.01</v>
      </c>
      <c r="Q901" s="21" t="n">
        <v>0.01</v>
      </c>
      <c r="R901" s="18" t="n">
        <f aca="false">ABS(D901)+MAX(ABS(G901),ABS(H901))+MAX(ABS(I901),ABS(J901))</f>
        <v>0.04</v>
      </c>
      <c r="S901" s="18" t="n">
        <f aca="false">ABS(K901)+MAX(ABS(N901),ABS(O901))+MAX(ABS(P901),ABS(Q901))</f>
        <v>0.04</v>
      </c>
      <c r="T901" s="18" t="n">
        <f aca="false">MAX(ABS(E901),ABS(F901))</f>
        <v>0.03</v>
      </c>
      <c r="U901" s="18" t="n">
        <f aca="false">MAX(ABS(L901),ABS(M901))</f>
        <v>0.03</v>
      </c>
    </row>
    <row r="902" customFormat="false" ht="15" hidden="false" customHeight="false" outlineLevel="0" collapsed="false">
      <c r="A902" s="4" t="n">
        <v>404</v>
      </c>
      <c r="B902" s="4" t="n">
        <v>192</v>
      </c>
      <c r="C902" s="18" t="n">
        <v>0.5</v>
      </c>
      <c r="D902" s="21" t="n">
        <v>0</v>
      </c>
      <c r="E902" s="21" t="n">
        <v>0.01</v>
      </c>
      <c r="F902" s="21" t="n">
        <v>0.03</v>
      </c>
      <c r="G902" s="21" t="n">
        <v>-0.03</v>
      </c>
      <c r="H902" s="21" t="n">
        <v>0.03</v>
      </c>
      <c r="I902" s="21" t="n">
        <v>0</v>
      </c>
      <c r="J902" s="21" t="n">
        <v>0</v>
      </c>
      <c r="K902" s="21" t="n">
        <v>0</v>
      </c>
      <c r="L902" s="21" t="n">
        <v>0.01</v>
      </c>
      <c r="M902" s="21" t="n">
        <v>0.03</v>
      </c>
      <c r="N902" s="21" t="n">
        <v>-0.03</v>
      </c>
      <c r="O902" s="21" t="n">
        <v>0.03</v>
      </c>
      <c r="P902" s="21" t="n">
        <v>0</v>
      </c>
      <c r="Q902" s="21" t="n">
        <v>0</v>
      </c>
      <c r="R902" s="18" t="n">
        <f aca="false">ABS(D902)+MAX(ABS(G902),ABS(H902))+MAX(ABS(I902),ABS(J902))</f>
        <v>0.03</v>
      </c>
      <c r="S902" s="18" t="n">
        <f aca="false">ABS(K902)+MAX(ABS(N902),ABS(O902))+MAX(ABS(P902),ABS(Q902))</f>
        <v>0.03</v>
      </c>
      <c r="T902" s="18" t="n">
        <f aca="false">MAX(ABS(E902),ABS(F902))</f>
        <v>0.03</v>
      </c>
      <c r="U902" s="18" t="n">
        <f aca="false">MAX(ABS(L902),ABS(M902))</f>
        <v>0.03</v>
      </c>
    </row>
    <row r="903" customFormat="false" ht="15" hidden="false" customHeight="false" outlineLevel="0" collapsed="false">
      <c r="A903" s="4" t="n">
        <v>404</v>
      </c>
      <c r="B903" s="4" t="n">
        <v>192</v>
      </c>
      <c r="C903" s="18" t="n">
        <v>0.75</v>
      </c>
      <c r="D903" s="21" t="n">
        <v>0</v>
      </c>
      <c r="E903" s="21" t="n">
        <v>0.01</v>
      </c>
      <c r="F903" s="21" t="n">
        <v>0.03</v>
      </c>
      <c r="G903" s="21" t="n">
        <v>-0.03</v>
      </c>
      <c r="H903" s="21" t="n">
        <v>0.03</v>
      </c>
      <c r="I903" s="21" t="n">
        <v>0.01</v>
      </c>
      <c r="J903" s="21" t="n">
        <v>-0.01</v>
      </c>
      <c r="K903" s="21" t="n">
        <v>0</v>
      </c>
      <c r="L903" s="21" t="n">
        <v>0.01</v>
      </c>
      <c r="M903" s="21" t="n">
        <v>0.03</v>
      </c>
      <c r="N903" s="21" t="n">
        <v>-0.03</v>
      </c>
      <c r="O903" s="21" t="n">
        <v>0.03</v>
      </c>
      <c r="P903" s="21" t="n">
        <v>0.02</v>
      </c>
      <c r="Q903" s="21" t="n">
        <v>-0.02</v>
      </c>
      <c r="R903" s="18" t="n">
        <f aca="false">ABS(D903)+MAX(ABS(G903),ABS(H903))+MAX(ABS(I903),ABS(J903))</f>
        <v>0.04</v>
      </c>
      <c r="S903" s="18" t="n">
        <f aca="false">ABS(K903)+MAX(ABS(N903),ABS(O903))+MAX(ABS(P903),ABS(Q903))</f>
        <v>0.05</v>
      </c>
      <c r="T903" s="18" t="n">
        <f aca="false">MAX(ABS(E903),ABS(F903))</f>
        <v>0.03</v>
      </c>
      <c r="U903" s="18" t="n">
        <f aca="false">MAX(ABS(L903),ABS(M903))</f>
        <v>0.03</v>
      </c>
    </row>
    <row r="904" customFormat="false" ht="15" hidden="false" customHeight="false" outlineLevel="0" collapsed="false">
      <c r="A904" s="4" t="n">
        <v>404</v>
      </c>
      <c r="B904" s="4" t="n">
        <v>192</v>
      </c>
      <c r="C904" s="18" t="n">
        <v>1</v>
      </c>
      <c r="D904" s="21" t="n">
        <v>0</v>
      </c>
      <c r="E904" s="21" t="n">
        <v>0.01</v>
      </c>
      <c r="F904" s="21" t="n">
        <v>0.02</v>
      </c>
      <c r="G904" s="21" t="n">
        <v>-0.04</v>
      </c>
      <c r="H904" s="21" t="n">
        <v>0.04</v>
      </c>
      <c r="I904" s="21" t="n">
        <v>0.02</v>
      </c>
      <c r="J904" s="21" t="n">
        <v>-0.02</v>
      </c>
      <c r="K904" s="21" t="n">
        <v>0</v>
      </c>
      <c r="L904" s="21" t="n">
        <v>0.01</v>
      </c>
      <c r="M904" s="21" t="n">
        <v>0.03</v>
      </c>
      <c r="N904" s="21" t="n">
        <v>-0.04</v>
      </c>
      <c r="O904" s="21" t="n">
        <v>0.04</v>
      </c>
      <c r="P904" s="21" t="n">
        <v>0.03</v>
      </c>
      <c r="Q904" s="21" t="n">
        <v>-0.03</v>
      </c>
      <c r="R904" s="18" t="n">
        <f aca="false">ABS(D904)+MAX(ABS(G904),ABS(H904))+MAX(ABS(I904),ABS(J904))</f>
        <v>0.06</v>
      </c>
      <c r="S904" s="18" t="n">
        <f aca="false">ABS(K904)+MAX(ABS(N904),ABS(O904))+MAX(ABS(P904),ABS(Q904))</f>
        <v>0.07</v>
      </c>
      <c r="T904" s="18" t="n">
        <f aca="false">MAX(ABS(E904),ABS(F904))</f>
        <v>0.02</v>
      </c>
      <c r="U904" s="18" t="n">
        <f aca="false">MAX(ABS(L904),ABS(M904))</f>
        <v>0.03</v>
      </c>
    </row>
    <row r="905" customFormat="false" ht="15" hidden="false" customHeight="false" outlineLevel="0" collapsed="false">
      <c r="A905" s="4" t="n">
        <v>405</v>
      </c>
      <c r="B905" s="4" t="n">
        <v>193</v>
      </c>
      <c r="C905" s="18" t="n">
        <v>0</v>
      </c>
      <c r="D905" s="21" t="n">
        <v>0</v>
      </c>
      <c r="E905" s="21" t="n">
        <v>0.01</v>
      </c>
      <c r="F905" s="21" t="n">
        <v>0.01</v>
      </c>
      <c r="G905" s="21" t="n">
        <v>-0.03</v>
      </c>
      <c r="H905" s="21" t="n">
        <v>0.03</v>
      </c>
      <c r="I905" s="21" t="n">
        <v>0.09</v>
      </c>
      <c r="J905" s="21" t="n">
        <v>-0.09</v>
      </c>
      <c r="K905" s="21" t="n">
        <v>0</v>
      </c>
      <c r="L905" s="21" t="n">
        <v>0.01</v>
      </c>
      <c r="M905" s="21" t="n">
        <v>0.01</v>
      </c>
      <c r="N905" s="21" t="n">
        <v>-0.03</v>
      </c>
      <c r="O905" s="21" t="n">
        <v>0.03</v>
      </c>
      <c r="P905" s="21" t="n">
        <v>0.1</v>
      </c>
      <c r="Q905" s="21" t="n">
        <v>-0.1</v>
      </c>
      <c r="R905" s="18" t="n">
        <f aca="false">ABS(D905)+MAX(ABS(G905),ABS(H905))+MAX(ABS(I905),ABS(J905))</f>
        <v>0.12</v>
      </c>
      <c r="S905" s="18" t="n">
        <f aca="false">ABS(K905)+MAX(ABS(N905),ABS(O905))+MAX(ABS(P905),ABS(Q905))</f>
        <v>0.13</v>
      </c>
      <c r="T905" s="18" t="n">
        <f aca="false">MAX(ABS(E905),ABS(F905))</f>
        <v>0.01</v>
      </c>
      <c r="U905" s="18" t="n">
        <f aca="false">MAX(ABS(L905),ABS(M905))</f>
        <v>0.01</v>
      </c>
    </row>
    <row r="906" customFormat="false" ht="15" hidden="false" customHeight="false" outlineLevel="0" collapsed="false">
      <c r="A906" s="4" t="n">
        <v>405</v>
      </c>
      <c r="B906" s="4" t="n">
        <v>193</v>
      </c>
      <c r="C906" s="18" t="n">
        <v>0.25</v>
      </c>
      <c r="D906" s="21" t="n">
        <v>0</v>
      </c>
      <c r="E906" s="21" t="n">
        <v>0.01</v>
      </c>
      <c r="F906" s="21" t="n">
        <v>0.01</v>
      </c>
      <c r="G906" s="21" t="n">
        <v>-0.02</v>
      </c>
      <c r="H906" s="21" t="n">
        <v>0.02</v>
      </c>
      <c r="I906" s="21" t="n">
        <v>0.09</v>
      </c>
      <c r="J906" s="21" t="n">
        <v>-0.09</v>
      </c>
      <c r="K906" s="21" t="n">
        <v>0</v>
      </c>
      <c r="L906" s="21" t="n">
        <v>0.01</v>
      </c>
      <c r="M906" s="21" t="n">
        <v>0.01</v>
      </c>
      <c r="N906" s="21" t="n">
        <v>-0.03</v>
      </c>
      <c r="O906" s="21" t="n">
        <v>0.03</v>
      </c>
      <c r="P906" s="21" t="n">
        <v>0.09</v>
      </c>
      <c r="Q906" s="21" t="n">
        <v>-0.09</v>
      </c>
      <c r="R906" s="18" t="n">
        <f aca="false">ABS(D906)+MAX(ABS(G906),ABS(H906))+MAX(ABS(I906),ABS(J906))</f>
        <v>0.11</v>
      </c>
      <c r="S906" s="18" t="n">
        <f aca="false">ABS(K906)+MAX(ABS(N906),ABS(O906))+MAX(ABS(P906),ABS(Q906))</f>
        <v>0.12</v>
      </c>
      <c r="T906" s="18" t="n">
        <f aca="false">MAX(ABS(E906),ABS(F906))</f>
        <v>0.01</v>
      </c>
      <c r="U906" s="18" t="n">
        <f aca="false">MAX(ABS(L906),ABS(M906))</f>
        <v>0.01</v>
      </c>
    </row>
    <row r="907" customFormat="false" ht="15" hidden="false" customHeight="false" outlineLevel="0" collapsed="false">
      <c r="A907" s="4" t="n">
        <v>405</v>
      </c>
      <c r="B907" s="4" t="n">
        <v>193</v>
      </c>
      <c r="C907" s="18" t="n">
        <v>0.5</v>
      </c>
      <c r="D907" s="21" t="n">
        <v>0</v>
      </c>
      <c r="E907" s="21" t="n">
        <v>0.01</v>
      </c>
      <c r="F907" s="21" t="n">
        <v>0.01</v>
      </c>
      <c r="G907" s="21" t="n">
        <v>-0.02</v>
      </c>
      <c r="H907" s="21" t="n">
        <v>0.02</v>
      </c>
      <c r="I907" s="21" t="n">
        <v>0.08</v>
      </c>
      <c r="J907" s="21" t="n">
        <v>-0.08</v>
      </c>
      <c r="K907" s="21" t="n">
        <v>0</v>
      </c>
      <c r="L907" s="21" t="n">
        <v>0.01</v>
      </c>
      <c r="M907" s="21" t="n">
        <v>0.02</v>
      </c>
      <c r="N907" s="21" t="n">
        <v>-0.02</v>
      </c>
      <c r="O907" s="21" t="n">
        <v>0.02</v>
      </c>
      <c r="P907" s="21" t="n">
        <v>0.09</v>
      </c>
      <c r="Q907" s="21" t="n">
        <v>-0.09</v>
      </c>
      <c r="R907" s="18" t="n">
        <f aca="false">ABS(D907)+MAX(ABS(G907),ABS(H907))+MAX(ABS(I907),ABS(J907))</f>
        <v>0.1</v>
      </c>
      <c r="S907" s="18" t="n">
        <f aca="false">ABS(K907)+MAX(ABS(N907),ABS(O907))+MAX(ABS(P907),ABS(Q907))</f>
        <v>0.11</v>
      </c>
      <c r="T907" s="18" t="n">
        <f aca="false">MAX(ABS(E907),ABS(F907))</f>
        <v>0.01</v>
      </c>
      <c r="U907" s="18" t="n">
        <f aca="false">MAX(ABS(L907),ABS(M907))</f>
        <v>0.02</v>
      </c>
    </row>
    <row r="908" customFormat="false" ht="15" hidden="false" customHeight="false" outlineLevel="0" collapsed="false">
      <c r="A908" s="4" t="n">
        <v>405</v>
      </c>
      <c r="B908" s="4" t="n">
        <v>193</v>
      </c>
      <c r="C908" s="18" t="n">
        <v>0.75</v>
      </c>
      <c r="D908" s="21" t="n">
        <v>0</v>
      </c>
      <c r="E908" s="21" t="n">
        <v>0.01</v>
      </c>
      <c r="F908" s="21" t="n">
        <v>0.02</v>
      </c>
      <c r="G908" s="21" t="n">
        <v>-0.02</v>
      </c>
      <c r="H908" s="21" t="n">
        <v>0.02</v>
      </c>
      <c r="I908" s="21" t="n">
        <v>0.08</v>
      </c>
      <c r="J908" s="21" t="n">
        <v>-0.08</v>
      </c>
      <c r="K908" s="21" t="n">
        <v>0</v>
      </c>
      <c r="L908" s="21" t="n">
        <v>0.01</v>
      </c>
      <c r="M908" s="21" t="n">
        <v>0.02</v>
      </c>
      <c r="N908" s="21" t="n">
        <v>-0.02</v>
      </c>
      <c r="O908" s="21" t="n">
        <v>0.02</v>
      </c>
      <c r="P908" s="21" t="n">
        <v>0.08</v>
      </c>
      <c r="Q908" s="21" t="n">
        <v>-0.08</v>
      </c>
      <c r="R908" s="18" t="n">
        <f aca="false">ABS(D908)+MAX(ABS(G908),ABS(H908))+MAX(ABS(I908),ABS(J908))</f>
        <v>0.1</v>
      </c>
      <c r="S908" s="18" t="n">
        <f aca="false">ABS(K908)+MAX(ABS(N908),ABS(O908))+MAX(ABS(P908),ABS(Q908))</f>
        <v>0.1</v>
      </c>
      <c r="T908" s="18" t="n">
        <f aca="false">MAX(ABS(E908),ABS(F908))</f>
        <v>0.02</v>
      </c>
      <c r="U908" s="18" t="n">
        <f aca="false">MAX(ABS(L908),ABS(M908))</f>
        <v>0.02</v>
      </c>
    </row>
    <row r="909" customFormat="false" ht="15" hidden="false" customHeight="false" outlineLevel="0" collapsed="false">
      <c r="A909" s="4" t="n">
        <v>405</v>
      </c>
      <c r="B909" s="4" t="n">
        <v>193</v>
      </c>
      <c r="C909" s="18" t="n">
        <v>1</v>
      </c>
      <c r="D909" s="21" t="n">
        <v>0</v>
      </c>
      <c r="E909" s="21" t="n">
        <v>0.01</v>
      </c>
      <c r="F909" s="21" t="n">
        <v>0.02</v>
      </c>
      <c r="G909" s="21" t="n">
        <v>-0.02</v>
      </c>
      <c r="H909" s="21" t="n">
        <v>0.02</v>
      </c>
      <c r="I909" s="21" t="n">
        <v>0.07</v>
      </c>
      <c r="J909" s="21" t="n">
        <v>-0.07</v>
      </c>
      <c r="K909" s="21" t="n">
        <v>0</v>
      </c>
      <c r="L909" s="21" t="n">
        <v>0.01</v>
      </c>
      <c r="M909" s="21" t="n">
        <v>0.02</v>
      </c>
      <c r="N909" s="21" t="n">
        <v>-0.02</v>
      </c>
      <c r="O909" s="21" t="n">
        <v>0.02</v>
      </c>
      <c r="P909" s="21" t="n">
        <v>0.07</v>
      </c>
      <c r="Q909" s="21" t="n">
        <v>-0.07</v>
      </c>
      <c r="R909" s="18" t="n">
        <f aca="false">ABS(D909)+MAX(ABS(G909),ABS(H909))+MAX(ABS(I909),ABS(J909))</f>
        <v>0.09</v>
      </c>
      <c r="S909" s="18" t="n">
        <f aca="false">ABS(K909)+MAX(ABS(N909),ABS(O909))+MAX(ABS(P909),ABS(Q909))</f>
        <v>0.09</v>
      </c>
      <c r="T909" s="18" t="n">
        <f aca="false">MAX(ABS(E909),ABS(F909))</f>
        <v>0.02</v>
      </c>
      <c r="U909" s="18" t="n">
        <f aca="false">MAX(ABS(L909),ABS(M909))</f>
        <v>0.02</v>
      </c>
    </row>
    <row r="910" customFormat="false" ht="15" hidden="false" customHeight="false" outlineLevel="0" collapsed="false">
      <c r="A910" s="4" t="n">
        <v>406</v>
      </c>
      <c r="B910" s="4" t="n">
        <v>194</v>
      </c>
      <c r="C910" s="18" t="n">
        <v>0</v>
      </c>
      <c r="D910" s="21" t="n">
        <v>0</v>
      </c>
      <c r="E910" s="21" t="n">
        <v>0.01</v>
      </c>
      <c r="F910" s="21" t="n">
        <v>0.01</v>
      </c>
      <c r="G910" s="21" t="n">
        <v>0</v>
      </c>
      <c r="H910" s="21" t="n">
        <v>0</v>
      </c>
      <c r="I910" s="21" t="n">
        <v>-0.01</v>
      </c>
      <c r="J910" s="21" t="n">
        <v>0.01</v>
      </c>
      <c r="K910" s="21" t="n">
        <v>0</v>
      </c>
      <c r="L910" s="21" t="n">
        <v>0.01</v>
      </c>
      <c r="M910" s="21" t="n">
        <v>0.01</v>
      </c>
      <c r="N910" s="21" t="n">
        <v>0</v>
      </c>
      <c r="O910" s="21" t="n">
        <v>0</v>
      </c>
      <c r="P910" s="21" t="n">
        <v>-0.01</v>
      </c>
      <c r="Q910" s="21" t="n">
        <v>0.01</v>
      </c>
      <c r="R910" s="18" t="n">
        <f aca="false">ABS(D910)+MAX(ABS(G910),ABS(H910))+MAX(ABS(I910),ABS(J910))</f>
        <v>0.01</v>
      </c>
      <c r="S910" s="18" t="n">
        <f aca="false">ABS(K910)+MAX(ABS(N910),ABS(O910))+MAX(ABS(P910),ABS(Q910))</f>
        <v>0.01</v>
      </c>
      <c r="T910" s="18" t="n">
        <f aca="false">MAX(ABS(E910),ABS(F910))</f>
        <v>0.01</v>
      </c>
      <c r="U910" s="18" t="n">
        <f aca="false">MAX(ABS(L910),ABS(M910))</f>
        <v>0.01</v>
      </c>
    </row>
    <row r="911" customFormat="false" ht="15" hidden="false" customHeight="false" outlineLevel="0" collapsed="false">
      <c r="A911" s="4" t="n">
        <v>406</v>
      </c>
      <c r="B911" s="4" t="n">
        <v>194</v>
      </c>
      <c r="C911" s="18" t="n">
        <v>0.25</v>
      </c>
      <c r="D911" s="21" t="n">
        <v>0</v>
      </c>
      <c r="E911" s="21" t="n">
        <v>0.01</v>
      </c>
      <c r="F911" s="21" t="n">
        <v>0.01</v>
      </c>
      <c r="G911" s="21" t="n">
        <v>0</v>
      </c>
      <c r="H911" s="21" t="n">
        <v>0</v>
      </c>
      <c r="I911" s="21" t="n">
        <v>-0.01</v>
      </c>
      <c r="J911" s="21" t="n">
        <v>0.01</v>
      </c>
      <c r="K911" s="21" t="n">
        <v>0</v>
      </c>
      <c r="L911" s="21" t="n">
        <v>0.01</v>
      </c>
      <c r="M911" s="21" t="n">
        <v>0.01</v>
      </c>
      <c r="N911" s="21" t="n">
        <v>0</v>
      </c>
      <c r="O911" s="21" t="n">
        <v>0</v>
      </c>
      <c r="P911" s="21" t="n">
        <v>0</v>
      </c>
      <c r="Q911" s="21" t="n">
        <v>0</v>
      </c>
      <c r="R911" s="18" t="n">
        <f aca="false">ABS(D911)+MAX(ABS(G911),ABS(H911))+MAX(ABS(I911),ABS(J911))</f>
        <v>0.01</v>
      </c>
      <c r="S911" s="18" t="n">
        <f aca="false">ABS(K911)+MAX(ABS(N911),ABS(O911))+MAX(ABS(P911),ABS(Q911))</f>
        <v>0</v>
      </c>
      <c r="T911" s="18" t="n">
        <f aca="false">MAX(ABS(E911),ABS(F911))</f>
        <v>0.01</v>
      </c>
      <c r="U911" s="18" t="n">
        <f aca="false">MAX(ABS(L911),ABS(M911))</f>
        <v>0.01</v>
      </c>
    </row>
    <row r="912" customFormat="false" ht="15" hidden="false" customHeight="false" outlineLevel="0" collapsed="false">
      <c r="A912" s="4" t="n">
        <v>406</v>
      </c>
      <c r="B912" s="4" t="n">
        <v>194</v>
      </c>
      <c r="C912" s="18" t="n">
        <v>0.5</v>
      </c>
      <c r="D912" s="21" t="n">
        <v>0</v>
      </c>
      <c r="E912" s="21" t="n">
        <v>0.01</v>
      </c>
      <c r="F912" s="21" t="n">
        <v>0</v>
      </c>
      <c r="G912" s="21" t="n">
        <v>0</v>
      </c>
      <c r="H912" s="21" t="n">
        <v>0</v>
      </c>
      <c r="I912" s="21" t="n">
        <v>-0.01</v>
      </c>
      <c r="J912" s="21" t="n">
        <v>0.01</v>
      </c>
      <c r="K912" s="21" t="n">
        <v>0</v>
      </c>
      <c r="L912" s="21" t="n">
        <v>0.01</v>
      </c>
      <c r="M912" s="21" t="n">
        <v>0</v>
      </c>
      <c r="N912" s="21" t="n">
        <v>0</v>
      </c>
      <c r="O912" s="21" t="n">
        <v>0</v>
      </c>
      <c r="P912" s="21" t="n">
        <v>0</v>
      </c>
      <c r="Q912" s="21" t="n">
        <v>0</v>
      </c>
      <c r="R912" s="18" t="n">
        <f aca="false">ABS(D912)+MAX(ABS(G912),ABS(H912))+MAX(ABS(I912),ABS(J912))</f>
        <v>0.01</v>
      </c>
      <c r="S912" s="18" t="n">
        <f aca="false">ABS(K912)+MAX(ABS(N912),ABS(O912))+MAX(ABS(P912),ABS(Q912))</f>
        <v>0</v>
      </c>
      <c r="T912" s="18" t="n">
        <f aca="false">MAX(ABS(E912),ABS(F912))</f>
        <v>0.01</v>
      </c>
      <c r="U912" s="18" t="n">
        <f aca="false">MAX(ABS(L912),ABS(M912))</f>
        <v>0.01</v>
      </c>
    </row>
    <row r="913" customFormat="false" ht="15" hidden="false" customHeight="false" outlineLevel="0" collapsed="false">
      <c r="A913" s="4" t="n">
        <v>406</v>
      </c>
      <c r="B913" s="4" t="n">
        <v>194</v>
      </c>
      <c r="C913" s="18" t="n">
        <v>0.75</v>
      </c>
      <c r="D913" s="21" t="n">
        <v>0</v>
      </c>
      <c r="E913" s="21" t="n">
        <v>0.01</v>
      </c>
      <c r="F913" s="21" t="n">
        <v>0</v>
      </c>
      <c r="G913" s="21" t="n">
        <v>0.01</v>
      </c>
      <c r="H913" s="21" t="n">
        <v>-0.01</v>
      </c>
      <c r="I913" s="21" t="n">
        <v>0</v>
      </c>
      <c r="J913" s="21" t="n">
        <v>0</v>
      </c>
      <c r="K913" s="21" t="n">
        <v>0</v>
      </c>
      <c r="L913" s="21" t="n">
        <v>0.01</v>
      </c>
      <c r="M913" s="21" t="n">
        <v>0</v>
      </c>
      <c r="N913" s="21" t="n">
        <v>0.01</v>
      </c>
      <c r="O913" s="21" t="n">
        <v>-0.01</v>
      </c>
      <c r="P913" s="21" t="n">
        <v>0</v>
      </c>
      <c r="Q913" s="21" t="n">
        <v>0</v>
      </c>
      <c r="R913" s="18" t="n">
        <f aca="false">ABS(D913)+MAX(ABS(G913),ABS(H913))+MAX(ABS(I913),ABS(J913))</f>
        <v>0.01</v>
      </c>
      <c r="S913" s="18" t="n">
        <f aca="false">ABS(K913)+MAX(ABS(N913),ABS(O913))+MAX(ABS(P913),ABS(Q913))</f>
        <v>0.01</v>
      </c>
      <c r="T913" s="18" t="n">
        <f aca="false">MAX(ABS(E913),ABS(F913))</f>
        <v>0.01</v>
      </c>
      <c r="U913" s="18" t="n">
        <f aca="false">MAX(ABS(L913),ABS(M913))</f>
        <v>0.01</v>
      </c>
    </row>
    <row r="914" customFormat="false" ht="15" hidden="false" customHeight="false" outlineLevel="0" collapsed="false">
      <c r="A914" s="4" t="n">
        <v>406</v>
      </c>
      <c r="B914" s="4" t="n">
        <v>194</v>
      </c>
      <c r="C914" s="18" t="n">
        <v>1</v>
      </c>
      <c r="D914" s="21" t="n">
        <v>0</v>
      </c>
      <c r="E914" s="21" t="n">
        <v>0.01</v>
      </c>
      <c r="F914" s="21" t="n">
        <v>0</v>
      </c>
      <c r="G914" s="21" t="n">
        <v>0.01</v>
      </c>
      <c r="H914" s="21" t="n">
        <v>-0.01</v>
      </c>
      <c r="I914" s="21" t="n">
        <v>-0.01</v>
      </c>
      <c r="J914" s="21" t="n">
        <v>0.01</v>
      </c>
      <c r="K914" s="21" t="n">
        <v>0</v>
      </c>
      <c r="L914" s="21" t="n">
        <v>0.01</v>
      </c>
      <c r="M914" s="21" t="n">
        <v>0</v>
      </c>
      <c r="N914" s="21" t="n">
        <v>0.01</v>
      </c>
      <c r="O914" s="21" t="n">
        <v>-0.01</v>
      </c>
      <c r="P914" s="21" t="n">
        <v>0</v>
      </c>
      <c r="Q914" s="21" t="n">
        <v>0</v>
      </c>
      <c r="R914" s="18" t="n">
        <f aca="false">ABS(D914)+MAX(ABS(G914),ABS(H914))+MAX(ABS(I914),ABS(J914))</f>
        <v>0.02</v>
      </c>
      <c r="S914" s="18" t="n">
        <f aca="false">ABS(K914)+MAX(ABS(N914),ABS(O914))+MAX(ABS(P914),ABS(Q914))</f>
        <v>0.01</v>
      </c>
      <c r="T914" s="18" t="n">
        <f aca="false">MAX(ABS(E914),ABS(F914))</f>
        <v>0.01</v>
      </c>
      <c r="U914" s="18" t="n">
        <f aca="false">MAX(ABS(L914),ABS(M914))</f>
        <v>0.01</v>
      </c>
    </row>
    <row r="915" customFormat="false" ht="15" hidden="false" customHeight="false" outlineLevel="0" collapsed="false">
      <c r="A915" s="4" t="n">
        <v>407</v>
      </c>
      <c r="B915" s="4" t="n">
        <v>195</v>
      </c>
      <c r="C915" s="18" t="n">
        <v>0</v>
      </c>
      <c r="D915" s="21" t="n">
        <v>0</v>
      </c>
      <c r="E915" s="21" t="n">
        <v>0.01</v>
      </c>
      <c r="F915" s="21" t="n">
        <v>0.01</v>
      </c>
      <c r="G915" s="21" t="n">
        <v>0</v>
      </c>
      <c r="H915" s="21" t="n">
        <v>0</v>
      </c>
      <c r="I915" s="21" t="n">
        <v>-0.11</v>
      </c>
      <c r="J915" s="21" t="n">
        <v>0.11</v>
      </c>
      <c r="K915" s="21" t="n">
        <v>0</v>
      </c>
      <c r="L915" s="21" t="n">
        <v>0.01</v>
      </c>
      <c r="M915" s="21" t="n">
        <v>0.01</v>
      </c>
      <c r="N915" s="21" t="n">
        <v>0</v>
      </c>
      <c r="O915" s="21" t="n">
        <v>0</v>
      </c>
      <c r="P915" s="21" t="n">
        <v>-0.1</v>
      </c>
      <c r="Q915" s="21" t="n">
        <v>0.1</v>
      </c>
      <c r="R915" s="18" t="n">
        <f aca="false">ABS(D915)+MAX(ABS(G915),ABS(H915))+MAX(ABS(I915),ABS(J915))</f>
        <v>0.11</v>
      </c>
      <c r="S915" s="18" t="n">
        <f aca="false">ABS(K915)+MAX(ABS(N915),ABS(O915))+MAX(ABS(P915),ABS(Q915))</f>
        <v>0.1</v>
      </c>
      <c r="T915" s="18" t="n">
        <f aca="false">MAX(ABS(E915),ABS(F915))</f>
        <v>0.01</v>
      </c>
      <c r="U915" s="18" t="n">
        <f aca="false">MAX(ABS(L915),ABS(M915))</f>
        <v>0.01</v>
      </c>
    </row>
    <row r="916" customFormat="false" ht="15" hidden="false" customHeight="false" outlineLevel="0" collapsed="false">
      <c r="A916" s="4" t="n">
        <v>407</v>
      </c>
      <c r="B916" s="4" t="n">
        <v>195</v>
      </c>
      <c r="C916" s="18" t="n">
        <v>0.25</v>
      </c>
      <c r="D916" s="21" t="n">
        <v>0</v>
      </c>
      <c r="E916" s="21" t="n">
        <v>0.01</v>
      </c>
      <c r="F916" s="21" t="n">
        <v>0.01</v>
      </c>
      <c r="G916" s="21" t="n">
        <v>0.01</v>
      </c>
      <c r="H916" s="21" t="n">
        <v>-0.01</v>
      </c>
      <c r="I916" s="21" t="n">
        <v>-0.1</v>
      </c>
      <c r="J916" s="21" t="n">
        <v>0.1</v>
      </c>
      <c r="K916" s="21" t="n">
        <v>0</v>
      </c>
      <c r="L916" s="21" t="n">
        <v>0.01</v>
      </c>
      <c r="M916" s="21" t="n">
        <v>0.01</v>
      </c>
      <c r="N916" s="21" t="n">
        <v>0</v>
      </c>
      <c r="O916" s="21" t="n">
        <v>0</v>
      </c>
      <c r="P916" s="21" t="n">
        <v>-0.1</v>
      </c>
      <c r="Q916" s="21" t="n">
        <v>0.1</v>
      </c>
      <c r="R916" s="18" t="n">
        <f aca="false">ABS(D916)+MAX(ABS(G916),ABS(H916))+MAX(ABS(I916),ABS(J916))</f>
        <v>0.11</v>
      </c>
      <c r="S916" s="18" t="n">
        <f aca="false">ABS(K916)+MAX(ABS(N916),ABS(O916))+MAX(ABS(P916),ABS(Q916))</f>
        <v>0.1</v>
      </c>
      <c r="T916" s="18" t="n">
        <f aca="false">MAX(ABS(E916),ABS(F916))</f>
        <v>0.01</v>
      </c>
      <c r="U916" s="18" t="n">
        <f aca="false">MAX(ABS(L916),ABS(M916))</f>
        <v>0.01</v>
      </c>
    </row>
    <row r="917" customFormat="false" ht="15" hidden="false" customHeight="false" outlineLevel="0" collapsed="false">
      <c r="A917" s="4" t="n">
        <v>407</v>
      </c>
      <c r="B917" s="4" t="n">
        <v>195</v>
      </c>
      <c r="C917" s="18" t="n">
        <v>0.5</v>
      </c>
      <c r="D917" s="21" t="n">
        <v>0</v>
      </c>
      <c r="E917" s="21" t="n">
        <v>0.01</v>
      </c>
      <c r="F917" s="21" t="n">
        <v>0</v>
      </c>
      <c r="G917" s="21" t="n">
        <v>0.01</v>
      </c>
      <c r="H917" s="21" t="n">
        <v>-0.01</v>
      </c>
      <c r="I917" s="21" t="n">
        <v>-0.1</v>
      </c>
      <c r="J917" s="21" t="n">
        <v>0.1</v>
      </c>
      <c r="K917" s="21" t="n">
        <v>0</v>
      </c>
      <c r="L917" s="21" t="n">
        <v>0.01</v>
      </c>
      <c r="M917" s="21" t="n">
        <v>0.01</v>
      </c>
      <c r="N917" s="21" t="n">
        <v>0.01</v>
      </c>
      <c r="O917" s="21" t="n">
        <v>-0.01</v>
      </c>
      <c r="P917" s="21" t="n">
        <v>-0.09</v>
      </c>
      <c r="Q917" s="21" t="n">
        <v>0.09</v>
      </c>
      <c r="R917" s="18" t="n">
        <f aca="false">ABS(D917)+MAX(ABS(G917),ABS(H917))+MAX(ABS(I917),ABS(J917))</f>
        <v>0.11</v>
      </c>
      <c r="S917" s="18" t="n">
        <f aca="false">ABS(K917)+MAX(ABS(N917),ABS(O917))+MAX(ABS(P917),ABS(Q917))</f>
        <v>0.1</v>
      </c>
      <c r="T917" s="18" t="n">
        <f aca="false">MAX(ABS(E917),ABS(F917))</f>
        <v>0.01</v>
      </c>
      <c r="U917" s="18" t="n">
        <f aca="false">MAX(ABS(L917),ABS(M917))</f>
        <v>0.01</v>
      </c>
    </row>
    <row r="918" customFormat="false" ht="15" hidden="false" customHeight="false" outlineLevel="0" collapsed="false">
      <c r="A918" s="4" t="n">
        <v>407</v>
      </c>
      <c r="B918" s="4" t="n">
        <v>195</v>
      </c>
      <c r="C918" s="18" t="n">
        <v>0.75</v>
      </c>
      <c r="D918" s="21" t="n">
        <v>0</v>
      </c>
      <c r="E918" s="21" t="n">
        <v>0.01</v>
      </c>
      <c r="F918" s="21" t="n">
        <v>0</v>
      </c>
      <c r="G918" s="21" t="n">
        <v>0.01</v>
      </c>
      <c r="H918" s="21" t="n">
        <v>-0.01</v>
      </c>
      <c r="I918" s="21" t="n">
        <v>-0.1</v>
      </c>
      <c r="J918" s="21" t="n">
        <v>0.1</v>
      </c>
      <c r="K918" s="21" t="n">
        <v>0</v>
      </c>
      <c r="L918" s="21" t="n">
        <v>0.01</v>
      </c>
      <c r="M918" s="21" t="n">
        <v>0.01</v>
      </c>
      <c r="N918" s="21" t="n">
        <v>0.01</v>
      </c>
      <c r="O918" s="21" t="n">
        <v>-0.01</v>
      </c>
      <c r="P918" s="21" t="n">
        <v>-0.09</v>
      </c>
      <c r="Q918" s="21" t="n">
        <v>0.09</v>
      </c>
      <c r="R918" s="18" t="n">
        <f aca="false">ABS(D918)+MAX(ABS(G918),ABS(H918))+MAX(ABS(I918),ABS(J918))</f>
        <v>0.11</v>
      </c>
      <c r="S918" s="18" t="n">
        <f aca="false">ABS(K918)+MAX(ABS(N918),ABS(O918))+MAX(ABS(P918),ABS(Q918))</f>
        <v>0.1</v>
      </c>
      <c r="T918" s="18" t="n">
        <f aca="false">MAX(ABS(E918),ABS(F918))</f>
        <v>0.01</v>
      </c>
      <c r="U918" s="18" t="n">
        <f aca="false">MAX(ABS(L918),ABS(M918))</f>
        <v>0.01</v>
      </c>
    </row>
    <row r="919" customFormat="false" ht="15" hidden="false" customHeight="false" outlineLevel="0" collapsed="false">
      <c r="A919" s="4" t="n">
        <v>407</v>
      </c>
      <c r="B919" s="4" t="n">
        <v>195</v>
      </c>
      <c r="C919" s="18" t="n">
        <v>1</v>
      </c>
      <c r="D919" s="21" t="n">
        <v>0</v>
      </c>
      <c r="E919" s="21" t="n">
        <v>0.01</v>
      </c>
      <c r="F919" s="21" t="n">
        <v>0</v>
      </c>
      <c r="G919" s="21" t="n">
        <v>0.01</v>
      </c>
      <c r="H919" s="21" t="n">
        <v>-0.01</v>
      </c>
      <c r="I919" s="21" t="n">
        <v>-0.1</v>
      </c>
      <c r="J919" s="21" t="n">
        <v>0.1</v>
      </c>
      <c r="K919" s="21" t="n">
        <v>0</v>
      </c>
      <c r="L919" s="21" t="n">
        <v>0.01</v>
      </c>
      <c r="M919" s="21" t="n">
        <v>0</v>
      </c>
      <c r="N919" s="21" t="n">
        <v>0.01</v>
      </c>
      <c r="O919" s="21" t="n">
        <v>-0.01</v>
      </c>
      <c r="P919" s="21" t="n">
        <v>-0.09</v>
      </c>
      <c r="Q919" s="21" t="n">
        <v>0.09</v>
      </c>
      <c r="R919" s="18" t="n">
        <f aca="false">ABS(D919)+MAX(ABS(G919),ABS(H919))+MAX(ABS(I919),ABS(J919))</f>
        <v>0.11</v>
      </c>
      <c r="S919" s="18" t="n">
        <f aca="false">ABS(K919)+MAX(ABS(N919),ABS(O919))+MAX(ABS(P919),ABS(Q919))</f>
        <v>0.1</v>
      </c>
      <c r="T919" s="18" t="n">
        <f aca="false">MAX(ABS(E919),ABS(F919))</f>
        <v>0.01</v>
      </c>
      <c r="U919" s="18" t="n">
        <f aca="false">MAX(ABS(L919),ABS(M919))</f>
        <v>0.01</v>
      </c>
    </row>
    <row r="920" customFormat="false" ht="15" hidden="false" customHeight="false" outlineLevel="0" collapsed="false">
      <c r="A920" s="4" t="n">
        <v>408</v>
      </c>
      <c r="B920" s="4" t="n">
        <v>196</v>
      </c>
      <c r="C920" s="18" t="n">
        <v>0</v>
      </c>
      <c r="D920" s="21" t="n">
        <v>0</v>
      </c>
      <c r="E920" s="21" t="n">
        <v>0.01</v>
      </c>
      <c r="F920" s="21" t="n">
        <v>0.02</v>
      </c>
      <c r="G920" s="21" t="n">
        <v>0.02</v>
      </c>
      <c r="H920" s="21" t="n">
        <v>-0.02</v>
      </c>
      <c r="I920" s="21" t="n">
        <v>-0.01</v>
      </c>
      <c r="J920" s="21" t="n">
        <v>0.01</v>
      </c>
      <c r="K920" s="21" t="n">
        <v>0</v>
      </c>
      <c r="L920" s="21" t="n">
        <v>0.01</v>
      </c>
      <c r="M920" s="21" t="n">
        <v>0.02</v>
      </c>
      <c r="N920" s="21" t="n">
        <v>0.02</v>
      </c>
      <c r="O920" s="21" t="n">
        <v>-0.02</v>
      </c>
      <c r="P920" s="21" t="n">
        <v>-0.01</v>
      </c>
      <c r="Q920" s="21" t="n">
        <v>0.01</v>
      </c>
      <c r="R920" s="18" t="n">
        <f aca="false">ABS(D920)+MAX(ABS(G920),ABS(H920))+MAX(ABS(I920),ABS(J920))</f>
        <v>0.03</v>
      </c>
      <c r="S920" s="18" t="n">
        <f aca="false">ABS(K920)+MAX(ABS(N920),ABS(O920))+MAX(ABS(P920),ABS(Q920))</f>
        <v>0.03</v>
      </c>
      <c r="T920" s="18" t="n">
        <f aca="false">MAX(ABS(E920),ABS(F920))</f>
        <v>0.02</v>
      </c>
      <c r="U920" s="18" t="n">
        <f aca="false">MAX(ABS(L920),ABS(M920))</f>
        <v>0.02</v>
      </c>
    </row>
    <row r="921" customFormat="false" ht="15" hidden="false" customHeight="false" outlineLevel="0" collapsed="false">
      <c r="A921" s="4" t="n">
        <v>408</v>
      </c>
      <c r="B921" s="4" t="n">
        <v>196</v>
      </c>
      <c r="C921" s="18" t="n">
        <v>0.25</v>
      </c>
      <c r="D921" s="21" t="n">
        <v>0</v>
      </c>
      <c r="E921" s="21" t="n">
        <v>0.01</v>
      </c>
      <c r="F921" s="21" t="n">
        <v>0.02</v>
      </c>
      <c r="G921" s="21" t="n">
        <v>0.02</v>
      </c>
      <c r="H921" s="21" t="n">
        <v>-0.02</v>
      </c>
      <c r="I921" s="21" t="n">
        <v>0</v>
      </c>
      <c r="J921" s="21" t="n">
        <v>0</v>
      </c>
      <c r="K921" s="21" t="n">
        <v>0</v>
      </c>
      <c r="L921" s="21" t="n">
        <v>0.01</v>
      </c>
      <c r="M921" s="21" t="n">
        <v>0.02</v>
      </c>
      <c r="N921" s="21" t="n">
        <v>0.02</v>
      </c>
      <c r="O921" s="21" t="n">
        <v>-0.02</v>
      </c>
      <c r="P921" s="21" t="n">
        <v>0</v>
      </c>
      <c r="Q921" s="21" t="n">
        <v>0</v>
      </c>
      <c r="R921" s="18" t="n">
        <f aca="false">ABS(D921)+MAX(ABS(G921),ABS(H921))+MAX(ABS(I921),ABS(J921))</f>
        <v>0.02</v>
      </c>
      <c r="S921" s="18" t="n">
        <f aca="false">ABS(K921)+MAX(ABS(N921),ABS(O921))+MAX(ABS(P921),ABS(Q921))</f>
        <v>0.02</v>
      </c>
      <c r="T921" s="18" t="n">
        <f aca="false">MAX(ABS(E921),ABS(F921))</f>
        <v>0.02</v>
      </c>
      <c r="U921" s="18" t="n">
        <f aca="false">MAX(ABS(L921),ABS(M921))</f>
        <v>0.02</v>
      </c>
    </row>
    <row r="922" customFormat="false" ht="15" hidden="false" customHeight="false" outlineLevel="0" collapsed="false">
      <c r="A922" s="4" t="n">
        <v>408</v>
      </c>
      <c r="B922" s="4" t="n">
        <v>196</v>
      </c>
      <c r="C922" s="18" t="n">
        <v>0.5</v>
      </c>
      <c r="D922" s="21" t="n">
        <v>0</v>
      </c>
      <c r="E922" s="21" t="n">
        <v>0.01</v>
      </c>
      <c r="F922" s="21" t="n">
        <v>0.02</v>
      </c>
      <c r="G922" s="21" t="n">
        <v>0.02</v>
      </c>
      <c r="H922" s="21" t="n">
        <v>-0.02</v>
      </c>
      <c r="I922" s="21" t="n">
        <v>0.01</v>
      </c>
      <c r="J922" s="21" t="n">
        <v>-0.01</v>
      </c>
      <c r="K922" s="21" t="n">
        <v>0</v>
      </c>
      <c r="L922" s="21" t="n">
        <v>0.01</v>
      </c>
      <c r="M922" s="21" t="n">
        <v>0.02</v>
      </c>
      <c r="N922" s="21" t="n">
        <v>0.02</v>
      </c>
      <c r="O922" s="21" t="n">
        <v>-0.02</v>
      </c>
      <c r="P922" s="21" t="n">
        <v>0.01</v>
      </c>
      <c r="Q922" s="21" t="n">
        <v>-0.01</v>
      </c>
      <c r="R922" s="18" t="n">
        <f aca="false">ABS(D922)+MAX(ABS(G922),ABS(H922))+MAX(ABS(I922),ABS(J922))</f>
        <v>0.03</v>
      </c>
      <c r="S922" s="18" t="n">
        <f aca="false">ABS(K922)+MAX(ABS(N922),ABS(O922))+MAX(ABS(P922),ABS(Q922))</f>
        <v>0.03</v>
      </c>
      <c r="T922" s="18" t="n">
        <f aca="false">MAX(ABS(E922),ABS(F922))</f>
        <v>0.02</v>
      </c>
      <c r="U922" s="18" t="n">
        <f aca="false">MAX(ABS(L922),ABS(M922))</f>
        <v>0.02</v>
      </c>
    </row>
    <row r="923" customFormat="false" ht="15" hidden="false" customHeight="false" outlineLevel="0" collapsed="false">
      <c r="A923" s="4" t="n">
        <v>408</v>
      </c>
      <c r="B923" s="4" t="n">
        <v>196</v>
      </c>
      <c r="C923" s="18" t="n">
        <v>0.75</v>
      </c>
      <c r="D923" s="21" t="n">
        <v>0</v>
      </c>
      <c r="E923" s="21" t="n">
        <v>0.01</v>
      </c>
      <c r="F923" s="21" t="n">
        <v>0.02</v>
      </c>
      <c r="G923" s="21" t="n">
        <v>0.02</v>
      </c>
      <c r="H923" s="21" t="n">
        <v>-0.02</v>
      </c>
      <c r="I923" s="21" t="n">
        <v>0.01</v>
      </c>
      <c r="J923" s="21" t="n">
        <v>-0.01</v>
      </c>
      <c r="K923" s="21" t="n">
        <v>0</v>
      </c>
      <c r="L923" s="21" t="n">
        <v>0.01</v>
      </c>
      <c r="M923" s="21" t="n">
        <v>0.02</v>
      </c>
      <c r="N923" s="21" t="n">
        <v>0.02</v>
      </c>
      <c r="O923" s="21" t="n">
        <v>-0.02</v>
      </c>
      <c r="P923" s="21" t="n">
        <v>0.02</v>
      </c>
      <c r="Q923" s="21" t="n">
        <v>-0.02</v>
      </c>
      <c r="R923" s="18" t="n">
        <f aca="false">ABS(D923)+MAX(ABS(G923),ABS(H923))+MAX(ABS(I923),ABS(J923))</f>
        <v>0.03</v>
      </c>
      <c r="S923" s="18" t="n">
        <f aca="false">ABS(K923)+MAX(ABS(N923),ABS(O923))+MAX(ABS(P923),ABS(Q923))</f>
        <v>0.04</v>
      </c>
      <c r="T923" s="18" t="n">
        <f aca="false">MAX(ABS(E923),ABS(F923))</f>
        <v>0.02</v>
      </c>
      <c r="U923" s="18" t="n">
        <f aca="false">MAX(ABS(L923),ABS(M923))</f>
        <v>0.02</v>
      </c>
    </row>
    <row r="924" customFormat="false" ht="15" hidden="false" customHeight="false" outlineLevel="0" collapsed="false">
      <c r="A924" s="4" t="n">
        <v>408</v>
      </c>
      <c r="B924" s="4" t="n">
        <v>196</v>
      </c>
      <c r="C924" s="18" t="n">
        <v>1</v>
      </c>
      <c r="D924" s="21" t="n">
        <v>0</v>
      </c>
      <c r="E924" s="21" t="n">
        <v>0.01</v>
      </c>
      <c r="F924" s="21" t="n">
        <v>0.02</v>
      </c>
      <c r="G924" s="21" t="n">
        <v>0.02</v>
      </c>
      <c r="H924" s="21" t="n">
        <v>-0.02</v>
      </c>
      <c r="I924" s="21" t="n">
        <v>0.02</v>
      </c>
      <c r="J924" s="21" t="n">
        <v>-0.02</v>
      </c>
      <c r="K924" s="21" t="n">
        <v>0</v>
      </c>
      <c r="L924" s="21" t="n">
        <v>0.01</v>
      </c>
      <c r="M924" s="21" t="n">
        <v>0.02</v>
      </c>
      <c r="N924" s="21" t="n">
        <v>0.02</v>
      </c>
      <c r="O924" s="21" t="n">
        <v>-0.02</v>
      </c>
      <c r="P924" s="21" t="n">
        <v>0.03</v>
      </c>
      <c r="Q924" s="21" t="n">
        <v>-0.03</v>
      </c>
      <c r="R924" s="18" t="n">
        <f aca="false">ABS(D924)+MAX(ABS(G924),ABS(H924))+MAX(ABS(I924),ABS(J924))</f>
        <v>0.04</v>
      </c>
      <c r="S924" s="18" t="n">
        <f aca="false">ABS(K924)+MAX(ABS(N924),ABS(O924))+MAX(ABS(P924),ABS(Q924))</f>
        <v>0.05</v>
      </c>
      <c r="T924" s="18" t="n">
        <f aca="false">MAX(ABS(E924),ABS(F924))</f>
        <v>0.02</v>
      </c>
      <c r="U924" s="18" t="n">
        <f aca="false">MAX(ABS(L924),ABS(M924))</f>
        <v>0.02</v>
      </c>
    </row>
    <row r="925" customFormat="false" ht="15" hidden="false" customHeight="false" outlineLevel="0" collapsed="false">
      <c r="A925" s="4" t="n">
        <v>409</v>
      </c>
      <c r="B925" s="4" t="n">
        <v>197</v>
      </c>
      <c r="C925" s="18" t="n">
        <v>0</v>
      </c>
      <c r="D925" s="21" t="n">
        <v>0</v>
      </c>
      <c r="E925" s="21" t="n">
        <v>0</v>
      </c>
      <c r="F925" s="21" t="n">
        <v>0.01</v>
      </c>
      <c r="G925" s="21" t="n">
        <v>0.02</v>
      </c>
      <c r="H925" s="21" t="n">
        <v>-0.02</v>
      </c>
      <c r="I925" s="21" t="n">
        <v>0.07</v>
      </c>
      <c r="J925" s="21" t="n">
        <v>-0.07</v>
      </c>
      <c r="K925" s="21" t="n">
        <v>0</v>
      </c>
      <c r="L925" s="21" t="n">
        <v>0</v>
      </c>
      <c r="M925" s="21" t="n">
        <v>0.01</v>
      </c>
      <c r="N925" s="21" t="n">
        <v>0.02</v>
      </c>
      <c r="O925" s="21" t="n">
        <v>-0.02</v>
      </c>
      <c r="P925" s="21" t="n">
        <v>0.08</v>
      </c>
      <c r="Q925" s="21" t="n">
        <v>-0.08</v>
      </c>
      <c r="R925" s="18" t="n">
        <f aca="false">ABS(D925)+MAX(ABS(G925),ABS(H925))+MAX(ABS(I925),ABS(J925))</f>
        <v>0.09</v>
      </c>
      <c r="S925" s="18" t="n">
        <f aca="false">ABS(K925)+MAX(ABS(N925),ABS(O925))+MAX(ABS(P925),ABS(Q925))</f>
        <v>0.1</v>
      </c>
      <c r="T925" s="18" t="n">
        <f aca="false">MAX(ABS(E925),ABS(F925))</f>
        <v>0.01</v>
      </c>
      <c r="U925" s="18" t="n">
        <f aca="false">MAX(ABS(L925),ABS(M925))</f>
        <v>0.01</v>
      </c>
    </row>
    <row r="926" customFormat="false" ht="15" hidden="false" customHeight="false" outlineLevel="0" collapsed="false">
      <c r="A926" s="4" t="n">
        <v>409</v>
      </c>
      <c r="B926" s="4" t="n">
        <v>197</v>
      </c>
      <c r="C926" s="18" t="n">
        <v>0.25</v>
      </c>
      <c r="D926" s="21" t="n">
        <v>0</v>
      </c>
      <c r="E926" s="21" t="n">
        <v>0</v>
      </c>
      <c r="F926" s="21" t="n">
        <v>0.02</v>
      </c>
      <c r="G926" s="21" t="n">
        <v>0.02</v>
      </c>
      <c r="H926" s="21" t="n">
        <v>-0.02</v>
      </c>
      <c r="I926" s="21" t="n">
        <v>0.07</v>
      </c>
      <c r="J926" s="21" t="n">
        <v>-0.07</v>
      </c>
      <c r="K926" s="21" t="n">
        <v>0</v>
      </c>
      <c r="L926" s="21" t="n">
        <v>0</v>
      </c>
      <c r="M926" s="21" t="n">
        <v>0.01</v>
      </c>
      <c r="N926" s="21" t="n">
        <v>0.02</v>
      </c>
      <c r="O926" s="21" t="n">
        <v>-0.02</v>
      </c>
      <c r="P926" s="21" t="n">
        <v>0.07</v>
      </c>
      <c r="Q926" s="21" t="n">
        <v>-0.07</v>
      </c>
      <c r="R926" s="18" t="n">
        <f aca="false">ABS(D926)+MAX(ABS(G926),ABS(H926))+MAX(ABS(I926),ABS(J926))</f>
        <v>0.09</v>
      </c>
      <c r="S926" s="18" t="n">
        <f aca="false">ABS(K926)+MAX(ABS(N926),ABS(O926))+MAX(ABS(P926),ABS(Q926))</f>
        <v>0.09</v>
      </c>
      <c r="T926" s="18" t="n">
        <f aca="false">MAX(ABS(E926),ABS(F926))</f>
        <v>0.02</v>
      </c>
      <c r="U926" s="18" t="n">
        <f aca="false">MAX(ABS(L926),ABS(M926))</f>
        <v>0.01</v>
      </c>
    </row>
    <row r="927" customFormat="false" ht="15" hidden="false" customHeight="false" outlineLevel="0" collapsed="false">
      <c r="A927" s="4" t="n">
        <v>409</v>
      </c>
      <c r="B927" s="4" t="n">
        <v>197</v>
      </c>
      <c r="C927" s="18" t="n">
        <v>0.5</v>
      </c>
      <c r="D927" s="21" t="n">
        <v>0</v>
      </c>
      <c r="E927" s="21" t="n">
        <v>0</v>
      </c>
      <c r="F927" s="21" t="n">
        <v>0.02</v>
      </c>
      <c r="G927" s="21" t="n">
        <v>0.02</v>
      </c>
      <c r="H927" s="21" t="n">
        <v>-0.02</v>
      </c>
      <c r="I927" s="21" t="n">
        <v>0.06</v>
      </c>
      <c r="J927" s="21" t="n">
        <v>-0.06</v>
      </c>
      <c r="K927" s="21" t="n">
        <v>0</v>
      </c>
      <c r="L927" s="21" t="n">
        <v>0</v>
      </c>
      <c r="M927" s="21" t="n">
        <v>0.02</v>
      </c>
      <c r="N927" s="21" t="n">
        <v>0.02</v>
      </c>
      <c r="O927" s="21" t="n">
        <v>-0.02</v>
      </c>
      <c r="P927" s="21" t="n">
        <v>0.06</v>
      </c>
      <c r="Q927" s="21" t="n">
        <v>-0.06</v>
      </c>
      <c r="R927" s="18" t="n">
        <f aca="false">ABS(D927)+MAX(ABS(G927),ABS(H927))+MAX(ABS(I927),ABS(J927))</f>
        <v>0.08</v>
      </c>
      <c r="S927" s="18" t="n">
        <f aca="false">ABS(K927)+MAX(ABS(N927),ABS(O927))+MAX(ABS(P927),ABS(Q927))</f>
        <v>0.08</v>
      </c>
      <c r="T927" s="18" t="n">
        <f aca="false">MAX(ABS(E927),ABS(F927))</f>
        <v>0.02</v>
      </c>
      <c r="U927" s="18" t="n">
        <f aca="false">MAX(ABS(L927),ABS(M927))</f>
        <v>0.02</v>
      </c>
    </row>
    <row r="928" customFormat="false" ht="15" hidden="false" customHeight="false" outlineLevel="0" collapsed="false">
      <c r="A928" s="4" t="n">
        <v>409</v>
      </c>
      <c r="B928" s="4" t="n">
        <v>197</v>
      </c>
      <c r="C928" s="18" t="n">
        <v>0.75</v>
      </c>
      <c r="D928" s="21" t="n">
        <v>0</v>
      </c>
      <c r="E928" s="21" t="n">
        <v>0</v>
      </c>
      <c r="F928" s="21" t="n">
        <v>0.02</v>
      </c>
      <c r="G928" s="21" t="n">
        <v>0.02</v>
      </c>
      <c r="H928" s="21" t="n">
        <v>-0.02</v>
      </c>
      <c r="I928" s="21" t="n">
        <v>0.05</v>
      </c>
      <c r="J928" s="21" t="n">
        <v>-0.05</v>
      </c>
      <c r="K928" s="21" t="n">
        <v>0</v>
      </c>
      <c r="L928" s="21" t="n">
        <v>0</v>
      </c>
      <c r="M928" s="21" t="n">
        <v>0.02</v>
      </c>
      <c r="N928" s="21" t="n">
        <v>0.02</v>
      </c>
      <c r="O928" s="21" t="n">
        <v>-0.02</v>
      </c>
      <c r="P928" s="21" t="n">
        <v>0.06</v>
      </c>
      <c r="Q928" s="21" t="n">
        <v>-0.06</v>
      </c>
      <c r="R928" s="18" t="n">
        <f aca="false">ABS(D928)+MAX(ABS(G928),ABS(H928))+MAX(ABS(I928),ABS(J928))</f>
        <v>0.07</v>
      </c>
      <c r="S928" s="18" t="n">
        <f aca="false">ABS(K928)+MAX(ABS(N928),ABS(O928))+MAX(ABS(P928),ABS(Q928))</f>
        <v>0.08</v>
      </c>
      <c r="T928" s="18" t="n">
        <f aca="false">MAX(ABS(E928),ABS(F928))</f>
        <v>0.02</v>
      </c>
      <c r="U928" s="18" t="n">
        <f aca="false">MAX(ABS(L928),ABS(M928))</f>
        <v>0.02</v>
      </c>
    </row>
    <row r="929" customFormat="false" ht="15" hidden="false" customHeight="false" outlineLevel="0" collapsed="false">
      <c r="A929" s="4" t="n">
        <v>409</v>
      </c>
      <c r="B929" s="4" t="n">
        <v>197</v>
      </c>
      <c r="C929" s="18" t="n">
        <v>1</v>
      </c>
      <c r="D929" s="21" t="n">
        <v>0</v>
      </c>
      <c r="E929" s="21" t="n">
        <v>0</v>
      </c>
      <c r="F929" s="21" t="n">
        <v>0.02</v>
      </c>
      <c r="G929" s="21" t="n">
        <v>0.02</v>
      </c>
      <c r="H929" s="21" t="n">
        <v>-0.02</v>
      </c>
      <c r="I929" s="21" t="n">
        <v>0.04</v>
      </c>
      <c r="J929" s="21" t="n">
        <v>-0.04</v>
      </c>
      <c r="K929" s="21" t="n">
        <v>0</v>
      </c>
      <c r="L929" s="21" t="n">
        <v>0</v>
      </c>
      <c r="M929" s="21" t="n">
        <v>0.02</v>
      </c>
      <c r="N929" s="21" t="n">
        <v>0.02</v>
      </c>
      <c r="O929" s="21" t="n">
        <v>-0.02</v>
      </c>
      <c r="P929" s="21" t="n">
        <v>0.05</v>
      </c>
      <c r="Q929" s="21" t="n">
        <v>-0.05</v>
      </c>
      <c r="R929" s="18" t="n">
        <f aca="false">ABS(D929)+MAX(ABS(G929),ABS(H929))+MAX(ABS(I929),ABS(J929))</f>
        <v>0.06</v>
      </c>
      <c r="S929" s="18" t="n">
        <f aca="false">ABS(K929)+MAX(ABS(N929),ABS(O929))+MAX(ABS(P929),ABS(Q929))</f>
        <v>0.07</v>
      </c>
      <c r="T929" s="18" t="n">
        <f aca="false">MAX(ABS(E929),ABS(F929))</f>
        <v>0.02</v>
      </c>
      <c r="U929" s="18" t="n">
        <f aca="false">MAX(ABS(L929),ABS(M929))</f>
        <v>0.02</v>
      </c>
    </row>
    <row r="930" customFormat="false" ht="15" hidden="false" customHeight="false" outlineLevel="0" collapsed="false">
      <c r="A930" s="4" t="n">
        <v>410</v>
      </c>
      <c r="B930" s="4" t="n">
        <v>198</v>
      </c>
      <c r="C930" s="18" t="n">
        <v>0</v>
      </c>
      <c r="D930" s="21" t="n">
        <v>0</v>
      </c>
      <c r="E930" s="21" t="n">
        <v>0</v>
      </c>
      <c r="F930" s="21" t="n">
        <v>0.02</v>
      </c>
      <c r="G930" s="21" t="n">
        <v>-0.01</v>
      </c>
      <c r="H930" s="21" t="n">
        <v>0.01</v>
      </c>
      <c r="I930" s="21" t="n">
        <v>0.05</v>
      </c>
      <c r="J930" s="21" t="n">
        <v>-0.05</v>
      </c>
      <c r="K930" s="21" t="n">
        <v>0</v>
      </c>
      <c r="L930" s="21" t="n">
        <v>0</v>
      </c>
      <c r="M930" s="21" t="n">
        <v>0.02</v>
      </c>
      <c r="N930" s="21" t="n">
        <v>-0.01</v>
      </c>
      <c r="O930" s="21" t="n">
        <v>0.01</v>
      </c>
      <c r="P930" s="21" t="n">
        <v>0.07</v>
      </c>
      <c r="Q930" s="21" t="n">
        <v>-0.07</v>
      </c>
      <c r="R930" s="18" t="n">
        <f aca="false">ABS(D930)+MAX(ABS(G930),ABS(H930))+MAX(ABS(I930),ABS(J930))</f>
        <v>0.06</v>
      </c>
      <c r="S930" s="18" t="n">
        <f aca="false">ABS(K930)+MAX(ABS(N930),ABS(O930))+MAX(ABS(P930),ABS(Q930))</f>
        <v>0.08</v>
      </c>
      <c r="T930" s="18" t="n">
        <f aca="false">MAX(ABS(E930),ABS(F930))</f>
        <v>0.02</v>
      </c>
      <c r="U930" s="18" t="n">
        <f aca="false">MAX(ABS(L930),ABS(M930))</f>
        <v>0.02</v>
      </c>
    </row>
    <row r="931" customFormat="false" ht="15" hidden="false" customHeight="false" outlineLevel="0" collapsed="false">
      <c r="A931" s="4" t="n">
        <v>410</v>
      </c>
      <c r="B931" s="4" t="n">
        <v>198</v>
      </c>
      <c r="C931" s="18" t="n">
        <v>0.25</v>
      </c>
      <c r="D931" s="21" t="n">
        <v>0</v>
      </c>
      <c r="E931" s="21" t="n">
        <v>0</v>
      </c>
      <c r="F931" s="21" t="n">
        <v>0.02</v>
      </c>
      <c r="G931" s="21" t="n">
        <v>-0.01</v>
      </c>
      <c r="H931" s="21" t="n">
        <v>0.01</v>
      </c>
      <c r="I931" s="21" t="n">
        <v>0.03</v>
      </c>
      <c r="J931" s="21" t="n">
        <v>-0.03</v>
      </c>
      <c r="K931" s="21" t="n">
        <v>0</v>
      </c>
      <c r="L931" s="21" t="n">
        <v>0</v>
      </c>
      <c r="M931" s="21" t="n">
        <v>0.02</v>
      </c>
      <c r="N931" s="21" t="n">
        <v>-0.01</v>
      </c>
      <c r="O931" s="21" t="n">
        <v>0.01</v>
      </c>
      <c r="P931" s="21" t="n">
        <v>0.06</v>
      </c>
      <c r="Q931" s="21" t="n">
        <v>-0.06</v>
      </c>
      <c r="R931" s="18" t="n">
        <f aca="false">ABS(D931)+MAX(ABS(G931),ABS(H931))+MAX(ABS(I931),ABS(J931))</f>
        <v>0.04</v>
      </c>
      <c r="S931" s="18" t="n">
        <f aca="false">ABS(K931)+MAX(ABS(N931),ABS(O931))+MAX(ABS(P931),ABS(Q931))</f>
        <v>0.07</v>
      </c>
      <c r="T931" s="18" t="n">
        <f aca="false">MAX(ABS(E931),ABS(F931))</f>
        <v>0.02</v>
      </c>
      <c r="U931" s="18" t="n">
        <f aca="false">MAX(ABS(L931),ABS(M931))</f>
        <v>0.02</v>
      </c>
    </row>
    <row r="932" customFormat="false" ht="15" hidden="false" customHeight="false" outlineLevel="0" collapsed="false">
      <c r="A932" s="4" t="n">
        <v>410</v>
      </c>
      <c r="B932" s="4" t="n">
        <v>198</v>
      </c>
      <c r="C932" s="18" t="n">
        <v>0.5</v>
      </c>
      <c r="D932" s="21" t="n">
        <v>0</v>
      </c>
      <c r="E932" s="21" t="n">
        <v>0</v>
      </c>
      <c r="F932" s="21" t="n">
        <v>0.02</v>
      </c>
      <c r="G932" s="21" t="n">
        <v>0</v>
      </c>
      <c r="H932" s="21" t="n">
        <v>0</v>
      </c>
      <c r="I932" s="21" t="n">
        <v>0.02</v>
      </c>
      <c r="J932" s="21" t="n">
        <v>-0.02</v>
      </c>
      <c r="K932" s="21" t="n">
        <v>0</v>
      </c>
      <c r="L932" s="21" t="n">
        <v>0</v>
      </c>
      <c r="M932" s="21" t="n">
        <v>0.02</v>
      </c>
      <c r="N932" s="21" t="n">
        <v>-0.01</v>
      </c>
      <c r="O932" s="21" t="n">
        <v>0.01</v>
      </c>
      <c r="P932" s="21" t="n">
        <v>0.05</v>
      </c>
      <c r="Q932" s="21" t="n">
        <v>-0.05</v>
      </c>
      <c r="R932" s="18" t="n">
        <f aca="false">ABS(D932)+MAX(ABS(G932),ABS(H932))+MAX(ABS(I932),ABS(J932))</f>
        <v>0.02</v>
      </c>
      <c r="S932" s="18" t="n">
        <f aca="false">ABS(K932)+MAX(ABS(N932),ABS(O932))+MAX(ABS(P932),ABS(Q932))</f>
        <v>0.06</v>
      </c>
      <c r="T932" s="18" t="n">
        <f aca="false">MAX(ABS(E932),ABS(F932))</f>
        <v>0.02</v>
      </c>
      <c r="U932" s="18" t="n">
        <f aca="false">MAX(ABS(L932),ABS(M932))</f>
        <v>0.02</v>
      </c>
    </row>
    <row r="933" customFormat="false" ht="15" hidden="false" customHeight="false" outlineLevel="0" collapsed="false">
      <c r="A933" s="4" t="n">
        <v>410</v>
      </c>
      <c r="B933" s="4" t="n">
        <v>198</v>
      </c>
      <c r="C933" s="18" t="n">
        <v>0.75</v>
      </c>
      <c r="D933" s="21" t="n">
        <v>0</v>
      </c>
      <c r="E933" s="21" t="n">
        <v>0</v>
      </c>
      <c r="F933" s="21" t="n">
        <v>0.02</v>
      </c>
      <c r="G933" s="21" t="n">
        <v>0</v>
      </c>
      <c r="H933" s="21" t="n">
        <v>0</v>
      </c>
      <c r="I933" s="21" t="n">
        <v>0.01</v>
      </c>
      <c r="J933" s="21" t="n">
        <v>-0.01</v>
      </c>
      <c r="K933" s="21" t="n">
        <v>0</v>
      </c>
      <c r="L933" s="21" t="n">
        <v>0</v>
      </c>
      <c r="M933" s="21" t="n">
        <v>0.02</v>
      </c>
      <c r="N933" s="21" t="n">
        <v>-0.01</v>
      </c>
      <c r="O933" s="21" t="n">
        <v>0.01</v>
      </c>
      <c r="P933" s="21" t="n">
        <v>0.04</v>
      </c>
      <c r="Q933" s="21" t="n">
        <v>-0.04</v>
      </c>
      <c r="R933" s="18" t="n">
        <f aca="false">ABS(D933)+MAX(ABS(G933),ABS(H933))+MAX(ABS(I933),ABS(J933))</f>
        <v>0.01</v>
      </c>
      <c r="S933" s="18" t="n">
        <f aca="false">ABS(K933)+MAX(ABS(N933),ABS(O933))+MAX(ABS(P933),ABS(Q933))</f>
        <v>0.05</v>
      </c>
      <c r="T933" s="18" t="n">
        <f aca="false">MAX(ABS(E933),ABS(F933))</f>
        <v>0.02</v>
      </c>
      <c r="U933" s="18" t="n">
        <f aca="false">MAX(ABS(L933),ABS(M933))</f>
        <v>0.02</v>
      </c>
    </row>
    <row r="934" customFormat="false" ht="15" hidden="false" customHeight="false" outlineLevel="0" collapsed="false">
      <c r="A934" s="4" t="n">
        <v>410</v>
      </c>
      <c r="B934" s="4" t="n">
        <v>198</v>
      </c>
      <c r="C934" s="18" t="n">
        <v>1</v>
      </c>
      <c r="D934" s="21" t="n">
        <v>0</v>
      </c>
      <c r="E934" s="21" t="n">
        <v>0</v>
      </c>
      <c r="F934" s="21" t="n">
        <v>0.03</v>
      </c>
      <c r="G934" s="21" t="n">
        <v>0</v>
      </c>
      <c r="H934" s="21" t="n">
        <v>0</v>
      </c>
      <c r="I934" s="21" t="n">
        <v>0</v>
      </c>
      <c r="J934" s="21" t="n">
        <v>0</v>
      </c>
      <c r="K934" s="21" t="n">
        <v>0</v>
      </c>
      <c r="L934" s="21" t="n">
        <v>0</v>
      </c>
      <c r="M934" s="21" t="n">
        <v>0.02</v>
      </c>
      <c r="N934" s="21" t="n">
        <v>-0.01</v>
      </c>
      <c r="O934" s="21" t="n">
        <v>0.01</v>
      </c>
      <c r="P934" s="21" t="n">
        <v>0.02</v>
      </c>
      <c r="Q934" s="21" t="n">
        <v>-0.02</v>
      </c>
      <c r="R934" s="18" t="n">
        <f aca="false">ABS(D934)+MAX(ABS(G934),ABS(H934))+MAX(ABS(I934),ABS(J934))</f>
        <v>0</v>
      </c>
      <c r="S934" s="18" t="n">
        <f aca="false">ABS(K934)+MAX(ABS(N934),ABS(O934))+MAX(ABS(P934),ABS(Q934))</f>
        <v>0.03</v>
      </c>
      <c r="T934" s="18" t="n">
        <f aca="false">MAX(ABS(E934),ABS(F934))</f>
        <v>0.03</v>
      </c>
      <c r="U934" s="18" t="n">
        <f aca="false">MAX(ABS(L934),ABS(M934))</f>
        <v>0.02</v>
      </c>
    </row>
    <row r="935" customFormat="false" ht="15" hidden="false" customHeight="false" outlineLevel="0" collapsed="false">
      <c r="A935" s="4" t="n">
        <v>411</v>
      </c>
      <c r="B935" s="4" t="n">
        <v>199</v>
      </c>
      <c r="C935" s="18" t="n">
        <v>0</v>
      </c>
      <c r="D935" s="21" t="n">
        <v>0.01</v>
      </c>
      <c r="E935" s="21" t="n">
        <v>0</v>
      </c>
      <c r="F935" s="21" t="n">
        <v>0</v>
      </c>
      <c r="G935" s="21" t="n">
        <v>0</v>
      </c>
      <c r="H935" s="21" t="n">
        <v>0</v>
      </c>
      <c r="I935" s="21" t="n">
        <v>-0.09</v>
      </c>
      <c r="J935" s="21" t="n">
        <v>0.09</v>
      </c>
      <c r="K935" s="21" t="n">
        <v>0.01</v>
      </c>
      <c r="L935" s="21" t="n">
        <v>0</v>
      </c>
      <c r="M935" s="21" t="n">
        <v>0</v>
      </c>
      <c r="N935" s="21" t="n">
        <v>0</v>
      </c>
      <c r="O935" s="21" t="n">
        <v>0</v>
      </c>
      <c r="P935" s="21" t="n">
        <v>-0.09</v>
      </c>
      <c r="Q935" s="21" t="n">
        <v>0.09</v>
      </c>
      <c r="R935" s="18" t="n">
        <f aca="false">ABS(D935)+MAX(ABS(G935),ABS(H935))+MAX(ABS(I935),ABS(J935))</f>
        <v>0.1</v>
      </c>
      <c r="S935" s="18" t="n">
        <f aca="false">ABS(K935)+MAX(ABS(N935),ABS(O935))+MAX(ABS(P935),ABS(Q935))</f>
        <v>0.1</v>
      </c>
      <c r="T935" s="18" t="n">
        <f aca="false">MAX(ABS(E935),ABS(F935))</f>
        <v>0</v>
      </c>
      <c r="U935" s="18" t="n">
        <f aca="false">MAX(ABS(L935),ABS(M935))</f>
        <v>0</v>
      </c>
    </row>
    <row r="936" customFormat="false" ht="15" hidden="false" customHeight="false" outlineLevel="0" collapsed="false">
      <c r="A936" s="4" t="n">
        <v>411</v>
      </c>
      <c r="B936" s="4" t="n">
        <v>199</v>
      </c>
      <c r="C936" s="18" t="n">
        <v>0.25</v>
      </c>
      <c r="D936" s="21" t="n">
        <v>0.01</v>
      </c>
      <c r="E936" s="21" t="n">
        <v>0</v>
      </c>
      <c r="F936" s="21" t="n">
        <v>0</v>
      </c>
      <c r="G936" s="21" t="n">
        <v>0</v>
      </c>
      <c r="H936" s="21" t="n">
        <v>0</v>
      </c>
      <c r="I936" s="21" t="n">
        <v>-0.05</v>
      </c>
      <c r="J936" s="21" t="n">
        <v>0.05</v>
      </c>
      <c r="K936" s="21" t="n">
        <v>0.01</v>
      </c>
      <c r="L936" s="21" t="n">
        <v>0</v>
      </c>
      <c r="M936" s="21" t="n">
        <v>0</v>
      </c>
      <c r="N936" s="21" t="n">
        <v>0</v>
      </c>
      <c r="O936" s="21" t="n">
        <v>0</v>
      </c>
      <c r="P936" s="21" t="n">
        <v>-0.04</v>
      </c>
      <c r="Q936" s="21" t="n">
        <v>0.04</v>
      </c>
      <c r="R936" s="18" t="n">
        <f aca="false">ABS(D936)+MAX(ABS(G936),ABS(H936))+MAX(ABS(I936),ABS(J936))</f>
        <v>0.06</v>
      </c>
      <c r="S936" s="18" t="n">
        <f aca="false">ABS(K936)+MAX(ABS(N936),ABS(O936))+MAX(ABS(P936),ABS(Q936))</f>
        <v>0.05</v>
      </c>
      <c r="T936" s="18" t="n">
        <f aca="false">MAX(ABS(E936),ABS(F936))</f>
        <v>0</v>
      </c>
      <c r="U936" s="18" t="n">
        <f aca="false">MAX(ABS(L936),ABS(M936))</f>
        <v>0</v>
      </c>
    </row>
    <row r="937" customFormat="false" ht="15" hidden="false" customHeight="false" outlineLevel="0" collapsed="false">
      <c r="A937" s="4" t="n">
        <v>411</v>
      </c>
      <c r="B937" s="4" t="n">
        <v>199</v>
      </c>
      <c r="C937" s="18" t="n">
        <v>0.5</v>
      </c>
      <c r="D937" s="21" t="n">
        <v>0.01</v>
      </c>
      <c r="E937" s="21" t="n">
        <v>0</v>
      </c>
      <c r="F937" s="21" t="n">
        <v>0</v>
      </c>
      <c r="G937" s="21" t="n">
        <v>0</v>
      </c>
      <c r="H937" s="21" t="n">
        <v>0</v>
      </c>
      <c r="I937" s="21" t="n">
        <v>0</v>
      </c>
      <c r="J937" s="21" t="n">
        <v>0</v>
      </c>
      <c r="K937" s="21" t="n">
        <v>0.01</v>
      </c>
      <c r="L937" s="21" t="n">
        <v>0</v>
      </c>
      <c r="M937" s="21" t="n">
        <v>0</v>
      </c>
      <c r="N937" s="21" t="n">
        <v>0</v>
      </c>
      <c r="O937" s="21" t="n">
        <v>0</v>
      </c>
      <c r="P937" s="21" t="n">
        <v>0</v>
      </c>
      <c r="Q937" s="21" t="n">
        <v>0</v>
      </c>
      <c r="R937" s="18" t="n">
        <f aca="false">ABS(D937)+MAX(ABS(G937),ABS(H937))+MAX(ABS(I937),ABS(J937))</f>
        <v>0.01</v>
      </c>
      <c r="S937" s="18" t="n">
        <f aca="false">ABS(K937)+MAX(ABS(N937),ABS(O937))+MAX(ABS(P937),ABS(Q937))</f>
        <v>0.01</v>
      </c>
      <c r="T937" s="18" t="n">
        <f aca="false">MAX(ABS(E937),ABS(F937))</f>
        <v>0</v>
      </c>
      <c r="U937" s="18" t="n">
        <f aca="false">MAX(ABS(L937),ABS(M937))</f>
        <v>0</v>
      </c>
    </row>
    <row r="938" customFormat="false" ht="15" hidden="false" customHeight="false" outlineLevel="0" collapsed="false">
      <c r="A938" s="4" t="n">
        <v>411</v>
      </c>
      <c r="B938" s="4" t="n">
        <v>199</v>
      </c>
      <c r="C938" s="18" t="n">
        <v>0.75</v>
      </c>
      <c r="D938" s="21" t="n">
        <v>0.01</v>
      </c>
      <c r="E938" s="21" t="n">
        <v>0</v>
      </c>
      <c r="F938" s="21" t="n">
        <v>0</v>
      </c>
      <c r="G938" s="21" t="n">
        <v>0</v>
      </c>
      <c r="H938" s="21" t="n">
        <v>0</v>
      </c>
      <c r="I938" s="21" t="n">
        <v>0.05</v>
      </c>
      <c r="J938" s="21" t="n">
        <v>-0.05</v>
      </c>
      <c r="K938" s="21" t="n">
        <v>0.01</v>
      </c>
      <c r="L938" s="21" t="n">
        <v>0</v>
      </c>
      <c r="M938" s="21" t="n">
        <v>0</v>
      </c>
      <c r="N938" s="21" t="n">
        <v>0</v>
      </c>
      <c r="O938" s="21" t="n">
        <v>0</v>
      </c>
      <c r="P938" s="21" t="n">
        <v>0.05</v>
      </c>
      <c r="Q938" s="21" t="n">
        <v>-0.05</v>
      </c>
      <c r="R938" s="18" t="n">
        <f aca="false">ABS(D938)+MAX(ABS(G938),ABS(H938))+MAX(ABS(I938),ABS(J938))</f>
        <v>0.06</v>
      </c>
      <c r="S938" s="18" t="n">
        <f aca="false">ABS(K938)+MAX(ABS(N938),ABS(O938))+MAX(ABS(P938),ABS(Q938))</f>
        <v>0.06</v>
      </c>
      <c r="T938" s="18" t="n">
        <f aca="false">MAX(ABS(E938),ABS(F938))</f>
        <v>0</v>
      </c>
      <c r="U938" s="18" t="n">
        <f aca="false">MAX(ABS(L938),ABS(M938))</f>
        <v>0</v>
      </c>
    </row>
    <row r="939" customFormat="false" ht="15" hidden="false" customHeight="false" outlineLevel="0" collapsed="false">
      <c r="A939" s="4" t="n">
        <v>411</v>
      </c>
      <c r="B939" s="4" t="n">
        <v>199</v>
      </c>
      <c r="C939" s="18" t="n">
        <v>1</v>
      </c>
      <c r="D939" s="21" t="n">
        <v>0.01</v>
      </c>
      <c r="E939" s="21" t="n">
        <v>0</v>
      </c>
      <c r="F939" s="21" t="n">
        <v>0</v>
      </c>
      <c r="G939" s="21" t="n">
        <v>0</v>
      </c>
      <c r="H939" s="21" t="n">
        <v>0</v>
      </c>
      <c r="I939" s="21" t="n">
        <v>0.1</v>
      </c>
      <c r="J939" s="21" t="n">
        <v>-0.1</v>
      </c>
      <c r="K939" s="21" t="n">
        <v>0.01</v>
      </c>
      <c r="L939" s="21" t="n">
        <v>0</v>
      </c>
      <c r="M939" s="21" t="n">
        <v>0</v>
      </c>
      <c r="N939" s="21" t="n">
        <v>0</v>
      </c>
      <c r="O939" s="21" t="n">
        <v>0</v>
      </c>
      <c r="P939" s="21" t="n">
        <v>0.09</v>
      </c>
      <c r="Q939" s="21" t="n">
        <v>-0.09</v>
      </c>
      <c r="R939" s="18" t="n">
        <f aca="false">ABS(D939)+MAX(ABS(G939),ABS(H939))+MAX(ABS(I939),ABS(J939))</f>
        <v>0.11</v>
      </c>
      <c r="S939" s="18" t="n">
        <f aca="false">ABS(K939)+MAX(ABS(N939),ABS(O939))+MAX(ABS(P939),ABS(Q939))</f>
        <v>0.1</v>
      </c>
      <c r="T939" s="18" t="n">
        <f aca="false">MAX(ABS(E939),ABS(F939))</f>
        <v>0</v>
      </c>
      <c r="U939" s="18" t="n">
        <f aca="false">MAX(ABS(L939),ABS(M939))</f>
        <v>0</v>
      </c>
    </row>
    <row r="940" customFormat="false" ht="15" hidden="false" customHeight="false" outlineLevel="0" collapsed="false">
      <c r="A940" s="4" t="n">
        <v>412</v>
      </c>
      <c r="B940" s="4" t="n">
        <v>200</v>
      </c>
      <c r="C940" s="18" t="n">
        <v>0</v>
      </c>
      <c r="D940" s="21" t="n">
        <v>0.01</v>
      </c>
      <c r="E940" s="21" t="n">
        <v>0</v>
      </c>
      <c r="F940" s="21" t="n">
        <v>0</v>
      </c>
      <c r="G940" s="21" t="n">
        <v>0</v>
      </c>
      <c r="H940" s="21" t="n">
        <v>0</v>
      </c>
      <c r="I940" s="21" t="n">
        <v>-0.09</v>
      </c>
      <c r="J940" s="21" t="n">
        <v>0.09</v>
      </c>
      <c r="K940" s="21" t="n">
        <v>0.01</v>
      </c>
      <c r="L940" s="21" t="n">
        <v>0</v>
      </c>
      <c r="M940" s="21" t="n">
        <v>0</v>
      </c>
      <c r="N940" s="21" t="n">
        <v>0</v>
      </c>
      <c r="O940" s="21" t="n">
        <v>0</v>
      </c>
      <c r="P940" s="21" t="n">
        <v>-0.1</v>
      </c>
      <c r="Q940" s="21" t="n">
        <v>0.1</v>
      </c>
      <c r="R940" s="18" t="n">
        <f aca="false">ABS(D940)+MAX(ABS(G940),ABS(H940))+MAX(ABS(I940),ABS(J940))</f>
        <v>0.1</v>
      </c>
      <c r="S940" s="18" t="n">
        <f aca="false">ABS(K940)+MAX(ABS(N940),ABS(O940))+MAX(ABS(P940),ABS(Q940))</f>
        <v>0.11</v>
      </c>
      <c r="T940" s="18" t="n">
        <f aca="false">MAX(ABS(E940),ABS(F940))</f>
        <v>0</v>
      </c>
      <c r="U940" s="18" t="n">
        <f aca="false">MAX(ABS(L940),ABS(M940))</f>
        <v>0</v>
      </c>
    </row>
    <row r="941" customFormat="false" ht="15" hidden="false" customHeight="false" outlineLevel="0" collapsed="false">
      <c r="A941" s="4" t="n">
        <v>412</v>
      </c>
      <c r="B941" s="4" t="n">
        <v>200</v>
      </c>
      <c r="C941" s="18" t="n">
        <v>0.25</v>
      </c>
      <c r="D941" s="21" t="n">
        <v>0.01</v>
      </c>
      <c r="E941" s="21" t="n">
        <v>0</v>
      </c>
      <c r="F941" s="21" t="n">
        <v>0</v>
      </c>
      <c r="G941" s="21" t="n">
        <v>0</v>
      </c>
      <c r="H941" s="21" t="n">
        <v>0</v>
      </c>
      <c r="I941" s="21" t="n">
        <v>-0.05</v>
      </c>
      <c r="J941" s="21" t="n">
        <v>0.05</v>
      </c>
      <c r="K941" s="21" t="n">
        <v>0.01</v>
      </c>
      <c r="L941" s="21" t="n">
        <v>0</v>
      </c>
      <c r="M941" s="21" t="n">
        <v>0</v>
      </c>
      <c r="N941" s="21" t="n">
        <v>0</v>
      </c>
      <c r="O941" s="21" t="n">
        <v>0</v>
      </c>
      <c r="P941" s="21" t="n">
        <v>-0.05</v>
      </c>
      <c r="Q941" s="21" t="n">
        <v>0.05</v>
      </c>
      <c r="R941" s="18" t="n">
        <f aca="false">ABS(D941)+MAX(ABS(G941),ABS(H941))+MAX(ABS(I941),ABS(J941))</f>
        <v>0.06</v>
      </c>
      <c r="S941" s="18" t="n">
        <f aca="false">ABS(K941)+MAX(ABS(N941),ABS(O941))+MAX(ABS(P941),ABS(Q941))</f>
        <v>0.06</v>
      </c>
      <c r="T941" s="18" t="n">
        <f aca="false">MAX(ABS(E941),ABS(F941))</f>
        <v>0</v>
      </c>
      <c r="U941" s="18" t="n">
        <f aca="false">MAX(ABS(L941),ABS(M941))</f>
        <v>0</v>
      </c>
    </row>
    <row r="942" customFormat="false" ht="15" hidden="false" customHeight="false" outlineLevel="0" collapsed="false">
      <c r="A942" s="4" t="n">
        <v>412</v>
      </c>
      <c r="B942" s="4" t="n">
        <v>200</v>
      </c>
      <c r="C942" s="18" t="n">
        <v>0.5</v>
      </c>
      <c r="D942" s="21" t="n">
        <v>0.01</v>
      </c>
      <c r="E942" s="21" t="n">
        <v>0</v>
      </c>
      <c r="F942" s="21" t="n">
        <v>0</v>
      </c>
      <c r="G942" s="21" t="n">
        <v>0</v>
      </c>
      <c r="H942" s="21" t="n">
        <v>0</v>
      </c>
      <c r="I942" s="21" t="n">
        <v>0</v>
      </c>
      <c r="J942" s="21" t="n">
        <v>0</v>
      </c>
      <c r="K942" s="21" t="n">
        <v>0.01</v>
      </c>
      <c r="L942" s="21" t="n">
        <v>0</v>
      </c>
      <c r="M942" s="21" t="n">
        <v>0</v>
      </c>
      <c r="N942" s="21" t="n">
        <v>0</v>
      </c>
      <c r="O942" s="21" t="n">
        <v>0</v>
      </c>
      <c r="P942" s="21" t="n">
        <v>0</v>
      </c>
      <c r="Q942" s="21" t="n">
        <v>0</v>
      </c>
      <c r="R942" s="18" t="n">
        <f aca="false">ABS(D942)+MAX(ABS(G942),ABS(H942))+MAX(ABS(I942),ABS(J942))</f>
        <v>0.01</v>
      </c>
      <c r="S942" s="18" t="n">
        <f aca="false">ABS(K942)+MAX(ABS(N942),ABS(O942))+MAX(ABS(P942),ABS(Q942))</f>
        <v>0.01</v>
      </c>
      <c r="T942" s="18" t="n">
        <f aca="false">MAX(ABS(E942),ABS(F942))</f>
        <v>0</v>
      </c>
      <c r="U942" s="18" t="n">
        <f aca="false">MAX(ABS(L942),ABS(M942))</f>
        <v>0</v>
      </c>
    </row>
    <row r="943" customFormat="false" ht="15" hidden="false" customHeight="false" outlineLevel="0" collapsed="false">
      <c r="A943" s="4" t="n">
        <v>412</v>
      </c>
      <c r="B943" s="4" t="n">
        <v>200</v>
      </c>
      <c r="C943" s="18" t="n">
        <v>0.75</v>
      </c>
      <c r="D943" s="21" t="n">
        <v>0.01</v>
      </c>
      <c r="E943" s="21" t="n">
        <v>0</v>
      </c>
      <c r="F943" s="21" t="n">
        <v>0</v>
      </c>
      <c r="G943" s="21" t="n">
        <v>0</v>
      </c>
      <c r="H943" s="21" t="n">
        <v>0</v>
      </c>
      <c r="I943" s="21" t="n">
        <v>0.05</v>
      </c>
      <c r="J943" s="21" t="n">
        <v>-0.05</v>
      </c>
      <c r="K943" s="21" t="n">
        <v>0.01</v>
      </c>
      <c r="L943" s="21" t="n">
        <v>0</v>
      </c>
      <c r="M943" s="21" t="n">
        <v>0</v>
      </c>
      <c r="N943" s="21" t="n">
        <v>0</v>
      </c>
      <c r="O943" s="21" t="n">
        <v>0</v>
      </c>
      <c r="P943" s="21" t="n">
        <v>0.05</v>
      </c>
      <c r="Q943" s="21" t="n">
        <v>-0.05</v>
      </c>
      <c r="R943" s="18" t="n">
        <f aca="false">ABS(D943)+MAX(ABS(G943),ABS(H943))+MAX(ABS(I943),ABS(J943))</f>
        <v>0.06</v>
      </c>
      <c r="S943" s="18" t="n">
        <f aca="false">ABS(K943)+MAX(ABS(N943),ABS(O943))+MAX(ABS(P943),ABS(Q943))</f>
        <v>0.06</v>
      </c>
      <c r="T943" s="18" t="n">
        <f aca="false">MAX(ABS(E943),ABS(F943))</f>
        <v>0</v>
      </c>
      <c r="U943" s="18" t="n">
        <f aca="false">MAX(ABS(L943),ABS(M943))</f>
        <v>0</v>
      </c>
    </row>
    <row r="944" customFormat="false" ht="15" hidden="false" customHeight="false" outlineLevel="0" collapsed="false">
      <c r="A944" s="4" t="n">
        <v>412</v>
      </c>
      <c r="B944" s="4" t="n">
        <v>200</v>
      </c>
      <c r="C944" s="18" t="n">
        <v>1</v>
      </c>
      <c r="D944" s="21" t="n">
        <v>0.01</v>
      </c>
      <c r="E944" s="21" t="n">
        <v>0</v>
      </c>
      <c r="F944" s="21" t="n">
        <v>0</v>
      </c>
      <c r="G944" s="21" t="n">
        <v>0</v>
      </c>
      <c r="H944" s="21" t="n">
        <v>0</v>
      </c>
      <c r="I944" s="21" t="n">
        <v>0.1</v>
      </c>
      <c r="J944" s="21" t="n">
        <v>-0.1</v>
      </c>
      <c r="K944" s="21" t="n">
        <v>0.01</v>
      </c>
      <c r="L944" s="21" t="n">
        <v>0</v>
      </c>
      <c r="M944" s="21" t="n">
        <v>0</v>
      </c>
      <c r="N944" s="21" t="n">
        <v>0</v>
      </c>
      <c r="O944" s="21" t="n">
        <v>0</v>
      </c>
      <c r="P944" s="21" t="n">
        <v>0.1</v>
      </c>
      <c r="Q944" s="21" t="n">
        <v>-0.1</v>
      </c>
      <c r="R944" s="18" t="n">
        <f aca="false">ABS(D944)+MAX(ABS(G944),ABS(H944))+MAX(ABS(I944),ABS(J944))</f>
        <v>0.11</v>
      </c>
      <c r="S944" s="18" t="n">
        <f aca="false">ABS(K944)+MAX(ABS(N944),ABS(O944))+MAX(ABS(P944),ABS(Q944))</f>
        <v>0.11</v>
      </c>
      <c r="T944" s="18" t="n">
        <f aca="false">MAX(ABS(E944),ABS(F944))</f>
        <v>0</v>
      </c>
      <c r="U944" s="18" t="n">
        <f aca="false">MAX(ABS(L944),ABS(M944))</f>
        <v>0</v>
      </c>
    </row>
    <row r="945" customFormat="false" ht="15" hidden="false" customHeight="false" outlineLevel="0" collapsed="false">
      <c r="A945" s="4" t="n">
        <v>413</v>
      </c>
      <c r="B945" s="4" t="n">
        <v>201</v>
      </c>
      <c r="C945" s="18" t="n">
        <v>0</v>
      </c>
      <c r="D945" s="21" t="n">
        <v>0.01</v>
      </c>
      <c r="E945" s="21" t="n">
        <v>0</v>
      </c>
      <c r="F945" s="21" t="n">
        <v>0</v>
      </c>
      <c r="G945" s="21" t="n">
        <v>0</v>
      </c>
      <c r="H945" s="21" t="n">
        <v>0</v>
      </c>
      <c r="I945" s="21" t="n">
        <v>0.08</v>
      </c>
      <c r="J945" s="21" t="n">
        <v>-0.08</v>
      </c>
      <c r="K945" s="21" t="n">
        <v>0.01</v>
      </c>
      <c r="L945" s="21" t="n">
        <v>0</v>
      </c>
      <c r="M945" s="21" t="n">
        <v>0</v>
      </c>
      <c r="N945" s="21" t="n">
        <v>0</v>
      </c>
      <c r="O945" s="21" t="n">
        <v>0</v>
      </c>
      <c r="P945" s="21" t="n">
        <v>0.08</v>
      </c>
      <c r="Q945" s="21" t="n">
        <v>-0.08</v>
      </c>
      <c r="R945" s="18" t="n">
        <f aca="false">ABS(D945)+MAX(ABS(G945),ABS(H945))+MAX(ABS(I945),ABS(J945))</f>
        <v>0.09</v>
      </c>
      <c r="S945" s="18" t="n">
        <f aca="false">ABS(K945)+MAX(ABS(N945),ABS(O945))+MAX(ABS(P945),ABS(Q945))</f>
        <v>0.09</v>
      </c>
      <c r="T945" s="18" t="n">
        <f aca="false">MAX(ABS(E945),ABS(F945))</f>
        <v>0</v>
      </c>
      <c r="U945" s="18" t="n">
        <f aca="false">MAX(ABS(L945),ABS(M945))</f>
        <v>0</v>
      </c>
    </row>
    <row r="946" customFormat="false" ht="15" hidden="false" customHeight="false" outlineLevel="0" collapsed="false">
      <c r="A946" s="4" t="n">
        <v>413</v>
      </c>
      <c r="B946" s="4" t="n">
        <v>201</v>
      </c>
      <c r="C946" s="18" t="n">
        <v>0.25</v>
      </c>
      <c r="D946" s="21" t="n">
        <v>0.01</v>
      </c>
      <c r="E946" s="21" t="n">
        <v>0</v>
      </c>
      <c r="F946" s="21" t="n">
        <v>0</v>
      </c>
      <c r="G946" s="21" t="n">
        <v>0</v>
      </c>
      <c r="H946" s="21" t="n">
        <v>0</v>
      </c>
      <c r="I946" s="21" t="n">
        <v>0.04</v>
      </c>
      <c r="J946" s="21" t="n">
        <v>-0.04</v>
      </c>
      <c r="K946" s="21" t="n">
        <v>0.01</v>
      </c>
      <c r="L946" s="21" t="n">
        <v>0</v>
      </c>
      <c r="M946" s="21" t="n">
        <v>0</v>
      </c>
      <c r="N946" s="21" t="n">
        <v>0</v>
      </c>
      <c r="O946" s="21" t="n">
        <v>0</v>
      </c>
      <c r="P946" s="21" t="n">
        <v>0.04</v>
      </c>
      <c r="Q946" s="21" t="n">
        <v>-0.04</v>
      </c>
      <c r="R946" s="18" t="n">
        <f aca="false">ABS(D946)+MAX(ABS(G946),ABS(H946))+MAX(ABS(I946),ABS(J946))</f>
        <v>0.05</v>
      </c>
      <c r="S946" s="18" t="n">
        <f aca="false">ABS(K946)+MAX(ABS(N946),ABS(O946))+MAX(ABS(P946),ABS(Q946))</f>
        <v>0.05</v>
      </c>
      <c r="T946" s="18" t="n">
        <f aca="false">MAX(ABS(E946),ABS(F946))</f>
        <v>0</v>
      </c>
      <c r="U946" s="18" t="n">
        <f aca="false">MAX(ABS(L946),ABS(M946))</f>
        <v>0</v>
      </c>
    </row>
    <row r="947" customFormat="false" ht="15" hidden="false" customHeight="false" outlineLevel="0" collapsed="false">
      <c r="A947" s="4" t="n">
        <v>413</v>
      </c>
      <c r="B947" s="4" t="n">
        <v>201</v>
      </c>
      <c r="C947" s="18" t="n">
        <v>0.5</v>
      </c>
      <c r="D947" s="21" t="n">
        <v>0.01</v>
      </c>
      <c r="E947" s="21" t="n">
        <v>0</v>
      </c>
      <c r="F947" s="21" t="n">
        <v>0</v>
      </c>
      <c r="G947" s="21" t="n">
        <v>0</v>
      </c>
      <c r="H947" s="21" t="n">
        <v>0</v>
      </c>
      <c r="I947" s="21" t="n">
        <v>0</v>
      </c>
      <c r="J947" s="21" t="n">
        <v>0</v>
      </c>
      <c r="K947" s="21" t="n">
        <v>0.01</v>
      </c>
      <c r="L947" s="21" t="n">
        <v>0</v>
      </c>
      <c r="M947" s="21" t="n">
        <v>0</v>
      </c>
      <c r="N947" s="21" t="n">
        <v>0</v>
      </c>
      <c r="O947" s="21" t="n">
        <v>0</v>
      </c>
      <c r="P947" s="21" t="n">
        <v>0</v>
      </c>
      <c r="Q947" s="21" t="n">
        <v>0</v>
      </c>
      <c r="R947" s="18" t="n">
        <f aca="false">ABS(D947)+MAX(ABS(G947),ABS(H947))+MAX(ABS(I947),ABS(J947))</f>
        <v>0.01</v>
      </c>
      <c r="S947" s="18" t="n">
        <f aca="false">ABS(K947)+MAX(ABS(N947),ABS(O947))+MAX(ABS(P947),ABS(Q947))</f>
        <v>0.01</v>
      </c>
      <c r="T947" s="18" t="n">
        <f aca="false">MAX(ABS(E947),ABS(F947))</f>
        <v>0</v>
      </c>
      <c r="U947" s="18" t="n">
        <f aca="false">MAX(ABS(L947),ABS(M947))</f>
        <v>0</v>
      </c>
    </row>
    <row r="948" customFormat="false" ht="15" hidden="false" customHeight="false" outlineLevel="0" collapsed="false">
      <c r="A948" s="4" t="n">
        <v>413</v>
      </c>
      <c r="B948" s="4" t="n">
        <v>201</v>
      </c>
      <c r="C948" s="18" t="n">
        <v>0.75</v>
      </c>
      <c r="D948" s="21" t="n">
        <v>0.01</v>
      </c>
      <c r="E948" s="21" t="n">
        <v>0</v>
      </c>
      <c r="F948" s="21" t="n">
        <v>0</v>
      </c>
      <c r="G948" s="21" t="n">
        <v>0</v>
      </c>
      <c r="H948" s="21" t="n">
        <v>0</v>
      </c>
      <c r="I948" s="21" t="n">
        <v>-0.05</v>
      </c>
      <c r="J948" s="21" t="n">
        <v>0.05</v>
      </c>
      <c r="K948" s="21" t="n">
        <v>0.01</v>
      </c>
      <c r="L948" s="21" t="n">
        <v>0</v>
      </c>
      <c r="M948" s="21" t="n">
        <v>0</v>
      </c>
      <c r="N948" s="21" t="n">
        <v>0</v>
      </c>
      <c r="O948" s="21" t="n">
        <v>0</v>
      </c>
      <c r="P948" s="21" t="n">
        <v>-0.05</v>
      </c>
      <c r="Q948" s="21" t="n">
        <v>0.05</v>
      </c>
      <c r="R948" s="18" t="n">
        <f aca="false">ABS(D948)+MAX(ABS(G948),ABS(H948))+MAX(ABS(I948),ABS(J948))</f>
        <v>0.06</v>
      </c>
      <c r="S948" s="18" t="n">
        <f aca="false">ABS(K948)+MAX(ABS(N948),ABS(O948))+MAX(ABS(P948),ABS(Q948))</f>
        <v>0.06</v>
      </c>
      <c r="T948" s="18" t="n">
        <f aca="false">MAX(ABS(E948),ABS(F948))</f>
        <v>0</v>
      </c>
      <c r="U948" s="18" t="n">
        <f aca="false">MAX(ABS(L948),ABS(M948))</f>
        <v>0</v>
      </c>
    </row>
    <row r="949" customFormat="false" ht="15" hidden="false" customHeight="false" outlineLevel="0" collapsed="false">
      <c r="A949" s="4" t="n">
        <v>413</v>
      </c>
      <c r="B949" s="4" t="n">
        <v>201</v>
      </c>
      <c r="C949" s="18" t="n">
        <v>1</v>
      </c>
      <c r="D949" s="21" t="n">
        <v>0.01</v>
      </c>
      <c r="E949" s="21" t="n">
        <v>0</v>
      </c>
      <c r="F949" s="21" t="n">
        <v>0</v>
      </c>
      <c r="G949" s="21" t="n">
        <v>0</v>
      </c>
      <c r="H949" s="21" t="n">
        <v>0</v>
      </c>
      <c r="I949" s="21" t="n">
        <v>-0.09</v>
      </c>
      <c r="J949" s="21" t="n">
        <v>0.09</v>
      </c>
      <c r="K949" s="21" t="n">
        <v>0.01</v>
      </c>
      <c r="L949" s="21" t="n">
        <v>0</v>
      </c>
      <c r="M949" s="21" t="n">
        <v>0</v>
      </c>
      <c r="N949" s="21" t="n">
        <v>0</v>
      </c>
      <c r="O949" s="21" t="n">
        <v>0</v>
      </c>
      <c r="P949" s="21" t="n">
        <v>-0.09</v>
      </c>
      <c r="Q949" s="21" t="n">
        <v>0.09</v>
      </c>
      <c r="R949" s="18" t="n">
        <f aca="false">ABS(D949)+MAX(ABS(G949),ABS(H949))+MAX(ABS(I949),ABS(J949))</f>
        <v>0.1</v>
      </c>
      <c r="S949" s="18" t="n">
        <f aca="false">ABS(K949)+MAX(ABS(N949),ABS(O949))+MAX(ABS(P949),ABS(Q949))</f>
        <v>0.1</v>
      </c>
      <c r="T949" s="18" t="n">
        <f aca="false">MAX(ABS(E949),ABS(F949))</f>
        <v>0</v>
      </c>
      <c r="U949" s="18" t="n">
        <f aca="false">MAX(ABS(L949),ABS(M949))</f>
        <v>0</v>
      </c>
    </row>
    <row r="950" customFormat="false" ht="15" hidden="false" customHeight="false" outlineLevel="0" collapsed="false">
      <c r="A950" s="4" t="n">
        <v>414</v>
      </c>
      <c r="B950" s="4" t="n">
        <v>202</v>
      </c>
      <c r="C950" s="18" t="n">
        <v>0</v>
      </c>
      <c r="D950" s="21" t="n">
        <v>0</v>
      </c>
      <c r="E950" s="21" t="n">
        <v>0</v>
      </c>
      <c r="F950" s="21" t="n">
        <v>0.01</v>
      </c>
      <c r="G950" s="21" t="n">
        <v>0</v>
      </c>
      <c r="H950" s="21" t="n">
        <v>0</v>
      </c>
      <c r="I950" s="21" t="n">
        <v>0.1</v>
      </c>
      <c r="J950" s="21" t="n">
        <v>-0.1</v>
      </c>
      <c r="K950" s="21" t="n">
        <v>0</v>
      </c>
      <c r="L950" s="21" t="n">
        <v>0</v>
      </c>
      <c r="M950" s="21" t="n">
        <v>0.01</v>
      </c>
      <c r="N950" s="21" t="n">
        <v>0</v>
      </c>
      <c r="O950" s="21" t="n">
        <v>0</v>
      </c>
      <c r="P950" s="21" t="n">
        <v>0.1</v>
      </c>
      <c r="Q950" s="21" t="n">
        <v>-0.1</v>
      </c>
      <c r="R950" s="18" t="n">
        <f aca="false">ABS(D950)+MAX(ABS(G950),ABS(H950))+MAX(ABS(I950),ABS(J950))</f>
        <v>0.1</v>
      </c>
      <c r="S950" s="18" t="n">
        <f aca="false">ABS(K950)+MAX(ABS(N950),ABS(O950))+MAX(ABS(P950),ABS(Q950))</f>
        <v>0.1</v>
      </c>
      <c r="T950" s="18" t="n">
        <f aca="false">MAX(ABS(E950),ABS(F950))</f>
        <v>0.01</v>
      </c>
      <c r="U950" s="18" t="n">
        <f aca="false">MAX(ABS(L950),ABS(M950))</f>
        <v>0.01</v>
      </c>
    </row>
    <row r="951" customFormat="false" ht="15" hidden="false" customHeight="false" outlineLevel="0" collapsed="false">
      <c r="A951" s="4" t="n">
        <v>414</v>
      </c>
      <c r="B951" s="4" t="n">
        <v>202</v>
      </c>
      <c r="C951" s="18" t="n">
        <v>0.25</v>
      </c>
      <c r="D951" s="21" t="n">
        <v>0</v>
      </c>
      <c r="E951" s="21" t="n">
        <v>0</v>
      </c>
      <c r="F951" s="21" t="n">
        <v>0.01</v>
      </c>
      <c r="G951" s="21" t="n">
        <v>0</v>
      </c>
      <c r="H951" s="21" t="n">
        <v>0</v>
      </c>
      <c r="I951" s="21" t="n">
        <v>0.05</v>
      </c>
      <c r="J951" s="21" t="n">
        <v>-0.05</v>
      </c>
      <c r="K951" s="21" t="n">
        <v>0</v>
      </c>
      <c r="L951" s="21" t="n">
        <v>0</v>
      </c>
      <c r="M951" s="21" t="n">
        <v>0.01</v>
      </c>
      <c r="N951" s="21" t="n">
        <v>0</v>
      </c>
      <c r="O951" s="21" t="n">
        <v>0</v>
      </c>
      <c r="P951" s="21" t="n">
        <v>0.05</v>
      </c>
      <c r="Q951" s="21" t="n">
        <v>-0.05</v>
      </c>
      <c r="R951" s="18" t="n">
        <f aca="false">ABS(D951)+MAX(ABS(G951),ABS(H951))+MAX(ABS(I951),ABS(J951))</f>
        <v>0.05</v>
      </c>
      <c r="S951" s="18" t="n">
        <f aca="false">ABS(K951)+MAX(ABS(N951),ABS(O951))+MAX(ABS(P951),ABS(Q951))</f>
        <v>0.05</v>
      </c>
      <c r="T951" s="18" t="n">
        <f aca="false">MAX(ABS(E951),ABS(F951))</f>
        <v>0.01</v>
      </c>
      <c r="U951" s="18" t="n">
        <f aca="false">MAX(ABS(L951),ABS(M951))</f>
        <v>0.01</v>
      </c>
    </row>
    <row r="952" customFormat="false" ht="15" hidden="false" customHeight="false" outlineLevel="0" collapsed="false">
      <c r="A952" s="4" t="n">
        <v>414</v>
      </c>
      <c r="B952" s="4" t="n">
        <v>202</v>
      </c>
      <c r="C952" s="18" t="n">
        <v>0.5</v>
      </c>
      <c r="D952" s="21" t="n">
        <v>0</v>
      </c>
      <c r="E952" s="21" t="n">
        <v>0</v>
      </c>
      <c r="F952" s="21" t="n">
        <v>0.01</v>
      </c>
      <c r="G952" s="21" t="n">
        <v>0</v>
      </c>
      <c r="H952" s="21" t="n">
        <v>0</v>
      </c>
      <c r="I952" s="21" t="n">
        <v>-0.01</v>
      </c>
      <c r="J952" s="21" t="n">
        <v>0.01</v>
      </c>
      <c r="K952" s="21" t="n">
        <v>0</v>
      </c>
      <c r="L952" s="21" t="n">
        <v>0</v>
      </c>
      <c r="M952" s="21" t="n">
        <v>0.01</v>
      </c>
      <c r="N952" s="21" t="n">
        <v>0</v>
      </c>
      <c r="O952" s="21" t="n">
        <v>0</v>
      </c>
      <c r="P952" s="21" t="n">
        <v>-0.01</v>
      </c>
      <c r="Q952" s="21" t="n">
        <v>0.01</v>
      </c>
      <c r="R952" s="18" t="n">
        <f aca="false">ABS(D952)+MAX(ABS(G952),ABS(H952))+MAX(ABS(I952),ABS(J952))</f>
        <v>0.01</v>
      </c>
      <c r="S952" s="18" t="n">
        <f aca="false">ABS(K952)+MAX(ABS(N952),ABS(O952))+MAX(ABS(P952),ABS(Q952))</f>
        <v>0.01</v>
      </c>
      <c r="T952" s="18" t="n">
        <f aca="false">MAX(ABS(E952),ABS(F952))</f>
        <v>0.01</v>
      </c>
      <c r="U952" s="18" t="n">
        <f aca="false">MAX(ABS(L952),ABS(M952))</f>
        <v>0.01</v>
      </c>
    </row>
    <row r="953" customFormat="false" ht="15" hidden="false" customHeight="false" outlineLevel="0" collapsed="false">
      <c r="A953" s="4" t="n">
        <v>414</v>
      </c>
      <c r="B953" s="4" t="n">
        <v>202</v>
      </c>
      <c r="C953" s="18" t="n">
        <v>0.75</v>
      </c>
      <c r="D953" s="21" t="n">
        <v>0</v>
      </c>
      <c r="E953" s="21" t="n">
        <v>0</v>
      </c>
      <c r="F953" s="21" t="n">
        <v>0.01</v>
      </c>
      <c r="G953" s="21" t="n">
        <v>0</v>
      </c>
      <c r="H953" s="21" t="n">
        <v>0</v>
      </c>
      <c r="I953" s="21" t="n">
        <v>-0.06</v>
      </c>
      <c r="J953" s="21" t="n">
        <v>0.06</v>
      </c>
      <c r="K953" s="21" t="n">
        <v>0</v>
      </c>
      <c r="L953" s="21" t="n">
        <v>0</v>
      </c>
      <c r="M953" s="21" t="n">
        <v>0.01</v>
      </c>
      <c r="N953" s="21" t="n">
        <v>0</v>
      </c>
      <c r="O953" s="21" t="n">
        <v>0</v>
      </c>
      <c r="P953" s="21" t="n">
        <v>-0.06</v>
      </c>
      <c r="Q953" s="21" t="n">
        <v>0.06</v>
      </c>
      <c r="R953" s="18" t="n">
        <f aca="false">ABS(D953)+MAX(ABS(G953),ABS(H953))+MAX(ABS(I953),ABS(J953))</f>
        <v>0.06</v>
      </c>
      <c r="S953" s="18" t="n">
        <f aca="false">ABS(K953)+MAX(ABS(N953),ABS(O953))+MAX(ABS(P953),ABS(Q953))</f>
        <v>0.06</v>
      </c>
      <c r="T953" s="18" t="n">
        <f aca="false">MAX(ABS(E953),ABS(F953))</f>
        <v>0.01</v>
      </c>
      <c r="U953" s="18" t="n">
        <f aca="false">MAX(ABS(L953),ABS(M953))</f>
        <v>0.01</v>
      </c>
    </row>
    <row r="954" customFormat="false" ht="15" hidden="false" customHeight="false" outlineLevel="0" collapsed="false">
      <c r="A954" s="4" t="n">
        <v>414</v>
      </c>
      <c r="B954" s="4" t="n">
        <v>202</v>
      </c>
      <c r="C954" s="18" t="n">
        <v>1</v>
      </c>
      <c r="D954" s="21" t="n">
        <v>0</v>
      </c>
      <c r="E954" s="21" t="n">
        <v>0</v>
      </c>
      <c r="F954" s="21" t="n">
        <v>0.01</v>
      </c>
      <c r="G954" s="21" t="n">
        <v>0</v>
      </c>
      <c r="H954" s="21" t="n">
        <v>0</v>
      </c>
      <c r="I954" s="21" t="n">
        <v>-0.12</v>
      </c>
      <c r="J954" s="21" t="n">
        <v>0.12</v>
      </c>
      <c r="K954" s="21" t="n">
        <v>0</v>
      </c>
      <c r="L954" s="21" t="n">
        <v>0</v>
      </c>
      <c r="M954" s="21" t="n">
        <v>0.01</v>
      </c>
      <c r="N954" s="21" t="n">
        <v>0</v>
      </c>
      <c r="O954" s="21" t="n">
        <v>0</v>
      </c>
      <c r="P954" s="21" t="n">
        <v>-0.12</v>
      </c>
      <c r="Q954" s="21" t="n">
        <v>0.12</v>
      </c>
      <c r="R954" s="18" t="n">
        <f aca="false">ABS(D954)+MAX(ABS(G954),ABS(H954))+MAX(ABS(I954),ABS(J954))</f>
        <v>0.12</v>
      </c>
      <c r="S954" s="18" t="n">
        <f aca="false">ABS(K954)+MAX(ABS(N954),ABS(O954))+MAX(ABS(P954),ABS(Q954))</f>
        <v>0.12</v>
      </c>
      <c r="T954" s="18" t="n">
        <f aca="false">MAX(ABS(E954),ABS(F954))</f>
        <v>0.01</v>
      </c>
      <c r="U954" s="18" t="n">
        <f aca="false">MAX(ABS(L954),ABS(M954))</f>
        <v>0.01</v>
      </c>
    </row>
    <row r="955" customFormat="false" ht="15" hidden="false" customHeight="false" outlineLevel="0" collapsed="false">
      <c r="A955" s="4" t="n">
        <v>415</v>
      </c>
      <c r="B955" s="4" t="n">
        <v>203</v>
      </c>
      <c r="C955" s="18" t="n">
        <v>0</v>
      </c>
      <c r="D955" s="21" t="n">
        <v>0</v>
      </c>
      <c r="E955" s="21" t="n">
        <v>0</v>
      </c>
      <c r="F955" s="21" t="n">
        <v>0</v>
      </c>
      <c r="G955" s="21" t="n">
        <v>0</v>
      </c>
      <c r="H955" s="21" t="n">
        <v>0</v>
      </c>
      <c r="I955" s="21" t="n">
        <v>0</v>
      </c>
      <c r="J955" s="21" t="n">
        <v>0</v>
      </c>
      <c r="K955" s="21" t="n">
        <v>0</v>
      </c>
      <c r="L955" s="21" t="n">
        <v>0</v>
      </c>
      <c r="M955" s="21" t="n">
        <v>0</v>
      </c>
      <c r="N955" s="21" t="n">
        <v>0</v>
      </c>
      <c r="O955" s="21" t="n">
        <v>0</v>
      </c>
      <c r="P955" s="21" t="n">
        <v>0</v>
      </c>
      <c r="Q955" s="21" t="n">
        <v>0</v>
      </c>
      <c r="R955" s="18" t="n">
        <f aca="false">ABS(D955)+MAX(ABS(G955),ABS(H955))+MAX(ABS(I955),ABS(J955))</f>
        <v>0</v>
      </c>
      <c r="S955" s="18" t="n">
        <f aca="false">ABS(K955)+MAX(ABS(N955),ABS(O955))+MAX(ABS(P955),ABS(Q955))</f>
        <v>0</v>
      </c>
      <c r="T955" s="18" t="n">
        <f aca="false">MAX(ABS(E955),ABS(F955))</f>
        <v>0</v>
      </c>
      <c r="U955" s="18" t="n">
        <f aca="false">MAX(ABS(L955),ABS(M955))</f>
        <v>0</v>
      </c>
    </row>
    <row r="956" customFormat="false" ht="15" hidden="false" customHeight="false" outlineLevel="0" collapsed="false">
      <c r="A956" s="4" t="n">
        <v>415</v>
      </c>
      <c r="B956" s="4" t="n">
        <v>203</v>
      </c>
      <c r="C956" s="18" t="n">
        <v>0.25</v>
      </c>
      <c r="D956" s="21" t="n">
        <v>0</v>
      </c>
      <c r="E956" s="21" t="n">
        <v>0</v>
      </c>
      <c r="F956" s="21" t="n">
        <v>0</v>
      </c>
      <c r="G956" s="21" t="n">
        <v>0</v>
      </c>
      <c r="H956" s="21" t="n">
        <v>0</v>
      </c>
      <c r="I956" s="21" t="n">
        <v>0</v>
      </c>
      <c r="J956" s="21" t="n">
        <v>0</v>
      </c>
      <c r="K956" s="21" t="n">
        <v>0</v>
      </c>
      <c r="L956" s="21" t="n">
        <v>0</v>
      </c>
      <c r="M956" s="21" t="n">
        <v>0</v>
      </c>
      <c r="N956" s="21" t="n">
        <v>0</v>
      </c>
      <c r="O956" s="21" t="n">
        <v>0</v>
      </c>
      <c r="P956" s="21" t="n">
        <v>0</v>
      </c>
      <c r="Q956" s="21" t="n">
        <v>0</v>
      </c>
      <c r="R956" s="18" t="n">
        <f aca="false">ABS(D956)+MAX(ABS(G956),ABS(H956))+MAX(ABS(I956),ABS(J956))</f>
        <v>0</v>
      </c>
      <c r="S956" s="18" t="n">
        <f aca="false">ABS(K956)+MAX(ABS(N956),ABS(O956))+MAX(ABS(P956),ABS(Q956))</f>
        <v>0</v>
      </c>
      <c r="T956" s="18" t="n">
        <f aca="false">MAX(ABS(E956),ABS(F956))</f>
        <v>0</v>
      </c>
      <c r="U956" s="18" t="n">
        <f aca="false">MAX(ABS(L956),ABS(M956))</f>
        <v>0</v>
      </c>
    </row>
    <row r="957" customFormat="false" ht="15" hidden="false" customHeight="false" outlineLevel="0" collapsed="false">
      <c r="A957" s="4" t="n">
        <v>415</v>
      </c>
      <c r="B957" s="4" t="n">
        <v>203</v>
      </c>
      <c r="C957" s="18" t="n">
        <v>0.5</v>
      </c>
      <c r="D957" s="21" t="n">
        <v>0</v>
      </c>
      <c r="E957" s="21" t="n">
        <v>0</v>
      </c>
      <c r="F957" s="21" t="n">
        <v>0</v>
      </c>
      <c r="G957" s="21" t="n">
        <v>0</v>
      </c>
      <c r="H957" s="21" t="n">
        <v>0</v>
      </c>
      <c r="I957" s="21" t="n">
        <v>0</v>
      </c>
      <c r="J957" s="21" t="n">
        <v>0</v>
      </c>
      <c r="K957" s="21" t="n">
        <v>0</v>
      </c>
      <c r="L957" s="21" t="n">
        <v>0</v>
      </c>
      <c r="M957" s="21" t="n">
        <v>0</v>
      </c>
      <c r="N957" s="21" t="n">
        <v>0</v>
      </c>
      <c r="O957" s="21" t="n">
        <v>0</v>
      </c>
      <c r="P957" s="21" t="n">
        <v>0</v>
      </c>
      <c r="Q957" s="21" t="n">
        <v>0</v>
      </c>
      <c r="R957" s="18" t="n">
        <f aca="false">ABS(D957)+MAX(ABS(G957),ABS(H957))+MAX(ABS(I957),ABS(J957))</f>
        <v>0</v>
      </c>
      <c r="S957" s="18" t="n">
        <f aca="false">ABS(K957)+MAX(ABS(N957),ABS(O957))+MAX(ABS(P957),ABS(Q957))</f>
        <v>0</v>
      </c>
      <c r="T957" s="18" t="n">
        <f aca="false">MAX(ABS(E957),ABS(F957))</f>
        <v>0</v>
      </c>
      <c r="U957" s="18" t="n">
        <f aca="false">MAX(ABS(L957),ABS(M957))</f>
        <v>0</v>
      </c>
    </row>
    <row r="958" customFormat="false" ht="15" hidden="false" customHeight="false" outlineLevel="0" collapsed="false">
      <c r="A958" s="4" t="n">
        <v>415</v>
      </c>
      <c r="B958" s="4" t="n">
        <v>203</v>
      </c>
      <c r="C958" s="18" t="n">
        <v>0.75</v>
      </c>
      <c r="D958" s="21" t="n">
        <v>0</v>
      </c>
      <c r="E958" s="21" t="n">
        <v>0</v>
      </c>
      <c r="F958" s="21" t="n">
        <v>0</v>
      </c>
      <c r="G958" s="21" t="n">
        <v>0</v>
      </c>
      <c r="H958" s="21" t="n">
        <v>0</v>
      </c>
      <c r="I958" s="21" t="n">
        <v>0</v>
      </c>
      <c r="J958" s="21" t="n">
        <v>0</v>
      </c>
      <c r="K958" s="21" t="n">
        <v>0</v>
      </c>
      <c r="L958" s="21" t="n">
        <v>0</v>
      </c>
      <c r="M958" s="21" t="n">
        <v>0</v>
      </c>
      <c r="N958" s="21" t="n">
        <v>0</v>
      </c>
      <c r="O958" s="21" t="n">
        <v>0</v>
      </c>
      <c r="P958" s="21" t="n">
        <v>0</v>
      </c>
      <c r="Q958" s="21" t="n">
        <v>0</v>
      </c>
      <c r="R958" s="18" t="n">
        <f aca="false">ABS(D958)+MAX(ABS(G958),ABS(H958))+MAX(ABS(I958),ABS(J958))</f>
        <v>0</v>
      </c>
      <c r="S958" s="18" t="n">
        <f aca="false">ABS(K958)+MAX(ABS(N958),ABS(O958))+MAX(ABS(P958),ABS(Q958))</f>
        <v>0</v>
      </c>
      <c r="T958" s="18" t="n">
        <f aca="false">MAX(ABS(E958),ABS(F958))</f>
        <v>0</v>
      </c>
      <c r="U958" s="18" t="n">
        <f aca="false">MAX(ABS(L958),ABS(M958))</f>
        <v>0</v>
      </c>
    </row>
    <row r="959" customFormat="false" ht="15" hidden="false" customHeight="false" outlineLevel="0" collapsed="false">
      <c r="A959" s="4" t="n">
        <v>415</v>
      </c>
      <c r="B959" s="4" t="n">
        <v>203</v>
      </c>
      <c r="C959" s="18" t="n">
        <v>1</v>
      </c>
      <c r="D959" s="21" t="n">
        <v>0</v>
      </c>
      <c r="E959" s="21" t="n">
        <v>0</v>
      </c>
      <c r="F959" s="21" t="n">
        <v>0</v>
      </c>
      <c r="G959" s="21" t="n">
        <v>0</v>
      </c>
      <c r="H959" s="21" t="n">
        <v>0</v>
      </c>
      <c r="I959" s="21" t="n">
        <v>0</v>
      </c>
      <c r="J959" s="21" t="n">
        <v>0</v>
      </c>
      <c r="K959" s="21" t="n">
        <v>0</v>
      </c>
      <c r="L959" s="21" t="n">
        <v>0</v>
      </c>
      <c r="M959" s="21" t="n">
        <v>0</v>
      </c>
      <c r="N959" s="21" t="n">
        <v>0</v>
      </c>
      <c r="O959" s="21" t="n">
        <v>0</v>
      </c>
      <c r="P959" s="21" t="n">
        <v>0</v>
      </c>
      <c r="Q959" s="21" t="n">
        <v>0</v>
      </c>
      <c r="R959" s="18" t="n">
        <f aca="false">ABS(D959)+MAX(ABS(G959),ABS(H959))+MAX(ABS(I959),ABS(J959))</f>
        <v>0</v>
      </c>
      <c r="S959" s="18" t="n">
        <f aca="false">ABS(K959)+MAX(ABS(N959),ABS(O959))+MAX(ABS(P959),ABS(Q959))</f>
        <v>0</v>
      </c>
      <c r="T959" s="18" t="n">
        <f aca="false">MAX(ABS(E959),ABS(F959))</f>
        <v>0</v>
      </c>
      <c r="U959" s="18" t="n">
        <f aca="false">MAX(ABS(L959),ABS(M959))</f>
        <v>0</v>
      </c>
    </row>
    <row r="960" customFormat="false" ht="15" hidden="false" customHeight="false" outlineLevel="0" collapsed="false">
      <c r="A960" s="4" t="n">
        <v>416</v>
      </c>
      <c r="B960" s="4" t="n">
        <v>204</v>
      </c>
      <c r="C960" s="18" t="n">
        <v>0</v>
      </c>
      <c r="D960" s="21" t="n">
        <v>0</v>
      </c>
      <c r="E960" s="21" t="n">
        <v>0</v>
      </c>
      <c r="F960" s="21" t="n">
        <v>0</v>
      </c>
      <c r="G960" s="21" t="n">
        <v>0</v>
      </c>
      <c r="H960" s="21" t="n">
        <v>0</v>
      </c>
      <c r="I960" s="21" t="n">
        <v>0</v>
      </c>
      <c r="J960" s="21" t="n">
        <v>0</v>
      </c>
      <c r="K960" s="21" t="n">
        <v>0</v>
      </c>
      <c r="L960" s="21" t="n">
        <v>0</v>
      </c>
      <c r="M960" s="21" t="n">
        <v>0</v>
      </c>
      <c r="N960" s="21" t="n">
        <v>0</v>
      </c>
      <c r="O960" s="21" t="n">
        <v>0</v>
      </c>
      <c r="P960" s="21" t="n">
        <v>0</v>
      </c>
      <c r="Q960" s="21" t="n">
        <v>0</v>
      </c>
      <c r="R960" s="18" t="n">
        <f aca="false">ABS(D960)+MAX(ABS(G960),ABS(H960))+MAX(ABS(I960),ABS(J960))</f>
        <v>0</v>
      </c>
      <c r="S960" s="18" t="n">
        <f aca="false">ABS(K960)+MAX(ABS(N960),ABS(O960))+MAX(ABS(P960),ABS(Q960))</f>
        <v>0</v>
      </c>
      <c r="T960" s="18" t="n">
        <f aca="false">MAX(ABS(E960),ABS(F960))</f>
        <v>0</v>
      </c>
      <c r="U960" s="18" t="n">
        <f aca="false">MAX(ABS(L960),ABS(M960))</f>
        <v>0</v>
      </c>
    </row>
    <row r="961" customFormat="false" ht="15" hidden="false" customHeight="false" outlineLevel="0" collapsed="false">
      <c r="A961" s="4" t="n">
        <v>416</v>
      </c>
      <c r="B961" s="4" t="n">
        <v>204</v>
      </c>
      <c r="C961" s="18" t="n">
        <v>0.25</v>
      </c>
      <c r="D961" s="21" t="n">
        <v>0</v>
      </c>
      <c r="E961" s="21" t="n">
        <v>0</v>
      </c>
      <c r="F961" s="21" t="n">
        <v>0</v>
      </c>
      <c r="G961" s="21" t="n">
        <v>0</v>
      </c>
      <c r="H961" s="21" t="n">
        <v>0</v>
      </c>
      <c r="I961" s="21" t="n">
        <v>0</v>
      </c>
      <c r="J961" s="21" t="n">
        <v>0</v>
      </c>
      <c r="K961" s="21" t="n">
        <v>0</v>
      </c>
      <c r="L961" s="21" t="n">
        <v>0</v>
      </c>
      <c r="M961" s="21" t="n">
        <v>0</v>
      </c>
      <c r="N961" s="21" t="n">
        <v>0</v>
      </c>
      <c r="O961" s="21" t="n">
        <v>0</v>
      </c>
      <c r="P961" s="21" t="n">
        <v>-0.01</v>
      </c>
      <c r="Q961" s="21" t="n">
        <v>0.01</v>
      </c>
      <c r="R961" s="18" t="n">
        <f aca="false">ABS(D961)+MAX(ABS(G961),ABS(H961))+MAX(ABS(I961),ABS(J961))</f>
        <v>0</v>
      </c>
      <c r="S961" s="18" t="n">
        <f aca="false">ABS(K961)+MAX(ABS(N961),ABS(O961))+MAX(ABS(P961),ABS(Q961))</f>
        <v>0.01</v>
      </c>
      <c r="T961" s="18" t="n">
        <f aca="false">MAX(ABS(E961),ABS(F961))</f>
        <v>0</v>
      </c>
      <c r="U961" s="18" t="n">
        <f aca="false">MAX(ABS(L961),ABS(M961))</f>
        <v>0</v>
      </c>
    </row>
    <row r="962" customFormat="false" ht="15" hidden="false" customHeight="false" outlineLevel="0" collapsed="false">
      <c r="A962" s="4" t="n">
        <v>416</v>
      </c>
      <c r="B962" s="4" t="n">
        <v>204</v>
      </c>
      <c r="C962" s="18" t="n">
        <v>0.5</v>
      </c>
      <c r="D962" s="21" t="n">
        <v>0</v>
      </c>
      <c r="E962" s="21" t="n">
        <v>0</v>
      </c>
      <c r="F962" s="21" t="n">
        <v>0</v>
      </c>
      <c r="G962" s="21" t="n">
        <v>0</v>
      </c>
      <c r="H962" s="21" t="n">
        <v>0</v>
      </c>
      <c r="I962" s="21" t="n">
        <v>0</v>
      </c>
      <c r="J962" s="21" t="n">
        <v>0</v>
      </c>
      <c r="K962" s="21" t="n">
        <v>0</v>
      </c>
      <c r="L962" s="21" t="n">
        <v>0</v>
      </c>
      <c r="M962" s="21" t="n">
        <v>0</v>
      </c>
      <c r="N962" s="21" t="n">
        <v>0</v>
      </c>
      <c r="O962" s="21" t="n">
        <v>0</v>
      </c>
      <c r="P962" s="21" t="n">
        <v>-0.01</v>
      </c>
      <c r="Q962" s="21" t="n">
        <v>0.01</v>
      </c>
      <c r="R962" s="18" t="n">
        <f aca="false">ABS(D962)+MAX(ABS(G962),ABS(H962))+MAX(ABS(I962),ABS(J962))</f>
        <v>0</v>
      </c>
      <c r="S962" s="18" t="n">
        <f aca="false">ABS(K962)+MAX(ABS(N962),ABS(O962))+MAX(ABS(P962),ABS(Q962))</f>
        <v>0.01</v>
      </c>
      <c r="T962" s="18" t="n">
        <f aca="false">MAX(ABS(E962),ABS(F962))</f>
        <v>0</v>
      </c>
      <c r="U962" s="18" t="n">
        <f aca="false">MAX(ABS(L962),ABS(M962))</f>
        <v>0</v>
      </c>
    </row>
    <row r="963" customFormat="false" ht="15" hidden="false" customHeight="false" outlineLevel="0" collapsed="false">
      <c r="A963" s="4" t="n">
        <v>416</v>
      </c>
      <c r="B963" s="4" t="n">
        <v>204</v>
      </c>
      <c r="C963" s="18" t="n">
        <v>0.75</v>
      </c>
      <c r="D963" s="21" t="n">
        <v>0</v>
      </c>
      <c r="E963" s="21" t="n">
        <v>0</v>
      </c>
      <c r="F963" s="21" t="n">
        <v>0</v>
      </c>
      <c r="G963" s="21" t="n">
        <v>0</v>
      </c>
      <c r="H963" s="21" t="n">
        <v>0</v>
      </c>
      <c r="I963" s="21" t="n">
        <v>0</v>
      </c>
      <c r="J963" s="21" t="n">
        <v>0</v>
      </c>
      <c r="K963" s="21" t="n">
        <v>0</v>
      </c>
      <c r="L963" s="21" t="n">
        <v>0</v>
      </c>
      <c r="M963" s="21" t="n">
        <v>0</v>
      </c>
      <c r="N963" s="21" t="n">
        <v>0</v>
      </c>
      <c r="O963" s="21" t="n">
        <v>0</v>
      </c>
      <c r="P963" s="21" t="n">
        <v>-0.01</v>
      </c>
      <c r="Q963" s="21" t="n">
        <v>0.01</v>
      </c>
      <c r="R963" s="18" t="n">
        <f aca="false">ABS(D963)+MAX(ABS(G963),ABS(H963))+MAX(ABS(I963),ABS(J963))</f>
        <v>0</v>
      </c>
      <c r="S963" s="18" t="n">
        <f aca="false">ABS(K963)+MAX(ABS(N963),ABS(O963))+MAX(ABS(P963),ABS(Q963))</f>
        <v>0.01</v>
      </c>
      <c r="T963" s="18" t="n">
        <f aca="false">MAX(ABS(E963),ABS(F963))</f>
        <v>0</v>
      </c>
      <c r="U963" s="18" t="n">
        <f aca="false">MAX(ABS(L963),ABS(M963))</f>
        <v>0</v>
      </c>
    </row>
    <row r="964" customFormat="false" ht="15" hidden="false" customHeight="false" outlineLevel="0" collapsed="false">
      <c r="A964" s="4" t="n">
        <v>416</v>
      </c>
      <c r="B964" s="4" t="n">
        <v>204</v>
      </c>
      <c r="C964" s="18" t="n">
        <v>1</v>
      </c>
      <c r="D964" s="21" t="n">
        <v>0</v>
      </c>
      <c r="E964" s="21" t="n">
        <v>0</v>
      </c>
      <c r="F964" s="21" t="n">
        <v>0</v>
      </c>
      <c r="G964" s="21" t="n">
        <v>0</v>
      </c>
      <c r="H964" s="21" t="n">
        <v>0</v>
      </c>
      <c r="I964" s="21" t="n">
        <v>0</v>
      </c>
      <c r="J964" s="21" t="n">
        <v>0</v>
      </c>
      <c r="K964" s="21" t="n">
        <v>0</v>
      </c>
      <c r="L964" s="21" t="n">
        <v>0</v>
      </c>
      <c r="M964" s="21" t="n">
        <v>0</v>
      </c>
      <c r="N964" s="21" t="n">
        <v>0</v>
      </c>
      <c r="O964" s="21" t="n">
        <v>0</v>
      </c>
      <c r="P964" s="21" t="n">
        <v>-0.01</v>
      </c>
      <c r="Q964" s="21" t="n">
        <v>0.01</v>
      </c>
      <c r="R964" s="18" t="n">
        <f aca="false">ABS(D964)+MAX(ABS(G964),ABS(H964))+MAX(ABS(I964),ABS(J964))</f>
        <v>0</v>
      </c>
      <c r="S964" s="18" t="n">
        <f aca="false">ABS(K964)+MAX(ABS(N964),ABS(O964))+MAX(ABS(P964),ABS(Q964))</f>
        <v>0.01</v>
      </c>
      <c r="T964" s="18" t="n">
        <f aca="false">MAX(ABS(E964),ABS(F964))</f>
        <v>0</v>
      </c>
      <c r="U964" s="18" t="n">
        <f aca="false">MAX(ABS(L964),ABS(M964))</f>
        <v>0</v>
      </c>
    </row>
    <row r="965" customFormat="false" ht="15" hidden="false" customHeight="false" outlineLevel="0" collapsed="false">
      <c r="A965" s="4" t="n">
        <v>417</v>
      </c>
      <c r="B965" s="4" t="n">
        <v>205</v>
      </c>
      <c r="C965" s="18" t="n">
        <v>0</v>
      </c>
      <c r="D965" s="21" t="n">
        <v>0</v>
      </c>
      <c r="E965" s="21" t="n">
        <v>0</v>
      </c>
      <c r="F965" s="21" t="n">
        <v>0</v>
      </c>
      <c r="G965" s="21" t="n">
        <v>0</v>
      </c>
      <c r="H965" s="21" t="n">
        <v>0</v>
      </c>
      <c r="I965" s="21" t="n">
        <v>0</v>
      </c>
      <c r="J965" s="21" t="n">
        <v>0</v>
      </c>
      <c r="K965" s="21" t="n">
        <v>0</v>
      </c>
      <c r="L965" s="21" t="n">
        <v>0</v>
      </c>
      <c r="M965" s="21" t="n">
        <v>0</v>
      </c>
      <c r="N965" s="21" t="n">
        <v>0</v>
      </c>
      <c r="O965" s="21" t="n">
        <v>0</v>
      </c>
      <c r="P965" s="21" t="n">
        <v>0</v>
      </c>
      <c r="Q965" s="21" t="n">
        <v>0</v>
      </c>
      <c r="R965" s="18" t="n">
        <f aca="false">ABS(D965)+MAX(ABS(G965),ABS(H965))+MAX(ABS(I965),ABS(J965))</f>
        <v>0</v>
      </c>
      <c r="S965" s="18" t="n">
        <f aca="false">ABS(K965)+MAX(ABS(N965),ABS(O965))+MAX(ABS(P965),ABS(Q965))</f>
        <v>0</v>
      </c>
      <c r="T965" s="18" t="n">
        <f aca="false">MAX(ABS(E965),ABS(F965))</f>
        <v>0</v>
      </c>
      <c r="U965" s="18" t="n">
        <f aca="false">MAX(ABS(L965),ABS(M965))</f>
        <v>0</v>
      </c>
    </row>
    <row r="966" customFormat="false" ht="15" hidden="false" customHeight="false" outlineLevel="0" collapsed="false">
      <c r="A966" s="4" t="n">
        <v>417</v>
      </c>
      <c r="B966" s="4" t="n">
        <v>205</v>
      </c>
      <c r="C966" s="18" t="n">
        <v>0.25</v>
      </c>
      <c r="D966" s="21" t="n">
        <v>0</v>
      </c>
      <c r="E966" s="21" t="n">
        <v>0</v>
      </c>
      <c r="F966" s="21" t="n">
        <v>0</v>
      </c>
      <c r="G966" s="21" t="n">
        <v>0</v>
      </c>
      <c r="H966" s="21" t="n">
        <v>0</v>
      </c>
      <c r="I966" s="21" t="n">
        <v>0</v>
      </c>
      <c r="J966" s="21" t="n">
        <v>0</v>
      </c>
      <c r="K966" s="21" t="n">
        <v>0</v>
      </c>
      <c r="L966" s="21" t="n">
        <v>0</v>
      </c>
      <c r="M966" s="21" t="n">
        <v>0</v>
      </c>
      <c r="N966" s="21" t="n">
        <v>0</v>
      </c>
      <c r="O966" s="21" t="n">
        <v>0</v>
      </c>
      <c r="P966" s="21" t="n">
        <v>0</v>
      </c>
      <c r="Q966" s="21" t="n">
        <v>0</v>
      </c>
      <c r="R966" s="18" t="n">
        <f aca="false">ABS(D966)+MAX(ABS(G966),ABS(H966))+MAX(ABS(I966),ABS(J966))</f>
        <v>0</v>
      </c>
      <c r="S966" s="18" t="n">
        <f aca="false">ABS(K966)+MAX(ABS(N966),ABS(O966))+MAX(ABS(P966),ABS(Q966))</f>
        <v>0</v>
      </c>
      <c r="T966" s="18" t="n">
        <f aca="false">MAX(ABS(E966),ABS(F966))</f>
        <v>0</v>
      </c>
      <c r="U966" s="18" t="n">
        <f aca="false">MAX(ABS(L966),ABS(M966))</f>
        <v>0</v>
      </c>
    </row>
    <row r="967" customFormat="false" ht="15" hidden="false" customHeight="false" outlineLevel="0" collapsed="false">
      <c r="A967" s="4" t="n">
        <v>417</v>
      </c>
      <c r="B967" s="4" t="n">
        <v>205</v>
      </c>
      <c r="C967" s="18" t="n">
        <v>0.5</v>
      </c>
      <c r="D967" s="21" t="n">
        <v>0</v>
      </c>
      <c r="E967" s="21" t="n">
        <v>0</v>
      </c>
      <c r="F967" s="21" t="n">
        <v>0</v>
      </c>
      <c r="G967" s="21" t="n">
        <v>0</v>
      </c>
      <c r="H967" s="21" t="n">
        <v>0</v>
      </c>
      <c r="I967" s="21" t="n">
        <v>0</v>
      </c>
      <c r="J967" s="21" t="n">
        <v>0</v>
      </c>
      <c r="K967" s="21" t="n">
        <v>0</v>
      </c>
      <c r="L967" s="21" t="n">
        <v>0</v>
      </c>
      <c r="M967" s="21" t="n">
        <v>0</v>
      </c>
      <c r="N967" s="21" t="n">
        <v>0</v>
      </c>
      <c r="O967" s="21" t="n">
        <v>0</v>
      </c>
      <c r="P967" s="21" t="n">
        <v>0</v>
      </c>
      <c r="Q967" s="21" t="n">
        <v>0</v>
      </c>
      <c r="R967" s="18" t="n">
        <f aca="false">ABS(D967)+MAX(ABS(G967),ABS(H967))+MAX(ABS(I967),ABS(J967))</f>
        <v>0</v>
      </c>
      <c r="S967" s="18" t="n">
        <f aca="false">ABS(K967)+MAX(ABS(N967),ABS(O967))+MAX(ABS(P967),ABS(Q967))</f>
        <v>0</v>
      </c>
      <c r="T967" s="18" t="n">
        <f aca="false">MAX(ABS(E967),ABS(F967))</f>
        <v>0</v>
      </c>
      <c r="U967" s="18" t="n">
        <f aca="false">MAX(ABS(L967),ABS(M967))</f>
        <v>0</v>
      </c>
    </row>
    <row r="968" customFormat="false" ht="15" hidden="false" customHeight="false" outlineLevel="0" collapsed="false">
      <c r="A968" s="4" t="n">
        <v>417</v>
      </c>
      <c r="B968" s="4" t="n">
        <v>205</v>
      </c>
      <c r="C968" s="18" t="n">
        <v>0.75</v>
      </c>
      <c r="D968" s="21" t="n">
        <v>0</v>
      </c>
      <c r="E968" s="21" t="n">
        <v>0</v>
      </c>
      <c r="F968" s="21" t="n">
        <v>0</v>
      </c>
      <c r="G968" s="21" t="n">
        <v>0</v>
      </c>
      <c r="H968" s="21" t="n">
        <v>0</v>
      </c>
      <c r="I968" s="21" t="n">
        <v>0</v>
      </c>
      <c r="J968" s="21" t="n">
        <v>0</v>
      </c>
      <c r="K968" s="21" t="n">
        <v>0</v>
      </c>
      <c r="L968" s="21" t="n">
        <v>0</v>
      </c>
      <c r="M968" s="21" t="n">
        <v>0</v>
      </c>
      <c r="N968" s="21" t="n">
        <v>0</v>
      </c>
      <c r="O968" s="21" t="n">
        <v>0</v>
      </c>
      <c r="P968" s="21" t="n">
        <v>0</v>
      </c>
      <c r="Q968" s="21" t="n">
        <v>0</v>
      </c>
      <c r="R968" s="18" t="n">
        <f aca="false">ABS(D968)+MAX(ABS(G968),ABS(H968))+MAX(ABS(I968),ABS(J968))</f>
        <v>0</v>
      </c>
      <c r="S968" s="18" t="n">
        <f aca="false">ABS(K968)+MAX(ABS(N968),ABS(O968))+MAX(ABS(P968),ABS(Q968))</f>
        <v>0</v>
      </c>
      <c r="T968" s="18" t="n">
        <f aca="false">MAX(ABS(E968),ABS(F968))</f>
        <v>0</v>
      </c>
      <c r="U968" s="18" t="n">
        <f aca="false">MAX(ABS(L968),ABS(M968))</f>
        <v>0</v>
      </c>
    </row>
    <row r="969" customFormat="false" ht="15" hidden="false" customHeight="false" outlineLevel="0" collapsed="false">
      <c r="A969" s="4" t="n">
        <v>417</v>
      </c>
      <c r="B969" s="4" t="n">
        <v>205</v>
      </c>
      <c r="C969" s="18" t="n">
        <v>1</v>
      </c>
      <c r="D969" s="21" t="n">
        <v>0</v>
      </c>
      <c r="E969" s="21" t="n">
        <v>0</v>
      </c>
      <c r="F969" s="21" t="n">
        <v>0</v>
      </c>
      <c r="G969" s="21" t="n">
        <v>0</v>
      </c>
      <c r="H969" s="21" t="n">
        <v>0</v>
      </c>
      <c r="I969" s="21" t="n">
        <v>0</v>
      </c>
      <c r="J969" s="21" t="n">
        <v>0</v>
      </c>
      <c r="K969" s="21" t="n">
        <v>0</v>
      </c>
      <c r="L969" s="21" t="n">
        <v>0</v>
      </c>
      <c r="M969" s="21" t="n">
        <v>0</v>
      </c>
      <c r="N969" s="21" t="n">
        <v>0</v>
      </c>
      <c r="O969" s="21" t="n">
        <v>0</v>
      </c>
      <c r="P969" s="21" t="n">
        <v>0</v>
      </c>
      <c r="Q969" s="21" t="n">
        <v>0</v>
      </c>
      <c r="R969" s="18" t="n">
        <f aca="false">ABS(D969)+MAX(ABS(G969),ABS(H969))+MAX(ABS(I969),ABS(J969))</f>
        <v>0</v>
      </c>
      <c r="S969" s="18" t="n">
        <f aca="false">ABS(K969)+MAX(ABS(N969),ABS(O969))+MAX(ABS(P969),ABS(Q969))</f>
        <v>0</v>
      </c>
      <c r="T969" s="18" t="n">
        <f aca="false">MAX(ABS(E969),ABS(F969))</f>
        <v>0</v>
      </c>
      <c r="U969" s="18" t="n">
        <f aca="false">MAX(ABS(L969),ABS(M969))</f>
        <v>0</v>
      </c>
    </row>
    <row r="970" customFormat="false" ht="15" hidden="false" customHeight="false" outlineLevel="0" collapsed="false">
      <c r="A970" s="4" t="n">
        <v>418</v>
      </c>
      <c r="B970" s="4" t="n">
        <v>206</v>
      </c>
      <c r="C970" s="18" t="n">
        <v>0</v>
      </c>
      <c r="D970" s="21" t="n">
        <v>0</v>
      </c>
      <c r="E970" s="21" t="n">
        <v>0</v>
      </c>
      <c r="F970" s="21" t="n">
        <v>0</v>
      </c>
      <c r="G970" s="21" t="n">
        <v>0</v>
      </c>
      <c r="H970" s="21" t="n">
        <v>0</v>
      </c>
      <c r="I970" s="21" t="n">
        <v>0</v>
      </c>
      <c r="J970" s="21" t="n">
        <v>0</v>
      </c>
      <c r="K970" s="21" t="n">
        <v>0</v>
      </c>
      <c r="L970" s="21" t="n">
        <v>0</v>
      </c>
      <c r="M970" s="21" t="n">
        <v>0</v>
      </c>
      <c r="N970" s="21" t="n">
        <v>0</v>
      </c>
      <c r="O970" s="21" t="n">
        <v>0</v>
      </c>
      <c r="P970" s="21" t="n">
        <v>-0.01</v>
      </c>
      <c r="Q970" s="21" t="n">
        <v>0.01</v>
      </c>
      <c r="R970" s="18" t="n">
        <f aca="false">ABS(D970)+MAX(ABS(G970),ABS(H970))+MAX(ABS(I970),ABS(J970))</f>
        <v>0</v>
      </c>
      <c r="S970" s="18" t="n">
        <f aca="false">ABS(K970)+MAX(ABS(N970),ABS(O970))+MAX(ABS(P970),ABS(Q970))</f>
        <v>0.01</v>
      </c>
      <c r="T970" s="18" t="n">
        <f aca="false">MAX(ABS(E970),ABS(F970))</f>
        <v>0</v>
      </c>
      <c r="U970" s="18" t="n">
        <f aca="false">MAX(ABS(L970),ABS(M970))</f>
        <v>0</v>
      </c>
    </row>
    <row r="971" customFormat="false" ht="15" hidden="false" customHeight="false" outlineLevel="0" collapsed="false">
      <c r="A971" s="4" t="n">
        <v>418</v>
      </c>
      <c r="B971" s="4" t="n">
        <v>206</v>
      </c>
      <c r="C971" s="18" t="n">
        <v>0.25</v>
      </c>
      <c r="D971" s="21" t="n">
        <v>0</v>
      </c>
      <c r="E971" s="21" t="n">
        <v>0</v>
      </c>
      <c r="F971" s="21" t="n">
        <v>0</v>
      </c>
      <c r="G971" s="21" t="n">
        <v>0</v>
      </c>
      <c r="H971" s="21" t="n">
        <v>0</v>
      </c>
      <c r="I971" s="21" t="n">
        <v>0</v>
      </c>
      <c r="J971" s="21" t="n">
        <v>0</v>
      </c>
      <c r="K971" s="21" t="n">
        <v>0</v>
      </c>
      <c r="L971" s="21" t="n">
        <v>0</v>
      </c>
      <c r="M971" s="21" t="n">
        <v>0</v>
      </c>
      <c r="N971" s="21" t="n">
        <v>0</v>
      </c>
      <c r="O971" s="21" t="n">
        <v>0</v>
      </c>
      <c r="P971" s="21" t="n">
        <v>-0.01</v>
      </c>
      <c r="Q971" s="21" t="n">
        <v>0.01</v>
      </c>
      <c r="R971" s="18" t="n">
        <f aca="false">ABS(D971)+MAX(ABS(G971),ABS(H971))+MAX(ABS(I971),ABS(J971))</f>
        <v>0</v>
      </c>
      <c r="S971" s="18" t="n">
        <f aca="false">ABS(K971)+MAX(ABS(N971),ABS(O971))+MAX(ABS(P971),ABS(Q971))</f>
        <v>0.01</v>
      </c>
      <c r="T971" s="18" t="n">
        <f aca="false">MAX(ABS(E971),ABS(F971))</f>
        <v>0</v>
      </c>
      <c r="U971" s="18" t="n">
        <f aca="false">MAX(ABS(L971),ABS(M971))</f>
        <v>0</v>
      </c>
    </row>
    <row r="972" customFormat="false" ht="15" hidden="false" customHeight="false" outlineLevel="0" collapsed="false">
      <c r="A972" s="4" t="n">
        <v>418</v>
      </c>
      <c r="B972" s="4" t="n">
        <v>206</v>
      </c>
      <c r="C972" s="18" t="n">
        <v>0.5</v>
      </c>
      <c r="D972" s="21" t="n">
        <v>0</v>
      </c>
      <c r="E972" s="21" t="n">
        <v>0</v>
      </c>
      <c r="F972" s="21" t="n">
        <v>0</v>
      </c>
      <c r="G972" s="21" t="n">
        <v>0</v>
      </c>
      <c r="H972" s="21" t="n">
        <v>0</v>
      </c>
      <c r="I972" s="21" t="n">
        <v>0</v>
      </c>
      <c r="J972" s="21" t="n">
        <v>0</v>
      </c>
      <c r="K972" s="21" t="n">
        <v>0</v>
      </c>
      <c r="L972" s="21" t="n">
        <v>0</v>
      </c>
      <c r="M972" s="21" t="n">
        <v>0</v>
      </c>
      <c r="N972" s="21" t="n">
        <v>0</v>
      </c>
      <c r="O972" s="21" t="n">
        <v>0</v>
      </c>
      <c r="P972" s="21" t="n">
        <v>-0.01</v>
      </c>
      <c r="Q972" s="21" t="n">
        <v>0.01</v>
      </c>
      <c r="R972" s="18" t="n">
        <f aca="false">ABS(D972)+MAX(ABS(G972),ABS(H972))+MAX(ABS(I972),ABS(J972))</f>
        <v>0</v>
      </c>
      <c r="S972" s="18" t="n">
        <f aca="false">ABS(K972)+MAX(ABS(N972),ABS(O972))+MAX(ABS(P972),ABS(Q972))</f>
        <v>0.01</v>
      </c>
      <c r="T972" s="18" t="n">
        <f aca="false">MAX(ABS(E972),ABS(F972))</f>
        <v>0</v>
      </c>
      <c r="U972" s="18" t="n">
        <f aca="false">MAX(ABS(L972),ABS(M972))</f>
        <v>0</v>
      </c>
    </row>
    <row r="973" customFormat="false" ht="15" hidden="false" customHeight="false" outlineLevel="0" collapsed="false">
      <c r="A973" s="4" t="n">
        <v>418</v>
      </c>
      <c r="B973" s="4" t="n">
        <v>206</v>
      </c>
      <c r="C973" s="18" t="n">
        <v>0.75</v>
      </c>
      <c r="D973" s="21" t="n">
        <v>0</v>
      </c>
      <c r="E973" s="21" t="n">
        <v>0</v>
      </c>
      <c r="F973" s="21" t="n">
        <v>0</v>
      </c>
      <c r="G973" s="21" t="n">
        <v>0</v>
      </c>
      <c r="H973" s="21" t="n">
        <v>0</v>
      </c>
      <c r="I973" s="21" t="n">
        <v>0</v>
      </c>
      <c r="J973" s="21" t="n">
        <v>0</v>
      </c>
      <c r="K973" s="21" t="n">
        <v>0</v>
      </c>
      <c r="L973" s="21" t="n">
        <v>0</v>
      </c>
      <c r="M973" s="21" t="n">
        <v>0</v>
      </c>
      <c r="N973" s="21" t="n">
        <v>0</v>
      </c>
      <c r="O973" s="21" t="n">
        <v>0</v>
      </c>
      <c r="P973" s="21" t="n">
        <v>-0.01</v>
      </c>
      <c r="Q973" s="21" t="n">
        <v>0.01</v>
      </c>
      <c r="R973" s="18" t="n">
        <f aca="false">ABS(D973)+MAX(ABS(G973),ABS(H973))+MAX(ABS(I973),ABS(J973))</f>
        <v>0</v>
      </c>
      <c r="S973" s="18" t="n">
        <f aca="false">ABS(K973)+MAX(ABS(N973),ABS(O973))+MAX(ABS(P973),ABS(Q973))</f>
        <v>0.01</v>
      </c>
      <c r="T973" s="18" t="n">
        <f aca="false">MAX(ABS(E973),ABS(F973))</f>
        <v>0</v>
      </c>
      <c r="U973" s="18" t="n">
        <f aca="false">MAX(ABS(L973),ABS(M973))</f>
        <v>0</v>
      </c>
    </row>
    <row r="974" customFormat="false" ht="15" hidden="false" customHeight="false" outlineLevel="0" collapsed="false">
      <c r="A974" s="4" t="n">
        <v>418</v>
      </c>
      <c r="B974" s="4" t="n">
        <v>206</v>
      </c>
      <c r="C974" s="18" t="n">
        <v>1</v>
      </c>
      <c r="D974" s="21" t="n">
        <v>0</v>
      </c>
      <c r="E974" s="21" t="n">
        <v>0</v>
      </c>
      <c r="F974" s="21" t="n">
        <v>0</v>
      </c>
      <c r="G974" s="21" t="n">
        <v>0</v>
      </c>
      <c r="H974" s="21" t="n">
        <v>0</v>
      </c>
      <c r="I974" s="21" t="n">
        <v>0</v>
      </c>
      <c r="J974" s="21" t="n">
        <v>0</v>
      </c>
      <c r="K974" s="21" t="n">
        <v>0</v>
      </c>
      <c r="L974" s="21" t="n">
        <v>0</v>
      </c>
      <c r="M974" s="21" t="n">
        <v>0</v>
      </c>
      <c r="N974" s="21" t="n">
        <v>0</v>
      </c>
      <c r="O974" s="21" t="n">
        <v>0</v>
      </c>
      <c r="P974" s="21" t="n">
        <v>0</v>
      </c>
      <c r="Q974" s="21" t="n">
        <v>0</v>
      </c>
      <c r="R974" s="18" t="n">
        <f aca="false">ABS(D974)+MAX(ABS(G974),ABS(H974))+MAX(ABS(I974),ABS(J974))</f>
        <v>0</v>
      </c>
      <c r="S974" s="18" t="n">
        <f aca="false">ABS(K974)+MAX(ABS(N974),ABS(O974))+MAX(ABS(P974),ABS(Q974))</f>
        <v>0</v>
      </c>
      <c r="T974" s="18" t="n">
        <f aca="false">MAX(ABS(E974),ABS(F974))</f>
        <v>0</v>
      </c>
      <c r="U974" s="18" t="n">
        <f aca="false">MAX(ABS(L974),ABS(M974))</f>
        <v>0</v>
      </c>
    </row>
    <row r="975" customFormat="false" ht="15" hidden="false" customHeight="false" outlineLevel="0" collapsed="false">
      <c r="A975" s="4" t="n">
        <v>419</v>
      </c>
      <c r="B975" s="4" t="n">
        <v>207</v>
      </c>
      <c r="C975" s="18" t="n">
        <v>0</v>
      </c>
      <c r="D975" s="21" t="n">
        <v>0</v>
      </c>
      <c r="E975" s="21" t="n">
        <v>0</v>
      </c>
      <c r="F975" s="21" t="n">
        <v>0</v>
      </c>
      <c r="G975" s="21" t="n">
        <v>0</v>
      </c>
      <c r="H975" s="21" t="n">
        <v>0</v>
      </c>
      <c r="I975" s="21" t="n">
        <v>0</v>
      </c>
      <c r="J975" s="21" t="n">
        <v>0</v>
      </c>
      <c r="K975" s="21" t="n">
        <v>0</v>
      </c>
      <c r="L975" s="21" t="n">
        <v>0</v>
      </c>
      <c r="M975" s="21" t="n">
        <v>0</v>
      </c>
      <c r="N975" s="21" t="n">
        <v>0</v>
      </c>
      <c r="O975" s="21" t="n">
        <v>0</v>
      </c>
      <c r="P975" s="21" t="n">
        <v>0</v>
      </c>
      <c r="Q975" s="21" t="n">
        <v>0</v>
      </c>
      <c r="R975" s="18" t="n">
        <f aca="false">ABS(D975)+MAX(ABS(G975),ABS(H975))+MAX(ABS(I975),ABS(J975))</f>
        <v>0</v>
      </c>
      <c r="S975" s="18" t="n">
        <f aca="false">ABS(K975)+MAX(ABS(N975),ABS(O975))+MAX(ABS(P975),ABS(Q975))</f>
        <v>0</v>
      </c>
      <c r="T975" s="18" t="n">
        <f aca="false">MAX(ABS(E975),ABS(F975))</f>
        <v>0</v>
      </c>
      <c r="U975" s="18" t="n">
        <f aca="false">MAX(ABS(L975),ABS(M975))</f>
        <v>0</v>
      </c>
    </row>
    <row r="976" customFormat="false" ht="15" hidden="false" customHeight="false" outlineLevel="0" collapsed="false">
      <c r="A976" s="4" t="n">
        <v>419</v>
      </c>
      <c r="B976" s="4" t="n">
        <v>207</v>
      </c>
      <c r="C976" s="18" t="n">
        <v>0.25</v>
      </c>
      <c r="D976" s="21" t="n">
        <v>0</v>
      </c>
      <c r="E976" s="21" t="n">
        <v>0</v>
      </c>
      <c r="F976" s="21" t="n">
        <v>0</v>
      </c>
      <c r="G976" s="21" t="n">
        <v>0</v>
      </c>
      <c r="H976" s="21" t="n">
        <v>0</v>
      </c>
      <c r="I976" s="21" t="n">
        <v>0</v>
      </c>
      <c r="J976" s="21" t="n">
        <v>0</v>
      </c>
      <c r="K976" s="21" t="n">
        <v>0</v>
      </c>
      <c r="L976" s="21" t="n">
        <v>0</v>
      </c>
      <c r="M976" s="21" t="n">
        <v>0</v>
      </c>
      <c r="N976" s="21" t="n">
        <v>0</v>
      </c>
      <c r="O976" s="21" t="n">
        <v>0</v>
      </c>
      <c r="P976" s="21" t="n">
        <v>0</v>
      </c>
      <c r="Q976" s="21" t="n">
        <v>0</v>
      </c>
      <c r="R976" s="18" t="n">
        <f aca="false">ABS(D976)+MAX(ABS(G976),ABS(H976))+MAX(ABS(I976),ABS(J976))</f>
        <v>0</v>
      </c>
      <c r="S976" s="18" t="n">
        <f aca="false">ABS(K976)+MAX(ABS(N976),ABS(O976))+MAX(ABS(P976),ABS(Q976))</f>
        <v>0</v>
      </c>
      <c r="T976" s="18" t="n">
        <f aca="false">MAX(ABS(E976),ABS(F976))</f>
        <v>0</v>
      </c>
      <c r="U976" s="18" t="n">
        <f aca="false">MAX(ABS(L976),ABS(M976))</f>
        <v>0</v>
      </c>
    </row>
    <row r="977" customFormat="false" ht="15" hidden="false" customHeight="false" outlineLevel="0" collapsed="false">
      <c r="A977" s="4" t="n">
        <v>419</v>
      </c>
      <c r="B977" s="4" t="n">
        <v>207</v>
      </c>
      <c r="C977" s="18" t="n">
        <v>0.5</v>
      </c>
      <c r="D977" s="21" t="n">
        <v>0</v>
      </c>
      <c r="E977" s="21" t="n">
        <v>0</v>
      </c>
      <c r="F977" s="21" t="n">
        <v>0</v>
      </c>
      <c r="G977" s="21" t="n">
        <v>0</v>
      </c>
      <c r="H977" s="21" t="n">
        <v>0</v>
      </c>
      <c r="I977" s="21" t="n">
        <v>0</v>
      </c>
      <c r="J977" s="21" t="n">
        <v>0</v>
      </c>
      <c r="K977" s="21" t="n">
        <v>0</v>
      </c>
      <c r="L977" s="21" t="n">
        <v>0</v>
      </c>
      <c r="M977" s="21" t="n">
        <v>0</v>
      </c>
      <c r="N977" s="21" t="n">
        <v>0</v>
      </c>
      <c r="O977" s="21" t="n">
        <v>0</v>
      </c>
      <c r="P977" s="21" t="n">
        <v>0</v>
      </c>
      <c r="Q977" s="21" t="n">
        <v>0</v>
      </c>
      <c r="R977" s="18" t="n">
        <f aca="false">ABS(D977)+MAX(ABS(G977),ABS(H977))+MAX(ABS(I977),ABS(J977))</f>
        <v>0</v>
      </c>
      <c r="S977" s="18" t="n">
        <f aca="false">ABS(K977)+MAX(ABS(N977),ABS(O977))+MAX(ABS(P977),ABS(Q977))</f>
        <v>0</v>
      </c>
      <c r="T977" s="18" t="n">
        <f aca="false">MAX(ABS(E977),ABS(F977))</f>
        <v>0</v>
      </c>
      <c r="U977" s="18" t="n">
        <f aca="false">MAX(ABS(L977),ABS(M977))</f>
        <v>0</v>
      </c>
    </row>
    <row r="978" customFormat="false" ht="15" hidden="false" customHeight="false" outlineLevel="0" collapsed="false">
      <c r="A978" s="4" t="n">
        <v>419</v>
      </c>
      <c r="B978" s="4" t="n">
        <v>207</v>
      </c>
      <c r="C978" s="18" t="n">
        <v>0.75</v>
      </c>
      <c r="D978" s="21" t="n">
        <v>0</v>
      </c>
      <c r="E978" s="21" t="n">
        <v>0</v>
      </c>
      <c r="F978" s="21" t="n">
        <v>0</v>
      </c>
      <c r="G978" s="21" t="n">
        <v>0</v>
      </c>
      <c r="H978" s="21" t="n">
        <v>0</v>
      </c>
      <c r="I978" s="21" t="n">
        <v>0</v>
      </c>
      <c r="J978" s="21" t="n">
        <v>0</v>
      </c>
      <c r="K978" s="21" t="n">
        <v>0</v>
      </c>
      <c r="L978" s="21" t="n">
        <v>0</v>
      </c>
      <c r="M978" s="21" t="n">
        <v>0</v>
      </c>
      <c r="N978" s="21" t="n">
        <v>0</v>
      </c>
      <c r="O978" s="21" t="n">
        <v>0</v>
      </c>
      <c r="P978" s="21" t="n">
        <v>0</v>
      </c>
      <c r="Q978" s="21" t="n">
        <v>0</v>
      </c>
      <c r="R978" s="18" t="n">
        <f aca="false">ABS(D978)+MAX(ABS(G978),ABS(H978))+MAX(ABS(I978),ABS(J978))</f>
        <v>0</v>
      </c>
      <c r="S978" s="18" t="n">
        <f aca="false">ABS(K978)+MAX(ABS(N978),ABS(O978))+MAX(ABS(P978),ABS(Q978))</f>
        <v>0</v>
      </c>
      <c r="T978" s="18" t="n">
        <f aca="false">MAX(ABS(E978),ABS(F978))</f>
        <v>0</v>
      </c>
      <c r="U978" s="18" t="n">
        <f aca="false">MAX(ABS(L978),ABS(M978))</f>
        <v>0</v>
      </c>
    </row>
    <row r="979" customFormat="false" ht="15" hidden="false" customHeight="false" outlineLevel="0" collapsed="false">
      <c r="A979" s="4" t="n">
        <v>419</v>
      </c>
      <c r="B979" s="4" t="n">
        <v>207</v>
      </c>
      <c r="C979" s="18" t="n">
        <v>1</v>
      </c>
      <c r="D979" s="21" t="n">
        <v>0</v>
      </c>
      <c r="E979" s="21" t="n">
        <v>0</v>
      </c>
      <c r="F979" s="21" t="n">
        <v>0</v>
      </c>
      <c r="G979" s="21" t="n">
        <v>0</v>
      </c>
      <c r="H979" s="21" t="n">
        <v>0</v>
      </c>
      <c r="I979" s="21" t="n">
        <v>0</v>
      </c>
      <c r="J979" s="21" t="n">
        <v>0</v>
      </c>
      <c r="K979" s="21" t="n">
        <v>0</v>
      </c>
      <c r="L979" s="21" t="n">
        <v>0</v>
      </c>
      <c r="M979" s="21" t="n">
        <v>0</v>
      </c>
      <c r="N979" s="21" t="n">
        <v>0</v>
      </c>
      <c r="O979" s="21" t="n">
        <v>0</v>
      </c>
      <c r="P979" s="21" t="n">
        <v>0</v>
      </c>
      <c r="Q979" s="21" t="n">
        <v>0</v>
      </c>
      <c r="R979" s="18" t="n">
        <f aca="false">ABS(D979)+MAX(ABS(G979),ABS(H979))+MAX(ABS(I979),ABS(J979))</f>
        <v>0</v>
      </c>
      <c r="S979" s="18" t="n">
        <f aca="false">ABS(K979)+MAX(ABS(N979),ABS(O979))+MAX(ABS(P979),ABS(Q979))</f>
        <v>0</v>
      </c>
      <c r="T979" s="18" t="n">
        <f aca="false">MAX(ABS(E979),ABS(F979))</f>
        <v>0</v>
      </c>
      <c r="U979" s="18" t="n">
        <f aca="false">MAX(ABS(L979),ABS(M979))</f>
        <v>0</v>
      </c>
    </row>
    <row r="980" customFormat="false" ht="15" hidden="false" customHeight="false" outlineLevel="0" collapsed="false">
      <c r="A980" s="4" t="n">
        <v>420</v>
      </c>
      <c r="B980" s="4" t="n">
        <v>208</v>
      </c>
      <c r="C980" s="18" t="n">
        <v>0</v>
      </c>
      <c r="D980" s="21" t="n">
        <v>0</v>
      </c>
      <c r="E980" s="21" t="n">
        <v>0</v>
      </c>
      <c r="F980" s="21" t="n">
        <v>0</v>
      </c>
      <c r="G980" s="21" t="n">
        <v>0</v>
      </c>
      <c r="H980" s="21" t="n">
        <v>0</v>
      </c>
      <c r="I980" s="21" t="n">
        <v>0</v>
      </c>
      <c r="J980" s="21" t="n">
        <v>0</v>
      </c>
      <c r="K980" s="21" t="n">
        <v>0</v>
      </c>
      <c r="L980" s="21" t="n">
        <v>0.01</v>
      </c>
      <c r="M980" s="21" t="n">
        <v>0.01</v>
      </c>
      <c r="N980" s="21" t="n">
        <v>0</v>
      </c>
      <c r="O980" s="21" t="n">
        <v>0</v>
      </c>
      <c r="P980" s="21" t="n">
        <v>0</v>
      </c>
      <c r="Q980" s="21" t="n">
        <v>0</v>
      </c>
      <c r="R980" s="18" t="n">
        <f aca="false">ABS(D980)+MAX(ABS(G980),ABS(H980))+MAX(ABS(I980),ABS(J980))</f>
        <v>0</v>
      </c>
      <c r="S980" s="18" t="n">
        <f aca="false">ABS(K980)+MAX(ABS(N980),ABS(O980))+MAX(ABS(P980),ABS(Q980))</f>
        <v>0</v>
      </c>
      <c r="T980" s="18" t="n">
        <f aca="false">MAX(ABS(E980),ABS(F980))</f>
        <v>0</v>
      </c>
      <c r="U980" s="18" t="n">
        <f aca="false">MAX(ABS(L980),ABS(M980))</f>
        <v>0.01</v>
      </c>
    </row>
    <row r="981" customFormat="false" ht="15" hidden="false" customHeight="false" outlineLevel="0" collapsed="false">
      <c r="A981" s="4" t="n">
        <v>420</v>
      </c>
      <c r="B981" s="4" t="n">
        <v>208</v>
      </c>
      <c r="C981" s="18" t="n">
        <v>0.25</v>
      </c>
      <c r="D981" s="21" t="n">
        <v>0</v>
      </c>
      <c r="E981" s="21" t="n">
        <v>0</v>
      </c>
      <c r="F981" s="21" t="n">
        <v>0</v>
      </c>
      <c r="G981" s="21" t="n">
        <v>0</v>
      </c>
      <c r="H981" s="21" t="n">
        <v>0</v>
      </c>
      <c r="I981" s="21" t="n">
        <v>0</v>
      </c>
      <c r="J981" s="21" t="n">
        <v>0</v>
      </c>
      <c r="K981" s="21" t="n">
        <v>0</v>
      </c>
      <c r="L981" s="21" t="n">
        <v>0.01</v>
      </c>
      <c r="M981" s="21" t="n">
        <v>0.01</v>
      </c>
      <c r="N981" s="21" t="n">
        <v>0</v>
      </c>
      <c r="O981" s="21" t="n">
        <v>0</v>
      </c>
      <c r="P981" s="21" t="n">
        <v>0</v>
      </c>
      <c r="Q981" s="21" t="n">
        <v>0</v>
      </c>
      <c r="R981" s="18" t="n">
        <f aca="false">ABS(D981)+MAX(ABS(G981),ABS(H981))+MAX(ABS(I981),ABS(J981))</f>
        <v>0</v>
      </c>
      <c r="S981" s="18" t="n">
        <f aca="false">ABS(K981)+MAX(ABS(N981),ABS(O981))+MAX(ABS(P981),ABS(Q981))</f>
        <v>0</v>
      </c>
      <c r="T981" s="18" t="n">
        <f aca="false">MAX(ABS(E981),ABS(F981))</f>
        <v>0</v>
      </c>
      <c r="U981" s="18" t="n">
        <f aca="false">MAX(ABS(L981),ABS(M981))</f>
        <v>0.01</v>
      </c>
    </row>
    <row r="982" customFormat="false" ht="15" hidden="false" customHeight="false" outlineLevel="0" collapsed="false">
      <c r="A982" s="4" t="n">
        <v>420</v>
      </c>
      <c r="B982" s="4" t="n">
        <v>208</v>
      </c>
      <c r="C982" s="18" t="n">
        <v>0.5</v>
      </c>
      <c r="D982" s="21" t="n">
        <v>0</v>
      </c>
      <c r="E982" s="21" t="n">
        <v>0</v>
      </c>
      <c r="F982" s="21" t="n">
        <v>0</v>
      </c>
      <c r="G982" s="21" t="n">
        <v>0</v>
      </c>
      <c r="H982" s="21" t="n">
        <v>0</v>
      </c>
      <c r="I982" s="21" t="n">
        <v>0</v>
      </c>
      <c r="J982" s="21" t="n">
        <v>0</v>
      </c>
      <c r="K982" s="21" t="n">
        <v>0</v>
      </c>
      <c r="L982" s="21" t="n">
        <v>0.01</v>
      </c>
      <c r="M982" s="21" t="n">
        <v>0.01</v>
      </c>
      <c r="N982" s="21" t="n">
        <v>0</v>
      </c>
      <c r="O982" s="21" t="n">
        <v>0</v>
      </c>
      <c r="P982" s="21" t="n">
        <v>0</v>
      </c>
      <c r="Q982" s="21" t="n">
        <v>0</v>
      </c>
      <c r="R982" s="18" t="n">
        <f aca="false">ABS(D982)+MAX(ABS(G982),ABS(H982))+MAX(ABS(I982),ABS(J982))</f>
        <v>0</v>
      </c>
      <c r="S982" s="18" t="n">
        <f aca="false">ABS(K982)+MAX(ABS(N982),ABS(O982))+MAX(ABS(P982),ABS(Q982))</f>
        <v>0</v>
      </c>
      <c r="T982" s="18" t="n">
        <f aca="false">MAX(ABS(E982),ABS(F982))</f>
        <v>0</v>
      </c>
      <c r="U982" s="18" t="n">
        <f aca="false">MAX(ABS(L982),ABS(M982))</f>
        <v>0.01</v>
      </c>
    </row>
    <row r="983" customFormat="false" ht="15" hidden="false" customHeight="false" outlineLevel="0" collapsed="false">
      <c r="A983" s="4" t="n">
        <v>420</v>
      </c>
      <c r="B983" s="4" t="n">
        <v>208</v>
      </c>
      <c r="C983" s="18" t="n">
        <v>0.75</v>
      </c>
      <c r="D983" s="21" t="n">
        <v>0</v>
      </c>
      <c r="E983" s="21" t="n">
        <v>0</v>
      </c>
      <c r="F983" s="21" t="n">
        <v>0</v>
      </c>
      <c r="G983" s="21" t="n">
        <v>0</v>
      </c>
      <c r="H983" s="21" t="n">
        <v>0</v>
      </c>
      <c r="I983" s="21" t="n">
        <v>0</v>
      </c>
      <c r="J983" s="21" t="n">
        <v>0</v>
      </c>
      <c r="K983" s="21" t="n">
        <v>0</v>
      </c>
      <c r="L983" s="21" t="n">
        <v>0.01</v>
      </c>
      <c r="M983" s="21" t="n">
        <v>0.01</v>
      </c>
      <c r="N983" s="21" t="n">
        <v>0</v>
      </c>
      <c r="O983" s="21" t="n">
        <v>0</v>
      </c>
      <c r="P983" s="21" t="n">
        <v>0</v>
      </c>
      <c r="Q983" s="21" t="n">
        <v>0</v>
      </c>
      <c r="R983" s="18" t="n">
        <f aca="false">ABS(D983)+MAX(ABS(G983),ABS(H983))+MAX(ABS(I983),ABS(J983))</f>
        <v>0</v>
      </c>
      <c r="S983" s="18" t="n">
        <f aca="false">ABS(K983)+MAX(ABS(N983),ABS(O983))+MAX(ABS(P983),ABS(Q983))</f>
        <v>0</v>
      </c>
      <c r="T983" s="18" t="n">
        <f aca="false">MAX(ABS(E983),ABS(F983))</f>
        <v>0</v>
      </c>
      <c r="U983" s="18" t="n">
        <f aca="false">MAX(ABS(L983),ABS(M983))</f>
        <v>0.01</v>
      </c>
    </row>
    <row r="984" customFormat="false" ht="15" hidden="false" customHeight="false" outlineLevel="0" collapsed="false">
      <c r="A984" s="4" t="n">
        <v>420</v>
      </c>
      <c r="B984" s="4" t="n">
        <v>208</v>
      </c>
      <c r="C984" s="18" t="n">
        <v>1</v>
      </c>
      <c r="D984" s="21" t="n">
        <v>0</v>
      </c>
      <c r="E984" s="21" t="n">
        <v>0</v>
      </c>
      <c r="F984" s="21" t="n">
        <v>0</v>
      </c>
      <c r="G984" s="21" t="n">
        <v>0</v>
      </c>
      <c r="H984" s="21" t="n">
        <v>0</v>
      </c>
      <c r="I984" s="21" t="n">
        <v>0</v>
      </c>
      <c r="J984" s="21" t="n">
        <v>0</v>
      </c>
      <c r="K984" s="21" t="n">
        <v>0</v>
      </c>
      <c r="L984" s="21" t="n">
        <v>0.01</v>
      </c>
      <c r="M984" s="21" t="n">
        <v>0.01</v>
      </c>
      <c r="N984" s="21" t="n">
        <v>0</v>
      </c>
      <c r="O984" s="21" t="n">
        <v>0</v>
      </c>
      <c r="P984" s="21" t="n">
        <v>0</v>
      </c>
      <c r="Q984" s="21" t="n">
        <v>0</v>
      </c>
      <c r="R984" s="18" t="n">
        <f aca="false">ABS(D984)+MAX(ABS(G984),ABS(H984))+MAX(ABS(I984),ABS(J984))</f>
        <v>0</v>
      </c>
      <c r="S984" s="18" t="n">
        <f aca="false">ABS(K984)+MAX(ABS(N984),ABS(O984))+MAX(ABS(P984),ABS(Q984))</f>
        <v>0</v>
      </c>
      <c r="T984" s="18" t="n">
        <f aca="false">MAX(ABS(E984),ABS(F984))</f>
        <v>0</v>
      </c>
      <c r="U984" s="18" t="n">
        <f aca="false">MAX(ABS(L984),ABS(M984))</f>
        <v>0.01</v>
      </c>
    </row>
    <row r="985" customFormat="false" ht="15" hidden="false" customHeight="false" outlineLevel="0" collapsed="false">
      <c r="A985" s="4" t="n">
        <v>421</v>
      </c>
      <c r="B985" s="4" t="n">
        <v>209</v>
      </c>
      <c r="C985" s="18" t="n">
        <v>0</v>
      </c>
      <c r="D985" s="21" t="n">
        <v>-0.01</v>
      </c>
      <c r="E985" s="21" t="n">
        <v>0</v>
      </c>
      <c r="F985" s="21" t="n">
        <v>0</v>
      </c>
      <c r="G985" s="21" t="n">
        <v>-0.02</v>
      </c>
      <c r="H985" s="21" t="n">
        <v>0.02</v>
      </c>
      <c r="I985" s="21" t="n">
        <v>-0.01</v>
      </c>
      <c r="J985" s="21" t="n">
        <v>0</v>
      </c>
      <c r="K985" s="21" t="n">
        <v>-0.01</v>
      </c>
      <c r="L985" s="21" t="n">
        <v>0</v>
      </c>
      <c r="M985" s="21" t="n">
        <v>0</v>
      </c>
      <c r="N985" s="21" t="n">
        <v>-0.02</v>
      </c>
      <c r="O985" s="21" t="n">
        <v>0.02</v>
      </c>
      <c r="P985" s="21" t="n">
        <v>-0.01</v>
      </c>
      <c r="Q985" s="21" t="n">
        <v>0</v>
      </c>
      <c r="R985" s="18" t="n">
        <f aca="false">ABS(D985)+MAX(ABS(G985),ABS(H985))+MAX(ABS(I985),ABS(J985))</f>
        <v>0.04</v>
      </c>
      <c r="S985" s="18" t="n">
        <f aca="false">ABS(K985)+MAX(ABS(N985),ABS(O985))+MAX(ABS(P985),ABS(Q985))</f>
        <v>0.04</v>
      </c>
      <c r="T985" s="18" t="n">
        <f aca="false">MAX(ABS(E985),ABS(F985))</f>
        <v>0</v>
      </c>
      <c r="U985" s="18" t="n">
        <f aca="false">MAX(ABS(L985),ABS(M985))</f>
        <v>0</v>
      </c>
    </row>
    <row r="986" customFormat="false" ht="15" hidden="false" customHeight="false" outlineLevel="0" collapsed="false">
      <c r="A986" s="4" t="n">
        <v>421</v>
      </c>
      <c r="B986" s="4" t="n">
        <v>209</v>
      </c>
      <c r="C986" s="18" t="n">
        <v>0.25</v>
      </c>
      <c r="D986" s="21" t="n">
        <v>-0.01</v>
      </c>
      <c r="E986" s="21" t="n">
        <v>0</v>
      </c>
      <c r="F986" s="21" t="n">
        <v>0</v>
      </c>
      <c r="G986" s="21" t="n">
        <v>-0.02</v>
      </c>
      <c r="H986" s="21" t="n">
        <v>0.02</v>
      </c>
      <c r="I986" s="21" t="n">
        <v>-0.01</v>
      </c>
      <c r="J986" s="21" t="n">
        <v>0</v>
      </c>
      <c r="K986" s="21" t="n">
        <v>-0.01</v>
      </c>
      <c r="L986" s="21" t="n">
        <v>0</v>
      </c>
      <c r="M986" s="21" t="n">
        <v>0</v>
      </c>
      <c r="N986" s="21" t="n">
        <v>-0.02</v>
      </c>
      <c r="O986" s="21" t="n">
        <v>0.02</v>
      </c>
      <c r="P986" s="21" t="n">
        <v>-0.01</v>
      </c>
      <c r="Q986" s="21" t="n">
        <v>0</v>
      </c>
      <c r="R986" s="18" t="n">
        <f aca="false">ABS(D986)+MAX(ABS(G986),ABS(H986))+MAX(ABS(I986),ABS(J986))</f>
        <v>0.04</v>
      </c>
      <c r="S986" s="18" t="n">
        <f aca="false">ABS(K986)+MAX(ABS(N986),ABS(O986))+MAX(ABS(P986),ABS(Q986))</f>
        <v>0.04</v>
      </c>
      <c r="T986" s="18" t="n">
        <f aca="false">MAX(ABS(E986),ABS(F986))</f>
        <v>0</v>
      </c>
      <c r="U986" s="18" t="n">
        <f aca="false">MAX(ABS(L986),ABS(M986))</f>
        <v>0</v>
      </c>
    </row>
    <row r="987" customFormat="false" ht="15" hidden="false" customHeight="false" outlineLevel="0" collapsed="false">
      <c r="A987" s="4" t="n">
        <v>421</v>
      </c>
      <c r="B987" s="4" t="n">
        <v>209</v>
      </c>
      <c r="C987" s="18" t="n">
        <v>0.5</v>
      </c>
      <c r="D987" s="21" t="n">
        <v>-0.01</v>
      </c>
      <c r="E987" s="21" t="n">
        <v>0</v>
      </c>
      <c r="F987" s="21" t="n">
        <v>0</v>
      </c>
      <c r="G987" s="21" t="n">
        <v>-0.01</v>
      </c>
      <c r="H987" s="21" t="n">
        <v>0.01</v>
      </c>
      <c r="I987" s="21" t="n">
        <v>0</v>
      </c>
      <c r="J987" s="21" t="n">
        <v>0</v>
      </c>
      <c r="K987" s="21" t="n">
        <v>-0.01</v>
      </c>
      <c r="L987" s="21" t="n">
        <v>0</v>
      </c>
      <c r="M987" s="21" t="n">
        <v>0</v>
      </c>
      <c r="N987" s="21" t="n">
        <v>-0.01</v>
      </c>
      <c r="O987" s="21" t="n">
        <v>0.01</v>
      </c>
      <c r="P987" s="21" t="n">
        <v>0</v>
      </c>
      <c r="Q987" s="21" t="n">
        <v>0</v>
      </c>
      <c r="R987" s="18" t="n">
        <f aca="false">ABS(D987)+MAX(ABS(G987),ABS(H987))+MAX(ABS(I987),ABS(J987))</f>
        <v>0.02</v>
      </c>
      <c r="S987" s="18" t="n">
        <f aca="false">ABS(K987)+MAX(ABS(N987),ABS(O987))+MAX(ABS(P987),ABS(Q987))</f>
        <v>0.02</v>
      </c>
      <c r="T987" s="18" t="n">
        <f aca="false">MAX(ABS(E987),ABS(F987))</f>
        <v>0</v>
      </c>
      <c r="U987" s="18" t="n">
        <f aca="false">MAX(ABS(L987),ABS(M987))</f>
        <v>0</v>
      </c>
    </row>
    <row r="988" customFormat="false" ht="15" hidden="false" customHeight="false" outlineLevel="0" collapsed="false">
      <c r="A988" s="4" t="n">
        <v>421</v>
      </c>
      <c r="B988" s="4" t="n">
        <v>209</v>
      </c>
      <c r="C988" s="18" t="n">
        <v>0.75</v>
      </c>
      <c r="D988" s="21" t="n">
        <v>-0.01</v>
      </c>
      <c r="E988" s="21" t="n">
        <v>0</v>
      </c>
      <c r="F988" s="21" t="n">
        <v>0</v>
      </c>
      <c r="G988" s="21" t="n">
        <v>-0.01</v>
      </c>
      <c r="H988" s="21" t="n">
        <v>0.01</v>
      </c>
      <c r="I988" s="21" t="n">
        <v>0.01</v>
      </c>
      <c r="J988" s="21" t="n">
        <v>0</v>
      </c>
      <c r="K988" s="21" t="n">
        <v>-0.01</v>
      </c>
      <c r="L988" s="21" t="n">
        <v>0</v>
      </c>
      <c r="M988" s="21" t="n">
        <v>0</v>
      </c>
      <c r="N988" s="21" t="n">
        <v>-0.01</v>
      </c>
      <c r="O988" s="21" t="n">
        <v>0.01</v>
      </c>
      <c r="P988" s="21" t="n">
        <v>0.01</v>
      </c>
      <c r="Q988" s="21" t="n">
        <v>0</v>
      </c>
      <c r="R988" s="18" t="n">
        <f aca="false">ABS(D988)+MAX(ABS(G988),ABS(H988))+MAX(ABS(I988),ABS(J988))</f>
        <v>0.03</v>
      </c>
      <c r="S988" s="18" t="n">
        <f aca="false">ABS(K988)+MAX(ABS(N988),ABS(O988))+MAX(ABS(P988),ABS(Q988))</f>
        <v>0.03</v>
      </c>
      <c r="T988" s="18" t="n">
        <f aca="false">MAX(ABS(E988),ABS(F988))</f>
        <v>0</v>
      </c>
      <c r="U988" s="18" t="n">
        <f aca="false">MAX(ABS(L988),ABS(M988))</f>
        <v>0</v>
      </c>
    </row>
    <row r="989" customFormat="false" ht="15" hidden="false" customHeight="false" outlineLevel="0" collapsed="false">
      <c r="A989" s="4" t="n">
        <v>421</v>
      </c>
      <c r="B989" s="4" t="n">
        <v>209</v>
      </c>
      <c r="C989" s="18" t="n">
        <v>1</v>
      </c>
      <c r="D989" s="21" t="n">
        <v>-0.01</v>
      </c>
      <c r="E989" s="21" t="n">
        <v>0</v>
      </c>
      <c r="F989" s="21" t="n">
        <v>0</v>
      </c>
      <c r="G989" s="21" t="n">
        <v>0</v>
      </c>
      <c r="H989" s="21" t="n">
        <v>0</v>
      </c>
      <c r="I989" s="21" t="n">
        <v>0.01</v>
      </c>
      <c r="J989" s="21" t="n">
        <v>0</v>
      </c>
      <c r="K989" s="21" t="n">
        <v>-0.01</v>
      </c>
      <c r="L989" s="21" t="n">
        <v>0</v>
      </c>
      <c r="M989" s="21" t="n">
        <v>0</v>
      </c>
      <c r="N989" s="21" t="n">
        <v>0</v>
      </c>
      <c r="O989" s="21" t="n">
        <v>0</v>
      </c>
      <c r="P989" s="21" t="n">
        <v>0.01</v>
      </c>
      <c r="Q989" s="21" t="n">
        <v>0</v>
      </c>
      <c r="R989" s="18" t="n">
        <f aca="false">ABS(D989)+MAX(ABS(G989),ABS(H989))+MAX(ABS(I989),ABS(J989))</f>
        <v>0.02</v>
      </c>
      <c r="S989" s="18" t="n">
        <f aca="false">ABS(K989)+MAX(ABS(N989),ABS(O989))+MAX(ABS(P989),ABS(Q989))</f>
        <v>0.02</v>
      </c>
      <c r="T989" s="18" t="n">
        <f aca="false">MAX(ABS(E989),ABS(F989))</f>
        <v>0</v>
      </c>
      <c r="U989" s="18" t="n">
        <f aca="false">MAX(ABS(L989),ABS(M989))</f>
        <v>0</v>
      </c>
    </row>
    <row r="990" customFormat="false" ht="15" hidden="false" customHeight="false" outlineLevel="0" collapsed="false">
      <c r="A990" s="4" t="n">
        <v>422</v>
      </c>
      <c r="B990" s="4" t="n">
        <v>210</v>
      </c>
      <c r="C990" s="18" t="n">
        <v>0</v>
      </c>
      <c r="D990" s="21" t="n">
        <v>0</v>
      </c>
      <c r="E990" s="21" t="n">
        <v>0</v>
      </c>
      <c r="F990" s="21" t="n">
        <v>0</v>
      </c>
      <c r="G990" s="21" t="n">
        <v>0.04</v>
      </c>
      <c r="H990" s="21" t="n">
        <v>-0.04</v>
      </c>
      <c r="I990" s="21" t="n">
        <v>0.01</v>
      </c>
      <c r="J990" s="21" t="n">
        <v>-0.01</v>
      </c>
      <c r="K990" s="21" t="n">
        <v>0</v>
      </c>
      <c r="L990" s="21" t="n">
        <v>0</v>
      </c>
      <c r="M990" s="21" t="n">
        <v>0</v>
      </c>
      <c r="N990" s="21" t="n">
        <v>0.04</v>
      </c>
      <c r="O990" s="21" t="n">
        <v>-0.04</v>
      </c>
      <c r="P990" s="21" t="n">
        <v>0.01</v>
      </c>
      <c r="Q990" s="21" t="n">
        <v>-0.01</v>
      </c>
      <c r="R990" s="18" t="n">
        <f aca="false">ABS(D990)+MAX(ABS(G990),ABS(H990))+MAX(ABS(I990),ABS(J990))</f>
        <v>0.05</v>
      </c>
      <c r="S990" s="18" t="n">
        <f aca="false">ABS(K990)+MAX(ABS(N990),ABS(O990))+MAX(ABS(P990),ABS(Q990))</f>
        <v>0.05</v>
      </c>
      <c r="T990" s="18" t="n">
        <f aca="false">MAX(ABS(E990),ABS(F990))</f>
        <v>0</v>
      </c>
      <c r="U990" s="18" t="n">
        <f aca="false">MAX(ABS(L990),ABS(M990))</f>
        <v>0</v>
      </c>
    </row>
    <row r="991" customFormat="false" ht="15" hidden="false" customHeight="false" outlineLevel="0" collapsed="false">
      <c r="A991" s="4" t="n">
        <v>422</v>
      </c>
      <c r="B991" s="4" t="n">
        <v>210</v>
      </c>
      <c r="C991" s="18" t="n">
        <v>0.25</v>
      </c>
      <c r="D991" s="21" t="n">
        <v>0</v>
      </c>
      <c r="E991" s="21" t="n">
        <v>0</v>
      </c>
      <c r="F991" s="21" t="n">
        <v>0</v>
      </c>
      <c r="G991" s="21" t="n">
        <v>0.03</v>
      </c>
      <c r="H991" s="21" t="n">
        <v>-0.03</v>
      </c>
      <c r="I991" s="21" t="n">
        <v>0.01</v>
      </c>
      <c r="J991" s="21" t="n">
        <v>0</v>
      </c>
      <c r="K991" s="21" t="n">
        <v>0</v>
      </c>
      <c r="L991" s="21" t="n">
        <v>0</v>
      </c>
      <c r="M991" s="21" t="n">
        <v>0</v>
      </c>
      <c r="N991" s="21" t="n">
        <v>0.03</v>
      </c>
      <c r="O991" s="21" t="n">
        <v>-0.03</v>
      </c>
      <c r="P991" s="21" t="n">
        <v>0.01</v>
      </c>
      <c r="Q991" s="21" t="n">
        <v>0</v>
      </c>
      <c r="R991" s="18" t="n">
        <f aca="false">ABS(D991)+MAX(ABS(G991),ABS(H991))+MAX(ABS(I991),ABS(J991))</f>
        <v>0.04</v>
      </c>
      <c r="S991" s="18" t="n">
        <f aca="false">ABS(K991)+MAX(ABS(N991),ABS(O991))+MAX(ABS(P991),ABS(Q991))</f>
        <v>0.04</v>
      </c>
      <c r="T991" s="18" t="n">
        <f aca="false">MAX(ABS(E991),ABS(F991))</f>
        <v>0</v>
      </c>
      <c r="U991" s="18" t="n">
        <f aca="false">MAX(ABS(L991),ABS(M991))</f>
        <v>0</v>
      </c>
    </row>
    <row r="992" customFormat="false" ht="15" hidden="false" customHeight="false" outlineLevel="0" collapsed="false">
      <c r="A992" s="4" t="n">
        <v>422</v>
      </c>
      <c r="B992" s="4" t="n">
        <v>210</v>
      </c>
      <c r="C992" s="18" t="n">
        <v>0.5</v>
      </c>
      <c r="D992" s="21" t="n">
        <v>0</v>
      </c>
      <c r="E992" s="21" t="n">
        <v>0</v>
      </c>
      <c r="F992" s="21" t="n">
        <v>0</v>
      </c>
      <c r="G992" s="21" t="n">
        <v>0.02</v>
      </c>
      <c r="H992" s="21" t="n">
        <v>-0.02</v>
      </c>
      <c r="I992" s="21" t="n">
        <v>0</v>
      </c>
      <c r="J992" s="21" t="n">
        <v>0</v>
      </c>
      <c r="K992" s="21" t="n">
        <v>0</v>
      </c>
      <c r="L992" s="21" t="n">
        <v>0</v>
      </c>
      <c r="M992" s="21" t="n">
        <v>0</v>
      </c>
      <c r="N992" s="21" t="n">
        <v>0.02</v>
      </c>
      <c r="O992" s="21" t="n">
        <v>-0.02</v>
      </c>
      <c r="P992" s="21" t="n">
        <v>0</v>
      </c>
      <c r="Q992" s="21" t="n">
        <v>0</v>
      </c>
      <c r="R992" s="18" t="n">
        <f aca="false">ABS(D992)+MAX(ABS(G992),ABS(H992))+MAX(ABS(I992),ABS(J992))</f>
        <v>0.02</v>
      </c>
      <c r="S992" s="18" t="n">
        <f aca="false">ABS(K992)+MAX(ABS(N992),ABS(O992))+MAX(ABS(P992),ABS(Q992))</f>
        <v>0.02</v>
      </c>
      <c r="T992" s="18" t="n">
        <f aca="false">MAX(ABS(E992),ABS(F992))</f>
        <v>0</v>
      </c>
      <c r="U992" s="18" t="n">
        <f aca="false">MAX(ABS(L992),ABS(M992))</f>
        <v>0</v>
      </c>
    </row>
    <row r="993" customFormat="false" ht="15" hidden="false" customHeight="false" outlineLevel="0" collapsed="false">
      <c r="A993" s="4" t="n">
        <v>422</v>
      </c>
      <c r="B993" s="4" t="n">
        <v>210</v>
      </c>
      <c r="C993" s="18" t="n">
        <v>0.75</v>
      </c>
      <c r="D993" s="21" t="n">
        <v>0</v>
      </c>
      <c r="E993" s="21" t="n">
        <v>0</v>
      </c>
      <c r="F993" s="21" t="n">
        <v>0</v>
      </c>
      <c r="G993" s="21" t="n">
        <v>0.01</v>
      </c>
      <c r="H993" s="21" t="n">
        <v>-0.01</v>
      </c>
      <c r="I993" s="21" t="n">
        <v>-0.01</v>
      </c>
      <c r="J993" s="21" t="n">
        <v>0</v>
      </c>
      <c r="K993" s="21" t="n">
        <v>0</v>
      </c>
      <c r="L993" s="21" t="n">
        <v>0</v>
      </c>
      <c r="M993" s="21" t="n">
        <v>0</v>
      </c>
      <c r="N993" s="21" t="n">
        <v>0.01</v>
      </c>
      <c r="O993" s="21" t="n">
        <v>-0.01</v>
      </c>
      <c r="P993" s="21" t="n">
        <v>-0.01</v>
      </c>
      <c r="Q993" s="21" t="n">
        <v>0</v>
      </c>
      <c r="R993" s="18" t="n">
        <f aca="false">ABS(D993)+MAX(ABS(G993),ABS(H993))+MAX(ABS(I993),ABS(J993))</f>
        <v>0.02</v>
      </c>
      <c r="S993" s="18" t="n">
        <f aca="false">ABS(K993)+MAX(ABS(N993),ABS(O993))+MAX(ABS(P993),ABS(Q993))</f>
        <v>0.02</v>
      </c>
      <c r="T993" s="18" t="n">
        <f aca="false">MAX(ABS(E993),ABS(F993))</f>
        <v>0</v>
      </c>
      <c r="U993" s="18" t="n">
        <f aca="false">MAX(ABS(L993),ABS(M993))</f>
        <v>0</v>
      </c>
    </row>
    <row r="994" customFormat="false" ht="15" hidden="false" customHeight="false" outlineLevel="0" collapsed="false">
      <c r="A994" s="4" t="n">
        <v>422</v>
      </c>
      <c r="B994" s="4" t="n">
        <v>210</v>
      </c>
      <c r="C994" s="18" t="n">
        <v>1</v>
      </c>
      <c r="D994" s="21" t="n">
        <v>0</v>
      </c>
      <c r="E994" s="21" t="n">
        <v>0</v>
      </c>
      <c r="F994" s="21" t="n">
        <v>0</v>
      </c>
      <c r="G994" s="21" t="n">
        <v>0</v>
      </c>
      <c r="H994" s="21" t="n">
        <v>0</v>
      </c>
      <c r="I994" s="21" t="n">
        <v>-0.01</v>
      </c>
      <c r="J994" s="21" t="n">
        <v>0.01</v>
      </c>
      <c r="K994" s="21" t="n">
        <v>0</v>
      </c>
      <c r="L994" s="21" t="n">
        <v>0</v>
      </c>
      <c r="M994" s="21" t="n">
        <v>0</v>
      </c>
      <c r="N994" s="21" t="n">
        <v>0</v>
      </c>
      <c r="O994" s="21" t="n">
        <v>0</v>
      </c>
      <c r="P994" s="21" t="n">
        <v>-0.01</v>
      </c>
      <c r="Q994" s="21" t="n">
        <v>0.01</v>
      </c>
      <c r="R994" s="18" t="n">
        <f aca="false">ABS(D994)+MAX(ABS(G994),ABS(H994))+MAX(ABS(I994),ABS(J994))</f>
        <v>0.01</v>
      </c>
      <c r="S994" s="18" t="n">
        <f aca="false">ABS(K994)+MAX(ABS(N994),ABS(O994))+MAX(ABS(P994),ABS(Q994))</f>
        <v>0.01</v>
      </c>
      <c r="T994" s="18" t="n">
        <f aca="false">MAX(ABS(E994),ABS(F994))</f>
        <v>0</v>
      </c>
      <c r="U994" s="18" t="n">
        <f aca="false">MAX(ABS(L994),ABS(M994))</f>
        <v>0</v>
      </c>
    </row>
    <row r="995" customFormat="false" ht="15" hidden="false" customHeight="false" outlineLevel="0" collapsed="false">
      <c r="A995" s="4" t="n">
        <v>423</v>
      </c>
      <c r="B995" s="4" t="n">
        <v>211</v>
      </c>
      <c r="C995" s="18" t="n">
        <v>0</v>
      </c>
      <c r="D995" s="21" t="n">
        <v>-0.01</v>
      </c>
      <c r="E995" s="21" t="n">
        <v>0</v>
      </c>
      <c r="F995" s="21" t="n">
        <v>0</v>
      </c>
      <c r="G995" s="21" t="n">
        <v>-0.07</v>
      </c>
      <c r="H995" s="21" t="n">
        <v>0.07</v>
      </c>
      <c r="I995" s="21" t="n">
        <v>-0.01</v>
      </c>
      <c r="J995" s="21" t="n">
        <v>0.01</v>
      </c>
      <c r="K995" s="21" t="n">
        <v>-0.01</v>
      </c>
      <c r="L995" s="21" t="n">
        <v>0</v>
      </c>
      <c r="M995" s="21" t="n">
        <v>0</v>
      </c>
      <c r="N995" s="21" t="n">
        <v>-0.07</v>
      </c>
      <c r="O995" s="21" t="n">
        <v>0.07</v>
      </c>
      <c r="P995" s="21" t="n">
        <v>-0.01</v>
      </c>
      <c r="Q995" s="21" t="n">
        <v>0.01</v>
      </c>
      <c r="R995" s="18" t="n">
        <f aca="false">ABS(D995)+MAX(ABS(G995),ABS(H995))+MAX(ABS(I995),ABS(J995))</f>
        <v>0.09</v>
      </c>
      <c r="S995" s="18" t="n">
        <f aca="false">ABS(K995)+MAX(ABS(N995),ABS(O995))+MAX(ABS(P995),ABS(Q995))</f>
        <v>0.09</v>
      </c>
      <c r="T995" s="18" t="n">
        <f aca="false">MAX(ABS(E995),ABS(F995))</f>
        <v>0</v>
      </c>
      <c r="U995" s="18" t="n">
        <f aca="false">MAX(ABS(L995),ABS(M995))</f>
        <v>0</v>
      </c>
    </row>
    <row r="996" customFormat="false" ht="15" hidden="false" customHeight="false" outlineLevel="0" collapsed="false">
      <c r="A996" s="4" t="n">
        <v>423</v>
      </c>
      <c r="B996" s="4" t="n">
        <v>211</v>
      </c>
      <c r="C996" s="18" t="n">
        <v>0.25</v>
      </c>
      <c r="D996" s="21" t="n">
        <v>-0.01</v>
      </c>
      <c r="E996" s="21" t="n">
        <v>0</v>
      </c>
      <c r="F996" s="21" t="n">
        <v>0</v>
      </c>
      <c r="G996" s="21" t="n">
        <v>-0.05</v>
      </c>
      <c r="H996" s="21" t="n">
        <v>0.05</v>
      </c>
      <c r="I996" s="21" t="n">
        <v>-0.01</v>
      </c>
      <c r="J996" s="21" t="n">
        <v>0</v>
      </c>
      <c r="K996" s="21" t="n">
        <v>-0.01</v>
      </c>
      <c r="L996" s="21" t="n">
        <v>0</v>
      </c>
      <c r="M996" s="21" t="n">
        <v>0</v>
      </c>
      <c r="N996" s="21" t="n">
        <v>-0.05</v>
      </c>
      <c r="O996" s="21" t="n">
        <v>0.05</v>
      </c>
      <c r="P996" s="21" t="n">
        <v>-0.01</v>
      </c>
      <c r="Q996" s="21" t="n">
        <v>0</v>
      </c>
      <c r="R996" s="18" t="n">
        <f aca="false">ABS(D996)+MAX(ABS(G996),ABS(H996))+MAX(ABS(I996),ABS(J996))</f>
        <v>0.07</v>
      </c>
      <c r="S996" s="18" t="n">
        <f aca="false">ABS(K996)+MAX(ABS(N996),ABS(O996))+MAX(ABS(P996),ABS(Q996))</f>
        <v>0.07</v>
      </c>
      <c r="T996" s="18" t="n">
        <f aca="false">MAX(ABS(E996),ABS(F996))</f>
        <v>0</v>
      </c>
      <c r="U996" s="18" t="n">
        <f aca="false">MAX(ABS(L996),ABS(M996))</f>
        <v>0</v>
      </c>
    </row>
    <row r="997" customFormat="false" ht="15" hidden="false" customHeight="false" outlineLevel="0" collapsed="false">
      <c r="A997" s="4" t="n">
        <v>423</v>
      </c>
      <c r="B997" s="4" t="n">
        <v>211</v>
      </c>
      <c r="C997" s="18" t="n">
        <v>0.5</v>
      </c>
      <c r="D997" s="21" t="n">
        <v>-0.01</v>
      </c>
      <c r="E997" s="21" t="n">
        <v>0</v>
      </c>
      <c r="F997" s="21" t="n">
        <v>0</v>
      </c>
      <c r="G997" s="21" t="n">
        <v>-0.04</v>
      </c>
      <c r="H997" s="21" t="n">
        <v>0.04</v>
      </c>
      <c r="I997" s="21" t="n">
        <v>0</v>
      </c>
      <c r="J997" s="21" t="n">
        <v>0</v>
      </c>
      <c r="K997" s="21" t="n">
        <v>-0.01</v>
      </c>
      <c r="L997" s="21" t="n">
        <v>0</v>
      </c>
      <c r="M997" s="21" t="n">
        <v>0</v>
      </c>
      <c r="N997" s="21" t="n">
        <v>-0.03</v>
      </c>
      <c r="O997" s="21" t="n">
        <v>0.03</v>
      </c>
      <c r="P997" s="21" t="n">
        <v>0</v>
      </c>
      <c r="Q997" s="21" t="n">
        <v>0</v>
      </c>
      <c r="R997" s="18" t="n">
        <f aca="false">ABS(D997)+MAX(ABS(G997),ABS(H997))+MAX(ABS(I997),ABS(J997))</f>
        <v>0.05</v>
      </c>
      <c r="S997" s="18" t="n">
        <f aca="false">ABS(K997)+MAX(ABS(N997),ABS(O997))+MAX(ABS(P997),ABS(Q997))</f>
        <v>0.04</v>
      </c>
      <c r="T997" s="18" t="n">
        <f aca="false">MAX(ABS(E997),ABS(F997))</f>
        <v>0</v>
      </c>
      <c r="U997" s="18" t="n">
        <f aca="false">MAX(ABS(L997),ABS(M997))</f>
        <v>0</v>
      </c>
    </row>
    <row r="998" customFormat="false" ht="15" hidden="false" customHeight="false" outlineLevel="0" collapsed="false">
      <c r="A998" s="4" t="n">
        <v>423</v>
      </c>
      <c r="B998" s="4" t="n">
        <v>211</v>
      </c>
      <c r="C998" s="18" t="n">
        <v>0.75</v>
      </c>
      <c r="D998" s="21" t="n">
        <v>-0.01</v>
      </c>
      <c r="E998" s="21" t="n">
        <v>0</v>
      </c>
      <c r="F998" s="21" t="n">
        <v>0</v>
      </c>
      <c r="G998" s="21" t="n">
        <v>-0.02</v>
      </c>
      <c r="H998" s="21" t="n">
        <v>0.02</v>
      </c>
      <c r="I998" s="21" t="n">
        <v>0.01</v>
      </c>
      <c r="J998" s="21" t="n">
        <v>0</v>
      </c>
      <c r="K998" s="21" t="n">
        <v>-0.01</v>
      </c>
      <c r="L998" s="21" t="n">
        <v>0</v>
      </c>
      <c r="M998" s="21" t="n">
        <v>0</v>
      </c>
      <c r="N998" s="21" t="n">
        <v>-0.02</v>
      </c>
      <c r="O998" s="21" t="n">
        <v>0.02</v>
      </c>
      <c r="P998" s="21" t="n">
        <v>0.01</v>
      </c>
      <c r="Q998" s="21" t="n">
        <v>0</v>
      </c>
      <c r="R998" s="18" t="n">
        <f aca="false">ABS(D998)+MAX(ABS(G998),ABS(H998))+MAX(ABS(I998),ABS(J998))</f>
        <v>0.04</v>
      </c>
      <c r="S998" s="18" t="n">
        <f aca="false">ABS(K998)+MAX(ABS(N998),ABS(O998))+MAX(ABS(P998),ABS(Q998))</f>
        <v>0.04</v>
      </c>
      <c r="T998" s="18" t="n">
        <f aca="false">MAX(ABS(E998),ABS(F998))</f>
        <v>0</v>
      </c>
      <c r="U998" s="18" t="n">
        <f aca="false">MAX(ABS(L998),ABS(M998))</f>
        <v>0</v>
      </c>
    </row>
    <row r="999" customFormat="false" ht="15" hidden="false" customHeight="false" outlineLevel="0" collapsed="false">
      <c r="A999" s="4" t="n">
        <v>423</v>
      </c>
      <c r="B999" s="4" t="n">
        <v>211</v>
      </c>
      <c r="C999" s="18" t="n">
        <v>1</v>
      </c>
      <c r="D999" s="21" t="n">
        <v>-0.01</v>
      </c>
      <c r="E999" s="21" t="n">
        <v>0</v>
      </c>
      <c r="F999" s="21" t="n">
        <v>0</v>
      </c>
      <c r="G999" s="21" t="n">
        <v>0</v>
      </c>
      <c r="H999" s="21" t="n">
        <v>0</v>
      </c>
      <c r="I999" s="21" t="n">
        <v>0.01</v>
      </c>
      <c r="J999" s="21" t="n">
        <v>-0.01</v>
      </c>
      <c r="K999" s="21" t="n">
        <v>-0.01</v>
      </c>
      <c r="L999" s="21" t="n">
        <v>0</v>
      </c>
      <c r="M999" s="21" t="n">
        <v>0</v>
      </c>
      <c r="N999" s="21" t="n">
        <v>0</v>
      </c>
      <c r="O999" s="21" t="n">
        <v>0</v>
      </c>
      <c r="P999" s="21" t="n">
        <v>0.01</v>
      </c>
      <c r="Q999" s="21" t="n">
        <v>-0.01</v>
      </c>
      <c r="R999" s="18" t="n">
        <f aca="false">ABS(D999)+MAX(ABS(G999),ABS(H999))+MAX(ABS(I999),ABS(J999))</f>
        <v>0.02</v>
      </c>
      <c r="S999" s="18" t="n">
        <f aca="false">ABS(K999)+MAX(ABS(N999),ABS(O999))+MAX(ABS(P999),ABS(Q999))</f>
        <v>0.02</v>
      </c>
      <c r="T999" s="18" t="n">
        <f aca="false">MAX(ABS(E999),ABS(F999))</f>
        <v>0</v>
      </c>
      <c r="U999" s="18" t="n">
        <f aca="false">MAX(ABS(L999),ABS(M999))</f>
        <v>0</v>
      </c>
    </row>
    <row r="1000" customFormat="false" ht="15" hidden="false" customHeight="false" outlineLevel="0" collapsed="false">
      <c r="A1000" s="4" t="n">
        <v>424</v>
      </c>
      <c r="B1000" s="4" t="n">
        <v>212</v>
      </c>
      <c r="C1000" s="18" t="n">
        <v>0</v>
      </c>
      <c r="D1000" s="21" t="n">
        <v>-0.01</v>
      </c>
      <c r="E1000" s="21" t="n">
        <v>0.01</v>
      </c>
      <c r="F1000" s="21" t="n">
        <v>0</v>
      </c>
      <c r="G1000" s="21" t="n">
        <v>0.08</v>
      </c>
      <c r="H1000" s="21" t="n">
        <v>-0.08</v>
      </c>
      <c r="I1000" s="21" t="n">
        <v>0.01</v>
      </c>
      <c r="J1000" s="21" t="n">
        <v>0</v>
      </c>
      <c r="K1000" s="21" t="n">
        <v>-0.01</v>
      </c>
      <c r="L1000" s="21" t="n">
        <v>0.01</v>
      </c>
      <c r="M1000" s="21" t="n">
        <v>0</v>
      </c>
      <c r="N1000" s="21" t="n">
        <v>0.09</v>
      </c>
      <c r="O1000" s="21" t="n">
        <v>-0.09</v>
      </c>
      <c r="P1000" s="21" t="n">
        <v>0.01</v>
      </c>
      <c r="Q1000" s="21" t="n">
        <v>0</v>
      </c>
      <c r="R1000" s="18" t="n">
        <f aca="false">ABS(D1000)+MAX(ABS(G1000),ABS(H1000))+MAX(ABS(I1000),ABS(J1000))</f>
        <v>0.1</v>
      </c>
      <c r="S1000" s="18" t="n">
        <f aca="false">ABS(K1000)+MAX(ABS(N1000),ABS(O1000))+MAX(ABS(P1000),ABS(Q1000))</f>
        <v>0.11</v>
      </c>
      <c r="T1000" s="18" t="n">
        <f aca="false">MAX(ABS(E1000),ABS(F1000))</f>
        <v>0.01</v>
      </c>
      <c r="U1000" s="18" t="n">
        <f aca="false">MAX(ABS(L1000),ABS(M1000))</f>
        <v>0.01</v>
      </c>
    </row>
    <row r="1001" customFormat="false" ht="15" hidden="false" customHeight="false" outlineLevel="0" collapsed="false">
      <c r="A1001" s="4" t="n">
        <v>424</v>
      </c>
      <c r="B1001" s="4" t="n">
        <v>212</v>
      </c>
      <c r="C1001" s="18" t="n">
        <v>0.25</v>
      </c>
      <c r="D1001" s="21" t="n">
        <v>-0.01</v>
      </c>
      <c r="E1001" s="21" t="n">
        <v>0.01</v>
      </c>
      <c r="F1001" s="21" t="n">
        <v>0</v>
      </c>
      <c r="G1001" s="21" t="n">
        <v>0.06</v>
      </c>
      <c r="H1001" s="21" t="n">
        <v>-0.06</v>
      </c>
      <c r="I1001" s="21" t="n">
        <v>0</v>
      </c>
      <c r="J1001" s="21" t="n">
        <v>0</v>
      </c>
      <c r="K1001" s="21" t="n">
        <v>-0.01</v>
      </c>
      <c r="L1001" s="21" t="n">
        <v>0.01</v>
      </c>
      <c r="M1001" s="21" t="n">
        <v>0</v>
      </c>
      <c r="N1001" s="21" t="n">
        <v>0.07</v>
      </c>
      <c r="O1001" s="21" t="n">
        <v>-0.07</v>
      </c>
      <c r="P1001" s="21" t="n">
        <v>0</v>
      </c>
      <c r="Q1001" s="21" t="n">
        <v>0</v>
      </c>
      <c r="R1001" s="18" t="n">
        <f aca="false">ABS(D1001)+MAX(ABS(G1001),ABS(H1001))+MAX(ABS(I1001),ABS(J1001))</f>
        <v>0.07</v>
      </c>
      <c r="S1001" s="18" t="n">
        <f aca="false">ABS(K1001)+MAX(ABS(N1001),ABS(O1001))+MAX(ABS(P1001),ABS(Q1001))</f>
        <v>0.08</v>
      </c>
      <c r="T1001" s="18" t="n">
        <f aca="false">MAX(ABS(E1001),ABS(F1001))</f>
        <v>0.01</v>
      </c>
      <c r="U1001" s="18" t="n">
        <f aca="false">MAX(ABS(L1001),ABS(M1001))</f>
        <v>0.01</v>
      </c>
    </row>
    <row r="1002" customFormat="false" ht="15" hidden="false" customHeight="false" outlineLevel="0" collapsed="false">
      <c r="A1002" s="4" t="n">
        <v>424</v>
      </c>
      <c r="B1002" s="4" t="n">
        <v>212</v>
      </c>
      <c r="C1002" s="18" t="n">
        <v>0.5</v>
      </c>
      <c r="D1002" s="21" t="n">
        <v>-0.01</v>
      </c>
      <c r="E1002" s="21" t="n">
        <v>0.01</v>
      </c>
      <c r="F1002" s="21" t="n">
        <v>0</v>
      </c>
      <c r="G1002" s="21" t="n">
        <v>0.04</v>
      </c>
      <c r="H1002" s="21" t="n">
        <v>-0.04</v>
      </c>
      <c r="I1002" s="21" t="n">
        <v>0</v>
      </c>
      <c r="J1002" s="21" t="n">
        <v>0</v>
      </c>
      <c r="K1002" s="21" t="n">
        <v>-0.01</v>
      </c>
      <c r="L1002" s="21" t="n">
        <v>0.01</v>
      </c>
      <c r="M1002" s="21" t="n">
        <v>0</v>
      </c>
      <c r="N1002" s="21" t="n">
        <v>0.04</v>
      </c>
      <c r="O1002" s="21" t="n">
        <v>-0.04</v>
      </c>
      <c r="P1002" s="21" t="n">
        <v>0</v>
      </c>
      <c r="Q1002" s="21" t="n">
        <v>0</v>
      </c>
      <c r="R1002" s="18" t="n">
        <f aca="false">ABS(D1002)+MAX(ABS(G1002),ABS(H1002))+MAX(ABS(I1002),ABS(J1002))</f>
        <v>0.05</v>
      </c>
      <c r="S1002" s="18" t="n">
        <f aca="false">ABS(K1002)+MAX(ABS(N1002),ABS(O1002))+MAX(ABS(P1002),ABS(Q1002))</f>
        <v>0.05</v>
      </c>
      <c r="T1002" s="18" t="n">
        <f aca="false">MAX(ABS(E1002),ABS(F1002))</f>
        <v>0.01</v>
      </c>
      <c r="U1002" s="18" t="n">
        <f aca="false">MAX(ABS(L1002),ABS(M1002))</f>
        <v>0.01</v>
      </c>
    </row>
    <row r="1003" customFormat="false" ht="15" hidden="false" customHeight="false" outlineLevel="0" collapsed="false">
      <c r="A1003" s="4" t="n">
        <v>424</v>
      </c>
      <c r="B1003" s="4" t="n">
        <v>212</v>
      </c>
      <c r="C1003" s="18" t="n">
        <v>0.75</v>
      </c>
      <c r="D1003" s="21" t="n">
        <v>-0.01</v>
      </c>
      <c r="E1003" s="21" t="n">
        <v>0.01</v>
      </c>
      <c r="F1003" s="21" t="n">
        <v>0</v>
      </c>
      <c r="G1003" s="21" t="n">
        <v>0.02</v>
      </c>
      <c r="H1003" s="21" t="n">
        <v>-0.02</v>
      </c>
      <c r="I1003" s="21" t="n">
        <v>0</v>
      </c>
      <c r="J1003" s="21" t="n">
        <v>0</v>
      </c>
      <c r="K1003" s="21" t="n">
        <v>-0.01</v>
      </c>
      <c r="L1003" s="21" t="n">
        <v>0.01</v>
      </c>
      <c r="M1003" s="21" t="n">
        <v>0</v>
      </c>
      <c r="N1003" s="21" t="n">
        <v>0.02</v>
      </c>
      <c r="O1003" s="21" t="n">
        <v>-0.02</v>
      </c>
      <c r="P1003" s="21" t="n">
        <v>0</v>
      </c>
      <c r="Q1003" s="21" t="n">
        <v>0</v>
      </c>
      <c r="R1003" s="18" t="n">
        <f aca="false">ABS(D1003)+MAX(ABS(G1003),ABS(H1003))+MAX(ABS(I1003),ABS(J1003))</f>
        <v>0.03</v>
      </c>
      <c r="S1003" s="18" t="n">
        <f aca="false">ABS(K1003)+MAX(ABS(N1003),ABS(O1003))+MAX(ABS(P1003),ABS(Q1003))</f>
        <v>0.03</v>
      </c>
      <c r="T1003" s="18" t="n">
        <f aca="false">MAX(ABS(E1003),ABS(F1003))</f>
        <v>0.01</v>
      </c>
      <c r="U1003" s="18" t="n">
        <f aca="false">MAX(ABS(L1003),ABS(M1003))</f>
        <v>0.01</v>
      </c>
    </row>
    <row r="1004" customFormat="false" ht="15" hidden="false" customHeight="false" outlineLevel="0" collapsed="false">
      <c r="A1004" s="4" t="n">
        <v>424</v>
      </c>
      <c r="B1004" s="4" t="n">
        <v>212</v>
      </c>
      <c r="C1004" s="18" t="n">
        <v>1</v>
      </c>
      <c r="D1004" s="21" t="n">
        <v>-0.01</v>
      </c>
      <c r="E1004" s="21" t="n">
        <v>0.01</v>
      </c>
      <c r="F1004" s="21" t="n">
        <v>0</v>
      </c>
      <c r="G1004" s="21" t="n">
        <v>0</v>
      </c>
      <c r="H1004" s="21" t="n">
        <v>0</v>
      </c>
      <c r="I1004" s="21" t="n">
        <v>-0.01</v>
      </c>
      <c r="J1004" s="21" t="n">
        <v>0</v>
      </c>
      <c r="K1004" s="21" t="n">
        <v>-0.01</v>
      </c>
      <c r="L1004" s="21" t="n">
        <v>0.01</v>
      </c>
      <c r="M1004" s="21" t="n">
        <v>0</v>
      </c>
      <c r="N1004" s="21" t="n">
        <v>0</v>
      </c>
      <c r="O1004" s="21" t="n">
        <v>0</v>
      </c>
      <c r="P1004" s="21" t="n">
        <v>-0.01</v>
      </c>
      <c r="Q1004" s="21" t="n">
        <v>0</v>
      </c>
      <c r="R1004" s="18" t="n">
        <f aca="false">ABS(D1004)+MAX(ABS(G1004),ABS(H1004))+MAX(ABS(I1004),ABS(J1004))</f>
        <v>0.02</v>
      </c>
      <c r="S1004" s="18" t="n">
        <f aca="false">ABS(K1004)+MAX(ABS(N1004),ABS(O1004))+MAX(ABS(P1004),ABS(Q1004))</f>
        <v>0.02</v>
      </c>
      <c r="T1004" s="18" t="n">
        <f aca="false">MAX(ABS(E1004),ABS(F1004))</f>
        <v>0.01</v>
      </c>
      <c r="U1004" s="18" t="n">
        <f aca="false">MAX(ABS(L1004),ABS(M1004))</f>
        <v>0.01</v>
      </c>
    </row>
    <row r="1005" customFormat="false" ht="15" hidden="false" customHeight="false" outlineLevel="0" collapsed="false">
      <c r="A1005" s="4" t="n">
        <v>425</v>
      </c>
      <c r="B1005" s="4" t="n">
        <v>213</v>
      </c>
      <c r="C1005" s="18" t="n">
        <v>0</v>
      </c>
      <c r="D1005" s="21" t="n">
        <v>-0.02</v>
      </c>
      <c r="E1005" s="21" t="n">
        <v>0.01</v>
      </c>
      <c r="F1005" s="21" t="n">
        <v>0</v>
      </c>
      <c r="G1005" s="21" t="n">
        <v>-0.08</v>
      </c>
      <c r="H1005" s="21" t="n">
        <v>0.08</v>
      </c>
      <c r="I1005" s="21" t="n">
        <v>0.01</v>
      </c>
      <c r="J1005" s="21" t="n">
        <v>0</v>
      </c>
      <c r="K1005" s="21" t="n">
        <v>-0.02</v>
      </c>
      <c r="L1005" s="21" t="n">
        <v>0.01</v>
      </c>
      <c r="M1005" s="21" t="n">
        <v>0</v>
      </c>
      <c r="N1005" s="21" t="n">
        <v>-0.09</v>
      </c>
      <c r="O1005" s="21" t="n">
        <v>0.09</v>
      </c>
      <c r="P1005" s="21" t="n">
        <v>0.01</v>
      </c>
      <c r="Q1005" s="21" t="n">
        <v>0</v>
      </c>
      <c r="R1005" s="18" t="n">
        <f aca="false">ABS(D1005)+MAX(ABS(G1005),ABS(H1005))+MAX(ABS(I1005),ABS(J1005))</f>
        <v>0.11</v>
      </c>
      <c r="S1005" s="18" t="n">
        <f aca="false">ABS(K1005)+MAX(ABS(N1005),ABS(O1005))+MAX(ABS(P1005),ABS(Q1005))</f>
        <v>0.12</v>
      </c>
      <c r="T1005" s="18" t="n">
        <f aca="false">MAX(ABS(E1005),ABS(F1005))</f>
        <v>0.01</v>
      </c>
      <c r="U1005" s="18" t="n">
        <f aca="false">MAX(ABS(L1005),ABS(M1005))</f>
        <v>0.01</v>
      </c>
    </row>
    <row r="1006" customFormat="false" ht="15" hidden="false" customHeight="false" outlineLevel="0" collapsed="false">
      <c r="A1006" s="4" t="n">
        <v>425</v>
      </c>
      <c r="B1006" s="4" t="n">
        <v>213</v>
      </c>
      <c r="C1006" s="18" t="n">
        <v>0.25</v>
      </c>
      <c r="D1006" s="21" t="n">
        <v>-0.02</v>
      </c>
      <c r="E1006" s="21" t="n">
        <v>0.01</v>
      </c>
      <c r="F1006" s="21" t="n">
        <v>0</v>
      </c>
      <c r="G1006" s="21" t="n">
        <v>-0.06</v>
      </c>
      <c r="H1006" s="21" t="n">
        <v>0.06</v>
      </c>
      <c r="I1006" s="21" t="n">
        <v>0</v>
      </c>
      <c r="J1006" s="21" t="n">
        <v>0</v>
      </c>
      <c r="K1006" s="21" t="n">
        <v>-0.02</v>
      </c>
      <c r="L1006" s="21" t="n">
        <v>0.01</v>
      </c>
      <c r="M1006" s="21" t="n">
        <v>0</v>
      </c>
      <c r="N1006" s="21" t="n">
        <v>-0.07</v>
      </c>
      <c r="O1006" s="21" t="n">
        <v>0.07</v>
      </c>
      <c r="P1006" s="21" t="n">
        <v>0</v>
      </c>
      <c r="Q1006" s="21" t="n">
        <v>0</v>
      </c>
      <c r="R1006" s="18" t="n">
        <f aca="false">ABS(D1006)+MAX(ABS(G1006),ABS(H1006))+MAX(ABS(I1006),ABS(J1006))</f>
        <v>0.08</v>
      </c>
      <c r="S1006" s="18" t="n">
        <f aca="false">ABS(K1006)+MAX(ABS(N1006),ABS(O1006))+MAX(ABS(P1006),ABS(Q1006))</f>
        <v>0.09</v>
      </c>
      <c r="T1006" s="18" t="n">
        <f aca="false">MAX(ABS(E1006),ABS(F1006))</f>
        <v>0.01</v>
      </c>
      <c r="U1006" s="18" t="n">
        <f aca="false">MAX(ABS(L1006),ABS(M1006))</f>
        <v>0.01</v>
      </c>
    </row>
    <row r="1007" customFormat="false" ht="15" hidden="false" customHeight="false" outlineLevel="0" collapsed="false">
      <c r="A1007" s="4" t="n">
        <v>425</v>
      </c>
      <c r="B1007" s="4" t="n">
        <v>213</v>
      </c>
      <c r="C1007" s="18" t="n">
        <v>0.5</v>
      </c>
      <c r="D1007" s="21" t="n">
        <v>-0.02</v>
      </c>
      <c r="E1007" s="21" t="n">
        <v>0.01</v>
      </c>
      <c r="F1007" s="21" t="n">
        <v>0</v>
      </c>
      <c r="G1007" s="21" t="n">
        <v>-0.04</v>
      </c>
      <c r="H1007" s="21" t="n">
        <v>0.04</v>
      </c>
      <c r="I1007" s="21" t="n">
        <v>0</v>
      </c>
      <c r="J1007" s="21" t="n">
        <v>0</v>
      </c>
      <c r="K1007" s="21" t="n">
        <v>-0.02</v>
      </c>
      <c r="L1007" s="21" t="n">
        <v>0.01</v>
      </c>
      <c r="M1007" s="21" t="n">
        <v>0</v>
      </c>
      <c r="N1007" s="21" t="n">
        <v>-0.04</v>
      </c>
      <c r="O1007" s="21" t="n">
        <v>0.04</v>
      </c>
      <c r="P1007" s="21" t="n">
        <v>0</v>
      </c>
      <c r="Q1007" s="21" t="n">
        <v>0</v>
      </c>
      <c r="R1007" s="18" t="n">
        <f aca="false">ABS(D1007)+MAX(ABS(G1007),ABS(H1007))+MAX(ABS(I1007),ABS(J1007))</f>
        <v>0.06</v>
      </c>
      <c r="S1007" s="18" t="n">
        <f aca="false">ABS(K1007)+MAX(ABS(N1007),ABS(O1007))+MAX(ABS(P1007),ABS(Q1007))</f>
        <v>0.06</v>
      </c>
      <c r="T1007" s="18" t="n">
        <f aca="false">MAX(ABS(E1007),ABS(F1007))</f>
        <v>0.01</v>
      </c>
      <c r="U1007" s="18" t="n">
        <f aca="false">MAX(ABS(L1007),ABS(M1007))</f>
        <v>0.01</v>
      </c>
    </row>
    <row r="1008" customFormat="false" ht="15" hidden="false" customHeight="false" outlineLevel="0" collapsed="false">
      <c r="A1008" s="4" t="n">
        <v>425</v>
      </c>
      <c r="B1008" s="4" t="n">
        <v>213</v>
      </c>
      <c r="C1008" s="18" t="n">
        <v>0.75</v>
      </c>
      <c r="D1008" s="21" t="n">
        <v>-0.02</v>
      </c>
      <c r="E1008" s="21" t="n">
        <v>0.01</v>
      </c>
      <c r="F1008" s="21" t="n">
        <v>0</v>
      </c>
      <c r="G1008" s="21" t="n">
        <v>-0.02</v>
      </c>
      <c r="H1008" s="21" t="n">
        <v>0.02</v>
      </c>
      <c r="I1008" s="21" t="n">
        <v>-0.01</v>
      </c>
      <c r="J1008" s="21" t="n">
        <v>0</v>
      </c>
      <c r="K1008" s="21" t="n">
        <v>-0.02</v>
      </c>
      <c r="L1008" s="21" t="n">
        <v>0.01</v>
      </c>
      <c r="M1008" s="21" t="n">
        <v>0</v>
      </c>
      <c r="N1008" s="21" t="n">
        <v>-0.02</v>
      </c>
      <c r="O1008" s="21" t="n">
        <v>0.02</v>
      </c>
      <c r="P1008" s="21" t="n">
        <v>-0.01</v>
      </c>
      <c r="Q1008" s="21" t="n">
        <v>0</v>
      </c>
      <c r="R1008" s="18" t="n">
        <f aca="false">ABS(D1008)+MAX(ABS(G1008),ABS(H1008))+MAX(ABS(I1008),ABS(J1008))</f>
        <v>0.05</v>
      </c>
      <c r="S1008" s="18" t="n">
        <f aca="false">ABS(K1008)+MAX(ABS(N1008),ABS(O1008))+MAX(ABS(P1008),ABS(Q1008))</f>
        <v>0.05</v>
      </c>
      <c r="T1008" s="18" t="n">
        <f aca="false">MAX(ABS(E1008),ABS(F1008))</f>
        <v>0.01</v>
      </c>
      <c r="U1008" s="18" t="n">
        <f aca="false">MAX(ABS(L1008),ABS(M1008))</f>
        <v>0.01</v>
      </c>
    </row>
    <row r="1009" customFormat="false" ht="15" hidden="false" customHeight="false" outlineLevel="0" collapsed="false">
      <c r="A1009" s="4" t="n">
        <v>425</v>
      </c>
      <c r="B1009" s="4" t="n">
        <v>213</v>
      </c>
      <c r="C1009" s="18" t="n">
        <v>1</v>
      </c>
      <c r="D1009" s="21" t="n">
        <v>-0.02</v>
      </c>
      <c r="E1009" s="21" t="n">
        <v>0.01</v>
      </c>
      <c r="F1009" s="21" t="n">
        <v>0</v>
      </c>
      <c r="G1009" s="21" t="n">
        <v>0</v>
      </c>
      <c r="H1009" s="21" t="n">
        <v>0</v>
      </c>
      <c r="I1009" s="21" t="n">
        <v>-0.01</v>
      </c>
      <c r="J1009" s="21" t="n">
        <v>0</v>
      </c>
      <c r="K1009" s="21" t="n">
        <v>-0.02</v>
      </c>
      <c r="L1009" s="21" t="n">
        <v>0.01</v>
      </c>
      <c r="M1009" s="21" t="n">
        <v>0</v>
      </c>
      <c r="N1009" s="21" t="n">
        <v>0</v>
      </c>
      <c r="O1009" s="21" t="n">
        <v>0</v>
      </c>
      <c r="P1009" s="21" t="n">
        <v>-0.01</v>
      </c>
      <c r="Q1009" s="21" t="n">
        <v>0</v>
      </c>
      <c r="R1009" s="18" t="n">
        <f aca="false">ABS(D1009)+MAX(ABS(G1009),ABS(H1009))+MAX(ABS(I1009),ABS(J1009))</f>
        <v>0.03</v>
      </c>
      <c r="S1009" s="18" t="n">
        <f aca="false">ABS(K1009)+MAX(ABS(N1009),ABS(O1009))+MAX(ABS(P1009),ABS(Q1009))</f>
        <v>0.03</v>
      </c>
      <c r="T1009" s="18" t="n">
        <f aca="false">MAX(ABS(E1009),ABS(F1009))</f>
        <v>0.01</v>
      </c>
      <c r="U1009" s="18" t="n">
        <f aca="false">MAX(ABS(L1009),ABS(M1009))</f>
        <v>0.01</v>
      </c>
    </row>
    <row r="1010" customFormat="false" ht="15" hidden="false" customHeight="false" outlineLevel="0" collapsed="false">
      <c r="A1010" s="4" t="n">
        <v>426</v>
      </c>
      <c r="B1010" s="4" t="n">
        <v>214</v>
      </c>
      <c r="C1010" s="18" t="n">
        <v>0</v>
      </c>
      <c r="D1010" s="21" t="n">
        <v>-0.01</v>
      </c>
      <c r="E1010" s="21" t="n">
        <v>0</v>
      </c>
      <c r="F1010" s="21" t="n">
        <v>0</v>
      </c>
      <c r="G1010" s="21" t="n">
        <v>0.07</v>
      </c>
      <c r="H1010" s="21" t="n">
        <v>-0.07</v>
      </c>
      <c r="I1010" s="21" t="n">
        <v>-0.01</v>
      </c>
      <c r="J1010" s="21" t="n">
        <v>0.01</v>
      </c>
      <c r="K1010" s="21" t="n">
        <v>-0.01</v>
      </c>
      <c r="L1010" s="21" t="n">
        <v>0</v>
      </c>
      <c r="M1010" s="21" t="n">
        <v>0</v>
      </c>
      <c r="N1010" s="21" t="n">
        <v>0.07</v>
      </c>
      <c r="O1010" s="21" t="n">
        <v>-0.07</v>
      </c>
      <c r="P1010" s="21" t="n">
        <v>-0.01</v>
      </c>
      <c r="Q1010" s="21" t="n">
        <v>0.01</v>
      </c>
      <c r="R1010" s="18" t="n">
        <f aca="false">ABS(D1010)+MAX(ABS(G1010),ABS(H1010))+MAX(ABS(I1010),ABS(J1010))</f>
        <v>0.09</v>
      </c>
      <c r="S1010" s="18" t="n">
        <f aca="false">ABS(K1010)+MAX(ABS(N1010),ABS(O1010))+MAX(ABS(P1010),ABS(Q1010))</f>
        <v>0.09</v>
      </c>
      <c r="T1010" s="18" t="n">
        <f aca="false">MAX(ABS(E1010),ABS(F1010))</f>
        <v>0</v>
      </c>
      <c r="U1010" s="18" t="n">
        <f aca="false">MAX(ABS(L1010),ABS(M1010))</f>
        <v>0</v>
      </c>
    </row>
    <row r="1011" customFormat="false" ht="15" hidden="false" customHeight="false" outlineLevel="0" collapsed="false">
      <c r="A1011" s="4" t="n">
        <v>426</v>
      </c>
      <c r="B1011" s="4" t="n">
        <v>214</v>
      </c>
      <c r="C1011" s="18" t="n">
        <v>0.25</v>
      </c>
      <c r="D1011" s="21" t="n">
        <v>-0.01</v>
      </c>
      <c r="E1011" s="21" t="n">
        <v>0</v>
      </c>
      <c r="F1011" s="21" t="n">
        <v>0</v>
      </c>
      <c r="G1011" s="21" t="n">
        <v>0.05</v>
      </c>
      <c r="H1011" s="21" t="n">
        <v>-0.05</v>
      </c>
      <c r="I1011" s="21" t="n">
        <v>-0.01</v>
      </c>
      <c r="J1011" s="21" t="n">
        <v>0</v>
      </c>
      <c r="K1011" s="21" t="n">
        <v>-0.01</v>
      </c>
      <c r="L1011" s="21" t="n">
        <v>0</v>
      </c>
      <c r="M1011" s="21" t="n">
        <v>0</v>
      </c>
      <c r="N1011" s="21" t="n">
        <v>0.05</v>
      </c>
      <c r="O1011" s="21" t="n">
        <v>-0.05</v>
      </c>
      <c r="P1011" s="21" t="n">
        <v>-0.01</v>
      </c>
      <c r="Q1011" s="21" t="n">
        <v>0</v>
      </c>
      <c r="R1011" s="18" t="n">
        <f aca="false">ABS(D1011)+MAX(ABS(G1011),ABS(H1011))+MAX(ABS(I1011),ABS(J1011))</f>
        <v>0.07</v>
      </c>
      <c r="S1011" s="18" t="n">
        <f aca="false">ABS(K1011)+MAX(ABS(N1011),ABS(O1011))+MAX(ABS(P1011),ABS(Q1011))</f>
        <v>0.07</v>
      </c>
      <c r="T1011" s="18" t="n">
        <f aca="false">MAX(ABS(E1011),ABS(F1011))</f>
        <v>0</v>
      </c>
      <c r="U1011" s="18" t="n">
        <f aca="false">MAX(ABS(L1011),ABS(M1011))</f>
        <v>0</v>
      </c>
    </row>
    <row r="1012" customFormat="false" ht="15" hidden="false" customHeight="false" outlineLevel="0" collapsed="false">
      <c r="A1012" s="4" t="n">
        <v>426</v>
      </c>
      <c r="B1012" s="4" t="n">
        <v>214</v>
      </c>
      <c r="C1012" s="18" t="n">
        <v>0.5</v>
      </c>
      <c r="D1012" s="21" t="n">
        <v>-0.01</v>
      </c>
      <c r="E1012" s="21" t="n">
        <v>0</v>
      </c>
      <c r="F1012" s="21" t="n">
        <v>0</v>
      </c>
      <c r="G1012" s="21" t="n">
        <v>0.04</v>
      </c>
      <c r="H1012" s="21" t="n">
        <v>-0.04</v>
      </c>
      <c r="I1012" s="21" t="n">
        <v>0</v>
      </c>
      <c r="J1012" s="21" t="n">
        <v>0</v>
      </c>
      <c r="K1012" s="21" t="n">
        <v>-0.01</v>
      </c>
      <c r="L1012" s="21" t="n">
        <v>0</v>
      </c>
      <c r="M1012" s="21" t="n">
        <v>0</v>
      </c>
      <c r="N1012" s="21" t="n">
        <v>0.04</v>
      </c>
      <c r="O1012" s="21" t="n">
        <v>-0.04</v>
      </c>
      <c r="P1012" s="21" t="n">
        <v>0</v>
      </c>
      <c r="Q1012" s="21" t="n">
        <v>0</v>
      </c>
      <c r="R1012" s="18" t="n">
        <f aca="false">ABS(D1012)+MAX(ABS(G1012),ABS(H1012))+MAX(ABS(I1012),ABS(J1012))</f>
        <v>0.05</v>
      </c>
      <c r="S1012" s="18" t="n">
        <f aca="false">ABS(K1012)+MAX(ABS(N1012),ABS(O1012))+MAX(ABS(P1012),ABS(Q1012))</f>
        <v>0.05</v>
      </c>
      <c r="T1012" s="18" t="n">
        <f aca="false">MAX(ABS(E1012),ABS(F1012))</f>
        <v>0</v>
      </c>
      <c r="U1012" s="18" t="n">
        <f aca="false">MAX(ABS(L1012),ABS(M1012))</f>
        <v>0</v>
      </c>
    </row>
    <row r="1013" customFormat="false" ht="15" hidden="false" customHeight="false" outlineLevel="0" collapsed="false">
      <c r="A1013" s="4" t="n">
        <v>426</v>
      </c>
      <c r="B1013" s="4" t="n">
        <v>214</v>
      </c>
      <c r="C1013" s="18" t="n">
        <v>0.75</v>
      </c>
      <c r="D1013" s="21" t="n">
        <v>-0.01</v>
      </c>
      <c r="E1013" s="21" t="n">
        <v>0</v>
      </c>
      <c r="F1013" s="21" t="n">
        <v>0</v>
      </c>
      <c r="G1013" s="21" t="n">
        <v>0.02</v>
      </c>
      <c r="H1013" s="21" t="n">
        <v>-0.02</v>
      </c>
      <c r="I1013" s="21" t="n">
        <v>0.01</v>
      </c>
      <c r="J1013" s="21" t="n">
        <v>0</v>
      </c>
      <c r="K1013" s="21" t="n">
        <v>-0.01</v>
      </c>
      <c r="L1013" s="21" t="n">
        <v>0</v>
      </c>
      <c r="M1013" s="21" t="n">
        <v>0</v>
      </c>
      <c r="N1013" s="21" t="n">
        <v>0.02</v>
      </c>
      <c r="O1013" s="21" t="n">
        <v>-0.02</v>
      </c>
      <c r="P1013" s="21" t="n">
        <v>0.01</v>
      </c>
      <c r="Q1013" s="21" t="n">
        <v>0</v>
      </c>
      <c r="R1013" s="18" t="n">
        <f aca="false">ABS(D1013)+MAX(ABS(G1013),ABS(H1013))+MAX(ABS(I1013),ABS(J1013))</f>
        <v>0.04</v>
      </c>
      <c r="S1013" s="18" t="n">
        <f aca="false">ABS(K1013)+MAX(ABS(N1013),ABS(O1013))+MAX(ABS(P1013),ABS(Q1013))</f>
        <v>0.04</v>
      </c>
      <c r="T1013" s="18" t="n">
        <f aca="false">MAX(ABS(E1013),ABS(F1013))</f>
        <v>0</v>
      </c>
      <c r="U1013" s="18" t="n">
        <f aca="false">MAX(ABS(L1013),ABS(M1013))</f>
        <v>0</v>
      </c>
    </row>
    <row r="1014" customFormat="false" ht="15" hidden="false" customHeight="false" outlineLevel="0" collapsed="false">
      <c r="A1014" s="4" t="n">
        <v>426</v>
      </c>
      <c r="B1014" s="4" t="n">
        <v>214</v>
      </c>
      <c r="C1014" s="18" t="n">
        <v>1</v>
      </c>
      <c r="D1014" s="21" t="n">
        <v>-0.01</v>
      </c>
      <c r="E1014" s="21" t="n">
        <v>0</v>
      </c>
      <c r="F1014" s="21" t="n">
        <v>0</v>
      </c>
      <c r="G1014" s="21" t="n">
        <v>0</v>
      </c>
      <c r="H1014" s="21" t="n">
        <v>0</v>
      </c>
      <c r="I1014" s="21" t="n">
        <v>0.01</v>
      </c>
      <c r="J1014" s="21" t="n">
        <v>-0.01</v>
      </c>
      <c r="K1014" s="21" t="n">
        <v>-0.01</v>
      </c>
      <c r="L1014" s="21" t="n">
        <v>0</v>
      </c>
      <c r="M1014" s="21" t="n">
        <v>0</v>
      </c>
      <c r="N1014" s="21" t="n">
        <v>0</v>
      </c>
      <c r="O1014" s="21" t="n">
        <v>0</v>
      </c>
      <c r="P1014" s="21" t="n">
        <v>0.01</v>
      </c>
      <c r="Q1014" s="21" t="n">
        <v>-0.01</v>
      </c>
      <c r="R1014" s="18" t="n">
        <f aca="false">ABS(D1014)+MAX(ABS(G1014),ABS(H1014))+MAX(ABS(I1014),ABS(J1014))</f>
        <v>0.02</v>
      </c>
      <c r="S1014" s="18" t="n">
        <f aca="false">ABS(K1014)+MAX(ABS(N1014),ABS(O1014))+MAX(ABS(P1014),ABS(Q1014))</f>
        <v>0.02</v>
      </c>
      <c r="T1014" s="18" t="n">
        <f aca="false">MAX(ABS(E1014),ABS(F1014))</f>
        <v>0</v>
      </c>
      <c r="U1014" s="18" t="n">
        <f aca="false">MAX(ABS(L1014),ABS(M1014))</f>
        <v>0</v>
      </c>
    </row>
    <row r="1015" customFormat="false" ht="15" hidden="false" customHeight="false" outlineLevel="0" collapsed="false">
      <c r="A1015" s="4" t="n">
        <v>427</v>
      </c>
      <c r="B1015" s="4" t="n">
        <v>215</v>
      </c>
      <c r="C1015" s="18" t="n">
        <v>0</v>
      </c>
      <c r="D1015" s="21" t="n">
        <v>0</v>
      </c>
      <c r="E1015" s="21" t="n">
        <v>0</v>
      </c>
      <c r="F1015" s="21" t="n">
        <v>0</v>
      </c>
      <c r="G1015" s="21" t="n">
        <v>-0.04</v>
      </c>
      <c r="H1015" s="21" t="n">
        <v>0.04</v>
      </c>
      <c r="I1015" s="21" t="n">
        <v>0.02</v>
      </c>
      <c r="J1015" s="21" t="n">
        <v>-0.01</v>
      </c>
      <c r="K1015" s="21" t="n">
        <v>-0.01</v>
      </c>
      <c r="L1015" s="21" t="n">
        <v>0</v>
      </c>
      <c r="M1015" s="21" t="n">
        <v>0</v>
      </c>
      <c r="N1015" s="21" t="n">
        <v>-0.05</v>
      </c>
      <c r="O1015" s="21" t="n">
        <v>0.05</v>
      </c>
      <c r="P1015" s="21" t="n">
        <v>0.02</v>
      </c>
      <c r="Q1015" s="21" t="n">
        <v>-0.01</v>
      </c>
      <c r="R1015" s="18" t="n">
        <f aca="false">ABS(D1015)+MAX(ABS(G1015),ABS(H1015))+MAX(ABS(I1015),ABS(J1015))</f>
        <v>0.06</v>
      </c>
      <c r="S1015" s="18" t="n">
        <f aca="false">ABS(K1015)+MAX(ABS(N1015),ABS(O1015))+MAX(ABS(P1015),ABS(Q1015))</f>
        <v>0.08</v>
      </c>
      <c r="T1015" s="18" t="n">
        <f aca="false">MAX(ABS(E1015),ABS(F1015))</f>
        <v>0</v>
      </c>
      <c r="U1015" s="18" t="n">
        <f aca="false">MAX(ABS(L1015),ABS(M1015))</f>
        <v>0</v>
      </c>
    </row>
    <row r="1016" customFormat="false" ht="15" hidden="false" customHeight="false" outlineLevel="0" collapsed="false">
      <c r="A1016" s="4" t="n">
        <v>427</v>
      </c>
      <c r="B1016" s="4" t="n">
        <v>215</v>
      </c>
      <c r="C1016" s="18" t="n">
        <v>0.25</v>
      </c>
      <c r="D1016" s="21" t="n">
        <v>0</v>
      </c>
      <c r="E1016" s="21" t="n">
        <v>0</v>
      </c>
      <c r="F1016" s="21" t="n">
        <v>0</v>
      </c>
      <c r="G1016" s="21" t="n">
        <v>-0.03</v>
      </c>
      <c r="H1016" s="21" t="n">
        <v>0.03</v>
      </c>
      <c r="I1016" s="21" t="n">
        <v>0.01</v>
      </c>
      <c r="J1016" s="21" t="n">
        <v>0</v>
      </c>
      <c r="K1016" s="21" t="n">
        <v>-0.01</v>
      </c>
      <c r="L1016" s="21" t="n">
        <v>0</v>
      </c>
      <c r="M1016" s="21" t="n">
        <v>0</v>
      </c>
      <c r="N1016" s="21" t="n">
        <v>-0.03</v>
      </c>
      <c r="O1016" s="21" t="n">
        <v>0.03</v>
      </c>
      <c r="P1016" s="21" t="n">
        <v>0.01</v>
      </c>
      <c r="Q1016" s="21" t="n">
        <v>0</v>
      </c>
      <c r="R1016" s="18" t="n">
        <f aca="false">ABS(D1016)+MAX(ABS(G1016),ABS(H1016))+MAX(ABS(I1016),ABS(J1016))</f>
        <v>0.04</v>
      </c>
      <c r="S1016" s="18" t="n">
        <f aca="false">ABS(K1016)+MAX(ABS(N1016),ABS(O1016))+MAX(ABS(P1016),ABS(Q1016))</f>
        <v>0.05</v>
      </c>
      <c r="T1016" s="18" t="n">
        <f aca="false">MAX(ABS(E1016),ABS(F1016))</f>
        <v>0</v>
      </c>
      <c r="U1016" s="18" t="n">
        <f aca="false">MAX(ABS(L1016),ABS(M1016))</f>
        <v>0</v>
      </c>
    </row>
    <row r="1017" customFormat="false" ht="15" hidden="false" customHeight="false" outlineLevel="0" collapsed="false">
      <c r="A1017" s="4" t="n">
        <v>427</v>
      </c>
      <c r="B1017" s="4" t="n">
        <v>215</v>
      </c>
      <c r="C1017" s="18" t="n">
        <v>0.5</v>
      </c>
      <c r="D1017" s="21" t="n">
        <v>0</v>
      </c>
      <c r="E1017" s="21" t="n">
        <v>0</v>
      </c>
      <c r="F1017" s="21" t="n">
        <v>0</v>
      </c>
      <c r="G1017" s="21" t="n">
        <v>-0.02</v>
      </c>
      <c r="H1017" s="21" t="n">
        <v>0.02</v>
      </c>
      <c r="I1017" s="21" t="n">
        <v>0</v>
      </c>
      <c r="J1017" s="21" t="n">
        <v>0</v>
      </c>
      <c r="K1017" s="21" t="n">
        <v>-0.01</v>
      </c>
      <c r="L1017" s="21" t="n">
        <v>0</v>
      </c>
      <c r="M1017" s="21" t="n">
        <v>0</v>
      </c>
      <c r="N1017" s="21" t="n">
        <v>-0.02</v>
      </c>
      <c r="O1017" s="21" t="n">
        <v>0.02</v>
      </c>
      <c r="P1017" s="21" t="n">
        <v>0</v>
      </c>
      <c r="Q1017" s="21" t="n">
        <v>0</v>
      </c>
      <c r="R1017" s="18" t="n">
        <f aca="false">ABS(D1017)+MAX(ABS(G1017),ABS(H1017))+MAX(ABS(I1017),ABS(J1017))</f>
        <v>0.02</v>
      </c>
      <c r="S1017" s="18" t="n">
        <f aca="false">ABS(K1017)+MAX(ABS(N1017),ABS(O1017))+MAX(ABS(P1017),ABS(Q1017))</f>
        <v>0.03</v>
      </c>
      <c r="T1017" s="18" t="n">
        <f aca="false">MAX(ABS(E1017),ABS(F1017))</f>
        <v>0</v>
      </c>
      <c r="U1017" s="18" t="n">
        <f aca="false">MAX(ABS(L1017),ABS(M1017))</f>
        <v>0</v>
      </c>
    </row>
    <row r="1018" customFormat="false" ht="15" hidden="false" customHeight="false" outlineLevel="0" collapsed="false">
      <c r="A1018" s="4" t="n">
        <v>427</v>
      </c>
      <c r="B1018" s="4" t="n">
        <v>215</v>
      </c>
      <c r="C1018" s="18" t="n">
        <v>0.75</v>
      </c>
      <c r="D1018" s="21" t="n">
        <v>0</v>
      </c>
      <c r="E1018" s="21" t="n">
        <v>0</v>
      </c>
      <c r="F1018" s="21" t="n">
        <v>0</v>
      </c>
      <c r="G1018" s="21" t="n">
        <v>-0.01</v>
      </c>
      <c r="H1018" s="21" t="n">
        <v>0.01</v>
      </c>
      <c r="I1018" s="21" t="n">
        <v>-0.01</v>
      </c>
      <c r="J1018" s="21" t="n">
        <v>0</v>
      </c>
      <c r="K1018" s="21" t="n">
        <v>-0.01</v>
      </c>
      <c r="L1018" s="21" t="n">
        <v>0</v>
      </c>
      <c r="M1018" s="21" t="n">
        <v>0</v>
      </c>
      <c r="N1018" s="21" t="n">
        <v>-0.01</v>
      </c>
      <c r="O1018" s="21" t="n">
        <v>0.01</v>
      </c>
      <c r="P1018" s="21" t="n">
        <v>-0.01</v>
      </c>
      <c r="Q1018" s="21" t="n">
        <v>0</v>
      </c>
      <c r="R1018" s="18" t="n">
        <f aca="false">ABS(D1018)+MAX(ABS(G1018),ABS(H1018))+MAX(ABS(I1018),ABS(J1018))</f>
        <v>0.02</v>
      </c>
      <c r="S1018" s="18" t="n">
        <f aca="false">ABS(K1018)+MAX(ABS(N1018),ABS(O1018))+MAX(ABS(P1018),ABS(Q1018))</f>
        <v>0.03</v>
      </c>
      <c r="T1018" s="18" t="n">
        <f aca="false">MAX(ABS(E1018),ABS(F1018))</f>
        <v>0</v>
      </c>
      <c r="U1018" s="18" t="n">
        <f aca="false">MAX(ABS(L1018),ABS(M1018))</f>
        <v>0</v>
      </c>
    </row>
    <row r="1019" customFormat="false" ht="15" hidden="false" customHeight="false" outlineLevel="0" collapsed="false">
      <c r="A1019" s="4" t="n">
        <v>427</v>
      </c>
      <c r="B1019" s="4" t="n">
        <v>215</v>
      </c>
      <c r="C1019" s="18" t="n">
        <v>1</v>
      </c>
      <c r="D1019" s="21" t="n">
        <v>0</v>
      </c>
      <c r="E1019" s="21" t="n">
        <v>0</v>
      </c>
      <c r="F1019" s="21" t="n">
        <v>0</v>
      </c>
      <c r="G1019" s="21" t="n">
        <v>0</v>
      </c>
      <c r="H1019" s="21" t="n">
        <v>0</v>
      </c>
      <c r="I1019" s="21" t="n">
        <v>-0.02</v>
      </c>
      <c r="J1019" s="21" t="n">
        <v>0.01</v>
      </c>
      <c r="K1019" s="21" t="n">
        <v>-0.01</v>
      </c>
      <c r="L1019" s="21" t="n">
        <v>0</v>
      </c>
      <c r="M1019" s="21" t="n">
        <v>0</v>
      </c>
      <c r="N1019" s="21" t="n">
        <v>0</v>
      </c>
      <c r="O1019" s="21" t="n">
        <v>0</v>
      </c>
      <c r="P1019" s="21" t="n">
        <v>-0.02</v>
      </c>
      <c r="Q1019" s="21" t="n">
        <v>0.01</v>
      </c>
      <c r="R1019" s="18" t="n">
        <f aca="false">ABS(D1019)+MAX(ABS(G1019),ABS(H1019))+MAX(ABS(I1019),ABS(J1019))</f>
        <v>0.02</v>
      </c>
      <c r="S1019" s="18" t="n">
        <f aca="false">ABS(K1019)+MAX(ABS(N1019),ABS(O1019))+MAX(ABS(P1019),ABS(Q1019))</f>
        <v>0.03</v>
      </c>
      <c r="T1019" s="18" t="n">
        <f aca="false">MAX(ABS(E1019),ABS(F1019))</f>
        <v>0</v>
      </c>
      <c r="U1019" s="18" t="n">
        <f aca="false">MAX(ABS(L1019),ABS(M1019))</f>
        <v>0</v>
      </c>
    </row>
    <row r="1020" customFormat="false" ht="15" hidden="false" customHeight="false" outlineLevel="0" collapsed="false">
      <c r="A1020" s="4" t="n">
        <v>428</v>
      </c>
      <c r="B1020" s="4" t="n">
        <v>216</v>
      </c>
      <c r="C1020" s="18" t="n">
        <v>0</v>
      </c>
      <c r="D1020" s="21" t="n">
        <v>-0.01</v>
      </c>
      <c r="E1020" s="21" t="n">
        <v>0</v>
      </c>
      <c r="F1020" s="21" t="n">
        <v>0</v>
      </c>
      <c r="G1020" s="21" t="n">
        <v>0.02</v>
      </c>
      <c r="H1020" s="21" t="n">
        <v>-0.02</v>
      </c>
      <c r="I1020" s="21" t="n">
        <v>-0.01</v>
      </c>
      <c r="J1020" s="21" t="n">
        <v>0.01</v>
      </c>
      <c r="K1020" s="21" t="n">
        <v>0</v>
      </c>
      <c r="L1020" s="21" t="n">
        <v>0</v>
      </c>
      <c r="M1020" s="21" t="n">
        <v>0</v>
      </c>
      <c r="N1020" s="21" t="n">
        <v>0.02</v>
      </c>
      <c r="O1020" s="21" t="n">
        <v>-0.02</v>
      </c>
      <c r="P1020" s="21" t="n">
        <v>-0.01</v>
      </c>
      <c r="Q1020" s="21" t="n">
        <v>0.01</v>
      </c>
      <c r="R1020" s="18" t="n">
        <f aca="false">ABS(D1020)+MAX(ABS(G1020),ABS(H1020))+MAX(ABS(I1020),ABS(J1020))</f>
        <v>0.04</v>
      </c>
      <c r="S1020" s="18" t="n">
        <f aca="false">ABS(K1020)+MAX(ABS(N1020),ABS(O1020))+MAX(ABS(P1020),ABS(Q1020))</f>
        <v>0.03</v>
      </c>
      <c r="T1020" s="18" t="n">
        <f aca="false">MAX(ABS(E1020),ABS(F1020))</f>
        <v>0</v>
      </c>
      <c r="U1020" s="18" t="n">
        <f aca="false">MAX(ABS(L1020),ABS(M1020))</f>
        <v>0</v>
      </c>
    </row>
    <row r="1021" customFormat="false" ht="15" hidden="false" customHeight="false" outlineLevel="0" collapsed="false">
      <c r="A1021" s="4" t="n">
        <v>428</v>
      </c>
      <c r="B1021" s="4" t="n">
        <v>216</v>
      </c>
      <c r="C1021" s="18" t="n">
        <v>0.25</v>
      </c>
      <c r="D1021" s="21" t="n">
        <v>-0.01</v>
      </c>
      <c r="E1021" s="21" t="n">
        <v>0</v>
      </c>
      <c r="F1021" s="21" t="n">
        <v>0</v>
      </c>
      <c r="G1021" s="21" t="n">
        <v>0.02</v>
      </c>
      <c r="H1021" s="21" t="n">
        <v>-0.02</v>
      </c>
      <c r="I1021" s="21" t="n">
        <v>-0.01</v>
      </c>
      <c r="J1021" s="21" t="n">
        <v>0</v>
      </c>
      <c r="K1021" s="21" t="n">
        <v>0</v>
      </c>
      <c r="L1021" s="21" t="n">
        <v>0</v>
      </c>
      <c r="M1021" s="21" t="n">
        <v>0</v>
      </c>
      <c r="N1021" s="21" t="n">
        <v>0.01</v>
      </c>
      <c r="O1021" s="21" t="n">
        <v>-0.01</v>
      </c>
      <c r="P1021" s="21" t="n">
        <v>-0.01</v>
      </c>
      <c r="Q1021" s="21" t="n">
        <v>0</v>
      </c>
      <c r="R1021" s="18" t="n">
        <f aca="false">ABS(D1021)+MAX(ABS(G1021),ABS(H1021))+MAX(ABS(I1021),ABS(J1021))</f>
        <v>0.04</v>
      </c>
      <c r="S1021" s="18" t="n">
        <f aca="false">ABS(K1021)+MAX(ABS(N1021),ABS(O1021))+MAX(ABS(P1021),ABS(Q1021))</f>
        <v>0.02</v>
      </c>
      <c r="T1021" s="18" t="n">
        <f aca="false">MAX(ABS(E1021),ABS(F1021))</f>
        <v>0</v>
      </c>
      <c r="U1021" s="18" t="n">
        <f aca="false">MAX(ABS(L1021),ABS(M1021))</f>
        <v>0</v>
      </c>
    </row>
    <row r="1022" customFormat="false" ht="15" hidden="false" customHeight="false" outlineLevel="0" collapsed="false">
      <c r="A1022" s="4" t="n">
        <v>428</v>
      </c>
      <c r="B1022" s="4" t="n">
        <v>216</v>
      </c>
      <c r="C1022" s="18" t="n">
        <v>0.5</v>
      </c>
      <c r="D1022" s="21" t="n">
        <v>-0.01</v>
      </c>
      <c r="E1022" s="21" t="n">
        <v>0</v>
      </c>
      <c r="F1022" s="21" t="n">
        <v>0</v>
      </c>
      <c r="G1022" s="21" t="n">
        <v>0.01</v>
      </c>
      <c r="H1022" s="21" t="n">
        <v>-0.01</v>
      </c>
      <c r="I1022" s="21" t="n">
        <v>0</v>
      </c>
      <c r="J1022" s="21" t="n">
        <v>0</v>
      </c>
      <c r="K1022" s="21" t="n">
        <v>0</v>
      </c>
      <c r="L1022" s="21" t="n">
        <v>0</v>
      </c>
      <c r="M1022" s="21" t="n">
        <v>0</v>
      </c>
      <c r="N1022" s="21" t="n">
        <v>0.01</v>
      </c>
      <c r="O1022" s="21" t="n">
        <v>-0.01</v>
      </c>
      <c r="P1022" s="21" t="n">
        <v>0</v>
      </c>
      <c r="Q1022" s="21" t="n">
        <v>0</v>
      </c>
      <c r="R1022" s="18" t="n">
        <f aca="false">ABS(D1022)+MAX(ABS(G1022),ABS(H1022))+MAX(ABS(I1022),ABS(J1022))</f>
        <v>0.02</v>
      </c>
      <c r="S1022" s="18" t="n">
        <f aca="false">ABS(K1022)+MAX(ABS(N1022),ABS(O1022))+MAX(ABS(P1022),ABS(Q1022))</f>
        <v>0.01</v>
      </c>
      <c r="T1022" s="18" t="n">
        <f aca="false">MAX(ABS(E1022),ABS(F1022))</f>
        <v>0</v>
      </c>
      <c r="U1022" s="18" t="n">
        <f aca="false">MAX(ABS(L1022),ABS(M1022))</f>
        <v>0</v>
      </c>
    </row>
    <row r="1023" customFormat="false" ht="15" hidden="false" customHeight="false" outlineLevel="0" collapsed="false">
      <c r="A1023" s="4" t="n">
        <v>428</v>
      </c>
      <c r="B1023" s="4" t="n">
        <v>216</v>
      </c>
      <c r="C1023" s="18" t="n">
        <v>0.75</v>
      </c>
      <c r="D1023" s="21" t="n">
        <v>-0.01</v>
      </c>
      <c r="E1023" s="21" t="n">
        <v>0</v>
      </c>
      <c r="F1023" s="21" t="n">
        <v>0</v>
      </c>
      <c r="G1023" s="21" t="n">
        <v>0.01</v>
      </c>
      <c r="H1023" s="21" t="n">
        <v>-0.01</v>
      </c>
      <c r="I1023" s="21" t="n">
        <v>0.01</v>
      </c>
      <c r="J1023" s="21" t="n">
        <v>0</v>
      </c>
      <c r="K1023" s="21" t="n">
        <v>0</v>
      </c>
      <c r="L1023" s="21" t="n">
        <v>0</v>
      </c>
      <c r="M1023" s="21" t="n">
        <v>0</v>
      </c>
      <c r="N1023" s="21" t="n">
        <v>0.01</v>
      </c>
      <c r="O1023" s="21" t="n">
        <v>-0.01</v>
      </c>
      <c r="P1023" s="21" t="n">
        <v>0.01</v>
      </c>
      <c r="Q1023" s="21" t="n">
        <v>0</v>
      </c>
      <c r="R1023" s="18" t="n">
        <f aca="false">ABS(D1023)+MAX(ABS(G1023),ABS(H1023))+MAX(ABS(I1023),ABS(J1023))</f>
        <v>0.03</v>
      </c>
      <c r="S1023" s="18" t="n">
        <f aca="false">ABS(K1023)+MAX(ABS(N1023),ABS(O1023))+MAX(ABS(P1023),ABS(Q1023))</f>
        <v>0.02</v>
      </c>
      <c r="T1023" s="18" t="n">
        <f aca="false">MAX(ABS(E1023),ABS(F1023))</f>
        <v>0</v>
      </c>
      <c r="U1023" s="18" t="n">
        <f aca="false">MAX(ABS(L1023),ABS(M1023))</f>
        <v>0</v>
      </c>
    </row>
    <row r="1024" customFormat="false" ht="15" hidden="false" customHeight="false" outlineLevel="0" collapsed="false">
      <c r="A1024" s="4" t="n">
        <v>428</v>
      </c>
      <c r="B1024" s="4" t="n">
        <v>216</v>
      </c>
      <c r="C1024" s="18" t="n">
        <v>1</v>
      </c>
      <c r="D1024" s="21" t="n">
        <v>-0.01</v>
      </c>
      <c r="E1024" s="21" t="n">
        <v>0</v>
      </c>
      <c r="F1024" s="21" t="n">
        <v>0</v>
      </c>
      <c r="G1024" s="21" t="n">
        <v>0</v>
      </c>
      <c r="H1024" s="21" t="n">
        <v>0</v>
      </c>
      <c r="I1024" s="21" t="n">
        <v>0.01</v>
      </c>
      <c r="J1024" s="21" t="n">
        <v>-0.01</v>
      </c>
      <c r="K1024" s="21" t="n">
        <v>0</v>
      </c>
      <c r="L1024" s="21" t="n">
        <v>0</v>
      </c>
      <c r="M1024" s="21" t="n">
        <v>0</v>
      </c>
      <c r="N1024" s="21" t="n">
        <v>0</v>
      </c>
      <c r="O1024" s="21" t="n">
        <v>0</v>
      </c>
      <c r="P1024" s="21" t="n">
        <v>0.01</v>
      </c>
      <c r="Q1024" s="21" t="n">
        <v>-0.01</v>
      </c>
      <c r="R1024" s="18" t="n">
        <f aca="false">ABS(D1024)+MAX(ABS(G1024),ABS(H1024))+MAX(ABS(I1024),ABS(J1024))</f>
        <v>0.02</v>
      </c>
      <c r="S1024" s="18" t="n">
        <f aca="false">ABS(K1024)+MAX(ABS(N1024),ABS(O1024))+MAX(ABS(P1024),ABS(Q1024))</f>
        <v>0.01</v>
      </c>
      <c r="T1024" s="18" t="n">
        <f aca="false">MAX(ABS(E1024),ABS(F1024))</f>
        <v>0</v>
      </c>
      <c r="U1024" s="18" t="n">
        <f aca="false">MAX(ABS(L1024),ABS(M1024))</f>
        <v>0</v>
      </c>
    </row>
    <row r="1025" customFormat="false" ht="15" hidden="false" customHeight="false" outlineLevel="0" collapsed="false">
      <c r="A1025" s="4" t="n">
        <v>429</v>
      </c>
      <c r="B1025" s="4" t="n">
        <v>217</v>
      </c>
      <c r="C1025" s="18" t="n">
        <v>0</v>
      </c>
      <c r="D1025" s="21" t="n">
        <v>0</v>
      </c>
      <c r="E1025" s="21" t="n">
        <v>0</v>
      </c>
      <c r="F1025" s="21" t="n">
        <v>0</v>
      </c>
      <c r="G1025" s="21" t="n">
        <v>-0.01</v>
      </c>
      <c r="H1025" s="21" t="n">
        <v>0.01</v>
      </c>
      <c r="I1025" s="21" t="n">
        <v>0</v>
      </c>
      <c r="J1025" s="21" t="n">
        <v>0</v>
      </c>
      <c r="K1025" s="21" t="n">
        <v>0</v>
      </c>
      <c r="L1025" s="21" t="n">
        <v>0</v>
      </c>
      <c r="M1025" s="21" t="n">
        <v>0</v>
      </c>
      <c r="N1025" s="21" t="n">
        <v>-0.01</v>
      </c>
      <c r="O1025" s="21" t="n">
        <v>0.01</v>
      </c>
      <c r="P1025" s="21" t="n">
        <v>0</v>
      </c>
      <c r="Q1025" s="21" t="n">
        <v>0</v>
      </c>
      <c r="R1025" s="18" t="n">
        <f aca="false">ABS(D1025)+MAX(ABS(G1025),ABS(H1025))+MAX(ABS(I1025),ABS(J1025))</f>
        <v>0.01</v>
      </c>
      <c r="S1025" s="18" t="n">
        <f aca="false">ABS(K1025)+MAX(ABS(N1025),ABS(O1025))+MAX(ABS(P1025),ABS(Q1025))</f>
        <v>0.01</v>
      </c>
      <c r="T1025" s="18" t="n">
        <f aca="false">MAX(ABS(E1025),ABS(F1025))</f>
        <v>0</v>
      </c>
      <c r="U1025" s="18" t="n">
        <f aca="false">MAX(ABS(L1025),ABS(M1025))</f>
        <v>0</v>
      </c>
    </row>
    <row r="1026" customFormat="false" ht="15" hidden="false" customHeight="false" outlineLevel="0" collapsed="false">
      <c r="A1026" s="4" t="n">
        <v>429</v>
      </c>
      <c r="B1026" s="4" t="n">
        <v>217</v>
      </c>
      <c r="C1026" s="18" t="n">
        <v>0.25</v>
      </c>
      <c r="D1026" s="21" t="n">
        <v>0</v>
      </c>
      <c r="E1026" s="21" t="n">
        <v>0</v>
      </c>
      <c r="F1026" s="21" t="n">
        <v>0</v>
      </c>
      <c r="G1026" s="21" t="n">
        <v>0</v>
      </c>
      <c r="H1026" s="21" t="n">
        <v>0</v>
      </c>
      <c r="I1026" s="21" t="n">
        <v>-0.01</v>
      </c>
      <c r="J1026" s="21" t="n">
        <v>0.01</v>
      </c>
      <c r="K1026" s="21" t="n">
        <v>0</v>
      </c>
      <c r="L1026" s="21" t="n">
        <v>0</v>
      </c>
      <c r="M1026" s="21" t="n">
        <v>0</v>
      </c>
      <c r="N1026" s="21" t="n">
        <v>0</v>
      </c>
      <c r="O1026" s="21" t="n">
        <v>0</v>
      </c>
      <c r="P1026" s="21" t="n">
        <v>-0.01</v>
      </c>
      <c r="Q1026" s="21" t="n">
        <v>0.01</v>
      </c>
      <c r="R1026" s="18" t="n">
        <f aca="false">ABS(D1026)+MAX(ABS(G1026),ABS(H1026))+MAX(ABS(I1026),ABS(J1026))</f>
        <v>0.01</v>
      </c>
      <c r="S1026" s="18" t="n">
        <f aca="false">ABS(K1026)+MAX(ABS(N1026),ABS(O1026))+MAX(ABS(P1026),ABS(Q1026))</f>
        <v>0.01</v>
      </c>
      <c r="T1026" s="18" t="n">
        <f aca="false">MAX(ABS(E1026),ABS(F1026))</f>
        <v>0</v>
      </c>
      <c r="U1026" s="18" t="n">
        <f aca="false">MAX(ABS(L1026),ABS(M1026))</f>
        <v>0</v>
      </c>
    </row>
    <row r="1027" customFormat="false" ht="15" hidden="false" customHeight="false" outlineLevel="0" collapsed="false">
      <c r="A1027" s="4" t="n">
        <v>429</v>
      </c>
      <c r="B1027" s="4" t="n">
        <v>217</v>
      </c>
      <c r="C1027" s="18" t="n">
        <v>0.5</v>
      </c>
      <c r="D1027" s="21" t="n">
        <v>0</v>
      </c>
      <c r="E1027" s="21" t="n">
        <v>0</v>
      </c>
      <c r="F1027" s="21" t="n">
        <v>0</v>
      </c>
      <c r="G1027" s="21" t="n">
        <v>0</v>
      </c>
      <c r="H1027" s="21" t="n">
        <v>0</v>
      </c>
      <c r="I1027" s="21" t="n">
        <v>-0.03</v>
      </c>
      <c r="J1027" s="21" t="n">
        <v>0.01</v>
      </c>
      <c r="K1027" s="21" t="n">
        <v>0</v>
      </c>
      <c r="L1027" s="21" t="n">
        <v>0</v>
      </c>
      <c r="M1027" s="21" t="n">
        <v>0</v>
      </c>
      <c r="N1027" s="21" t="n">
        <v>0</v>
      </c>
      <c r="O1027" s="21" t="n">
        <v>0</v>
      </c>
      <c r="P1027" s="21" t="n">
        <v>-0.03</v>
      </c>
      <c r="Q1027" s="21" t="n">
        <v>0.01</v>
      </c>
      <c r="R1027" s="18" t="n">
        <f aca="false">ABS(D1027)+MAX(ABS(G1027),ABS(H1027))+MAX(ABS(I1027),ABS(J1027))</f>
        <v>0.03</v>
      </c>
      <c r="S1027" s="18" t="n">
        <f aca="false">ABS(K1027)+MAX(ABS(N1027),ABS(O1027))+MAX(ABS(P1027),ABS(Q1027))</f>
        <v>0.03</v>
      </c>
      <c r="T1027" s="18" t="n">
        <f aca="false">MAX(ABS(E1027),ABS(F1027))</f>
        <v>0</v>
      </c>
      <c r="U1027" s="18" t="n">
        <f aca="false">MAX(ABS(L1027),ABS(M1027))</f>
        <v>0</v>
      </c>
    </row>
    <row r="1028" customFormat="false" ht="15" hidden="false" customHeight="false" outlineLevel="0" collapsed="false">
      <c r="A1028" s="4" t="n">
        <v>429</v>
      </c>
      <c r="B1028" s="4" t="n">
        <v>217</v>
      </c>
      <c r="C1028" s="18" t="n">
        <v>0.75</v>
      </c>
      <c r="D1028" s="21" t="n">
        <v>0</v>
      </c>
      <c r="E1028" s="21" t="n">
        <v>0</v>
      </c>
      <c r="F1028" s="21" t="n">
        <v>0</v>
      </c>
      <c r="G1028" s="21" t="n">
        <v>0</v>
      </c>
      <c r="H1028" s="21" t="n">
        <v>0</v>
      </c>
      <c r="I1028" s="21" t="n">
        <v>-0.04</v>
      </c>
      <c r="J1028" s="21" t="n">
        <v>0.02</v>
      </c>
      <c r="K1028" s="21" t="n">
        <v>0</v>
      </c>
      <c r="L1028" s="21" t="n">
        <v>0</v>
      </c>
      <c r="M1028" s="21" t="n">
        <v>0</v>
      </c>
      <c r="N1028" s="21" t="n">
        <v>0</v>
      </c>
      <c r="O1028" s="21" t="n">
        <v>0</v>
      </c>
      <c r="P1028" s="21" t="n">
        <v>-0.04</v>
      </c>
      <c r="Q1028" s="21" t="n">
        <v>0.02</v>
      </c>
      <c r="R1028" s="18" t="n">
        <f aca="false">ABS(D1028)+MAX(ABS(G1028),ABS(H1028))+MAX(ABS(I1028),ABS(J1028))</f>
        <v>0.04</v>
      </c>
      <c r="S1028" s="18" t="n">
        <f aca="false">ABS(K1028)+MAX(ABS(N1028),ABS(O1028))+MAX(ABS(P1028),ABS(Q1028))</f>
        <v>0.04</v>
      </c>
      <c r="T1028" s="18" t="n">
        <f aca="false">MAX(ABS(E1028),ABS(F1028))</f>
        <v>0</v>
      </c>
      <c r="U1028" s="18" t="n">
        <f aca="false">MAX(ABS(L1028),ABS(M1028))</f>
        <v>0</v>
      </c>
    </row>
    <row r="1029" customFormat="false" ht="15" hidden="false" customHeight="false" outlineLevel="0" collapsed="false">
      <c r="A1029" s="4" t="n">
        <v>429</v>
      </c>
      <c r="B1029" s="4" t="n">
        <v>217</v>
      </c>
      <c r="C1029" s="18" t="n">
        <v>1</v>
      </c>
      <c r="D1029" s="21" t="n">
        <v>0</v>
      </c>
      <c r="E1029" s="21" t="n">
        <v>0</v>
      </c>
      <c r="F1029" s="21" t="n">
        <v>0</v>
      </c>
      <c r="G1029" s="21" t="n">
        <v>0</v>
      </c>
      <c r="H1029" s="21" t="n">
        <v>0</v>
      </c>
      <c r="I1029" s="21" t="n">
        <v>-0.05</v>
      </c>
      <c r="J1029" s="21" t="n">
        <v>0.02</v>
      </c>
      <c r="K1029" s="21" t="n">
        <v>0</v>
      </c>
      <c r="L1029" s="21" t="n">
        <v>0</v>
      </c>
      <c r="M1029" s="21" t="n">
        <v>0</v>
      </c>
      <c r="N1029" s="21" t="n">
        <v>0</v>
      </c>
      <c r="O1029" s="21" t="n">
        <v>0</v>
      </c>
      <c r="P1029" s="21" t="n">
        <v>-0.06</v>
      </c>
      <c r="Q1029" s="21" t="n">
        <v>0.02</v>
      </c>
      <c r="R1029" s="18" t="n">
        <f aca="false">ABS(D1029)+MAX(ABS(G1029),ABS(H1029))+MAX(ABS(I1029),ABS(J1029))</f>
        <v>0.05</v>
      </c>
      <c r="S1029" s="18" t="n">
        <f aca="false">ABS(K1029)+MAX(ABS(N1029),ABS(O1029))+MAX(ABS(P1029),ABS(Q1029))</f>
        <v>0.06</v>
      </c>
      <c r="T1029" s="18" t="n">
        <f aca="false">MAX(ABS(E1029),ABS(F1029))</f>
        <v>0</v>
      </c>
      <c r="U1029" s="18" t="n">
        <f aca="false">MAX(ABS(L1029),ABS(M1029))</f>
        <v>0</v>
      </c>
    </row>
    <row r="1030" customFormat="false" ht="15" hidden="false" customHeight="false" outlineLevel="0" collapsed="false">
      <c r="A1030" s="4" t="n">
        <v>430</v>
      </c>
      <c r="B1030" s="4" t="n">
        <v>218</v>
      </c>
      <c r="C1030" s="18" t="n">
        <v>0</v>
      </c>
      <c r="D1030" s="21" t="n">
        <v>0</v>
      </c>
      <c r="E1030" s="21" t="n">
        <v>0</v>
      </c>
      <c r="F1030" s="21" t="n">
        <v>0</v>
      </c>
      <c r="G1030" s="21" t="n">
        <v>-0.02</v>
      </c>
      <c r="H1030" s="21" t="n">
        <v>0.02</v>
      </c>
      <c r="I1030" s="21" t="n">
        <v>0</v>
      </c>
      <c r="J1030" s="21" t="n">
        <v>0</v>
      </c>
      <c r="K1030" s="21" t="n">
        <v>0</v>
      </c>
      <c r="L1030" s="21" t="n">
        <v>0</v>
      </c>
      <c r="M1030" s="21" t="n">
        <v>0</v>
      </c>
      <c r="N1030" s="21" t="n">
        <v>-0.02</v>
      </c>
      <c r="O1030" s="21" t="n">
        <v>0.02</v>
      </c>
      <c r="P1030" s="21" t="n">
        <v>0</v>
      </c>
      <c r="Q1030" s="21" t="n">
        <v>0</v>
      </c>
      <c r="R1030" s="18" t="n">
        <f aca="false">ABS(D1030)+MAX(ABS(G1030),ABS(H1030))+MAX(ABS(I1030),ABS(J1030))</f>
        <v>0.02</v>
      </c>
      <c r="S1030" s="18" t="n">
        <f aca="false">ABS(K1030)+MAX(ABS(N1030),ABS(O1030))+MAX(ABS(P1030),ABS(Q1030))</f>
        <v>0.02</v>
      </c>
      <c r="T1030" s="18" t="n">
        <f aca="false">MAX(ABS(E1030),ABS(F1030))</f>
        <v>0</v>
      </c>
      <c r="U1030" s="18" t="n">
        <f aca="false">MAX(ABS(L1030),ABS(M1030))</f>
        <v>0</v>
      </c>
    </row>
    <row r="1031" customFormat="false" ht="15" hidden="false" customHeight="false" outlineLevel="0" collapsed="false">
      <c r="A1031" s="4" t="n">
        <v>430</v>
      </c>
      <c r="B1031" s="4" t="n">
        <v>218</v>
      </c>
      <c r="C1031" s="18" t="n">
        <v>0.25</v>
      </c>
      <c r="D1031" s="21" t="n">
        <v>0</v>
      </c>
      <c r="E1031" s="21" t="n">
        <v>0</v>
      </c>
      <c r="F1031" s="21" t="n">
        <v>0</v>
      </c>
      <c r="G1031" s="21" t="n">
        <v>-0.01</v>
      </c>
      <c r="H1031" s="21" t="n">
        <v>0.01</v>
      </c>
      <c r="I1031" s="21" t="n">
        <v>-0.01</v>
      </c>
      <c r="J1031" s="21" t="n">
        <v>0.01</v>
      </c>
      <c r="K1031" s="21" t="n">
        <v>0</v>
      </c>
      <c r="L1031" s="21" t="n">
        <v>0</v>
      </c>
      <c r="M1031" s="21" t="n">
        <v>0</v>
      </c>
      <c r="N1031" s="21" t="n">
        <v>-0.01</v>
      </c>
      <c r="O1031" s="21" t="n">
        <v>0.01</v>
      </c>
      <c r="P1031" s="21" t="n">
        <v>-0.01</v>
      </c>
      <c r="Q1031" s="21" t="n">
        <v>0.01</v>
      </c>
      <c r="R1031" s="18" t="n">
        <f aca="false">ABS(D1031)+MAX(ABS(G1031),ABS(H1031))+MAX(ABS(I1031),ABS(J1031))</f>
        <v>0.02</v>
      </c>
      <c r="S1031" s="18" t="n">
        <f aca="false">ABS(K1031)+MAX(ABS(N1031),ABS(O1031))+MAX(ABS(P1031),ABS(Q1031))</f>
        <v>0.02</v>
      </c>
      <c r="T1031" s="18" t="n">
        <f aca="false">MAX(ABS(E1031),ABS(F1031))</f>
        <v>0</v>
      </c>
      <c r="U1031" s="18" t="n">
        <f aca="false">MAX(ABS(L1031),ABS(M1031))</f>
        <v>0</v>
      </c>
    </row>
    <row r="1032" customFormat="false" ht="15" hidden="false" customHeight="false" outlineLevel="0" collapsed="false">
      <c r="A1032" s="4" t="n">
        <v>430</v>
      </c>
      <c r="B1032" s="4" t="n">
        <v>218</v>
      </c>
      <c r="C1032" s="18" t="n">
        <v>0.5</v>
      </c>
      <c r="D1032" s="21" t="n">
        <v>0</v>
      </c>
      <c r="E1032" s="21" t="n">
        <v>0</v>
      </c>
      <c r="F1032" s="21" t="n">
        <v>0</v>
      </c>
      <c r="G1032" s="21" t="n">
        <v>0</v>
      </c>
      <c r="H1032" s="21" t="n">
        <v>0</v>
      </c>
      <c r="I1032" s="21" t="n">
        <v>-0.03</v>
      </c>
      <c r="J1032" s="21" t="n">
        <v>0.01</v>
      </c>
      <c r="K1032" s="21" t="n">
        <v>0</v>
      </c>
      <c r="L1032" s="21" t="n">
        <v>0</v>
      </c>
      <c r="M1032" s="21" t="n">
        <v>0</v>
      </c>
      <c r="N1032" s="21" t="n">
        <v>-0.01</v>
      </c>
      <c r="O1032" s="21" t="n">
        <v>0.01</v>
      </c>
      <c r="P1032" s="21" t="n">
        <v>-0.03</v>
      </c>
      <c r="Q1032" s="21" t="n">
        <v>0.01</v>
      </c>
      <c r="R1032" s="18" t="n">
        <f aca="false">ABS(D1032)+MAX(ABS(G1032),ABS(H1032))+MAX(ABS(I1032),ABS(J1032))</f>
        <v>0.03</v>
      </c>
      <c r="S1032" s="18" t="n">
        <f aca="false">ABS(K1032)+MAX(ABS(N1032),ABS(O1032))+MAX(ABS(P1032),ABS(Q1032))</f>
        <v>0.04</v>
      </c>
      <c r="T1032" s="18" t="n">
        <f aca="false">MAX(ABS(E1032),ABS(F1032))</f>
        <v>0</v>
      </c>
      <c r="U1032" s="18" t="n">
        <f aca="false">MAX(ABS(L1032),ABS(M1032))</f>
        <v>0</v>
      </c>
    </row>
    <row r="1033" customFormat="false" ht="15" hidden="false" customHeight="false" outlineLevel="0" collapsed="false">
      <c r="A1033" s="4" t="n">
        <v>430</v>
      </c>
      <c r="B1033" s="4" t="n">
        <v>218</v>
      </c>
      <c r="C1033" s="18" t="n">
        <v>0.75</v>
      </c>
      <c r="D1033" s="21" t="n">
        <v>0</v>
      </c>
      <c r="E1033" s="21" t="n">
        <v>0</v>
      </c>
      <c r="F1033" s="21" t="n">
        <v>0</v>
      </c>
      <c r="G1033" s="21" t="n">
        <v>0</v>
      </c>
      <c r="H1033" s="21" t="n">
        <v>0</v>
      </c>
      <c r="I1033" s="21" t="n">
        <v>-0.04</v>
      </c>
      <c r="J1033" s="21" t="n">
        <v>0.02</v>
      </c>
      <c r="K1033" s="21" t="n">
        <v>0</v>
      </c>
      <c r="L1033" s="21" t="n">
        <v>0</v>
      </c>
      <c r="M1033" s="21" t="n">
        <v>0</v>
      </c>
      <c r="N1033" s="21" t="n">
        <v>0</v>
      </c>
      <c r="O1033" s="21" t="n">
        <v>0</v>
      </c>
      <c r="P1033" s="21" t="n">
        <v>-0.04</v>
      </c>
      <c r="Q1033" s="21" t="n">
        <v>0.02</v>
      </c>
      <c r="R1033" s="18" t="n">
        <f aca="false">ABS(D1033)+MAX(ABS(G1033),ABS(H1033))+MAX(ABS(I1033),ABS(J1033))</f>
        <v>0.04</v>
      </c>
      <c r="S1033" s="18" t="n">
        <f aca="false">ABS(K1033)+MAX(ABS(N1033),ABS(O1033))+MAX(ABS(P1033),ABS(Q1033))</f>
        <v>0.04</v>
      </c>
      <c r="T1033" s="18" t="n">
        <f aca="false">MAX(ABS(E1033),ABS(F1033))</f>
        <v>0</v>
      </c>
      <c r="U1033" s="18" t="n">
        <f aca="false">MAX(ABS(L1033),ABS(M1033))</f>
        <v>0</v>
      </c>
    </row>
    <row r="1034" customFormat="false" ht="15" hidden="false" customHeight="false" outlineLevel="0" collapsed="false">
      <c r="A1034" s="4" t="n">
        <v>430</v>
      </c>
      <c r="B1034" s="4" t="n">
        <v>218</v>
      </c>
      <c r="C1034" s="18" t="n">
        <v>1</v>
      </c>
      <c r="D1034" s="21" t="n">
        <v>0</v>
      </c>
      <c r="E1034" s="21" t="n">
        <v>0</v>
      </c>
      <c r="F1034" s="21" t="n">
        <v>0</v>
      </c>
      <c r="G1034" s="21" t="n">
        <v>0.01</v>
      </c>
      <c r="H1034" s="21" t="n">
        <v>-0.01</v>
      </c>
      <c r="I1034" s="21" t="n">
        <v>-0.06</v>
      </c>
      <c r="J1034" s="21" t="n">
        <v>0.02</v>
      </c>
      <c r="K1034" s="21" t="n">
        <v>0</v>
      </c>
      <c r="L1034" s="21" t="n">
        <v>0</v>
      </c>
      <c r="M1034" s="21" t="n">
        <v>0</v>
      </c>
      <c r="N1034" s="21" t="n">
        <v>0.01</v>
      </c>
      <c r="O1034" s="21" t="n">
        <v>-0.01</v>
      </c>
      <c r="P1034" s="21" t="n">
        <v>-0.06</v>
      </c>
      <c r="Q1034" s="21" t="n">
        <v>0.02</v>
      </c>
      <c r="R1034" s="18" t="n">
        <f aca="false">ABS(D1034)+MAX(ABS(G1034),ABS(H1034))+MAX(ABS(I1034),ABS(J1034))</f>
        <v>0.07</v>
      </c>
      <c r="S1034" s="18" t="n">
        <f aca="false">ABS(K1034)+MAX(ABS(N1034),ABS(O1034))+MAX(ABS(P1034),ABS(Q1034))</f>
        <v>0.07</v>
      </c>
      <c r="T1034" s="18" t="n">
        <f aca="false">MAX(ABS(E1034),ABS(F1034))</f>
        <v>0</v>
      </c>
      <c r="U1034" s="18" t="n">
        <f aca="false">MAX(ABS(L1034),ABS(M1034))</f>
        <v>0</v>
      </c>
    </row>
    <row r="1035" customFormat="false" ht="15" hidden="false" customHeight="false" outlineLevel="0" collapsed="false">
      <c r="A1035" s="4" t="n">
        <v>431</v>
      </c>
      <c r="B1035" s="4" t="n">
        <v>219</v>
      </c>
      <c r="C1035" s="18" t="n">
        <v>0</v>
      </c>
      <c r="D1035" s="21" t="n">
        <v>0</v>
      </c>
      <c r="E1035" s="21" t="n">
        <v>0</v>
      </c>
      <c r="F1035" s="21" t="n">
        <v>0</v>
      </c>
      <c r="G1035" s="21" t="n">
        <v>-0.04</v>
      </c>
      <c r="H1035" s="21" t="n">
        <v>0.04</v>
      </c>
      <c r="I1035" s="21" t="n">
        <v>0</v>
      </c>
      <c r="J1035" s="21" t="n">
        <v>0</v>
      </c>
      <c r="K1035" s="21" t="n">
        <v>0</v>
      </c>
      <c r="L1035" s="21" t="n">
        <v>0</v>
      </c>
      <c r="M1035" s="21" t="n">
        <v>0</v>
      </c>
      <c r="N1035" s="21" t="n">
        <v>-0.04</v>
      </c>
      <c r="O1035" s="21" t="n">
        <v>0.04</v>
      </c>
      <c r="P1035" s="21" t="n">
        <v>0</v>
      </c>
      <c r="Q1035" s="21" t="n">
        <v>0</v>
      </c>
      <c r="R1035" s="18" t="n">
        <f aca="false">ABS(D1035)+MAX(ABS(G1035),ABS(H1035))+MAX(ABS(I1035),ABS(J1035))</f>
        <v>0.04</v>
      </c>
      <c r="S1035" s="18" t="n">
        <f aca="false">ABS(K1035)+MAX(ABS(N1035),ABS(O1035))+MAX(ABS(P1035),ABS(Q1035))</f>
        <v>0.04</v>
      </c>
      <c r="T1035" s="18" t="n">
        <f aca="false">MAX(ABS(E1035),ABS(F1035))</f>
        <v>0</v>
      </c>
      <c r="U1035" s="18" t="n">
        <f aca="false">MAX(ABS(L1035),ABS(M1035))</f>
        <v>0</v>
      </c>
    </row>
    <row r="1036" customFormat="false" ht="15" hidden="false" customHeight="false" outlineLevel="0" collapsed="false">
      <c r="A1036" s="4" t="n">
        <v>431</v>
      </c>
      <c r="B1036" s="4" t="n">
        <v>219</v>
      </c>
      <c r="C1036" s="18" t="n">
        <v>0.25</v>
      </c>
      <c r="D1036" s="21" t="n">
        <v>0</v>
      </c>
      <c r="E1036" s="21" t="n">
        <v>0</v>
      </c>
      <c r="F1036" s="21" t="n">
        <v>0</v>
      </c>
      <c r="G1036" s="21" t="n">
        <v>-0.02</v>
      </c>
      <c r="H1036" s="21" t="n">
        <v>0.02</v>
      </c>
      <c r="I1036" s="21" t="n">
        <v>-0.01</v>
      </c>
      <c r="J1036" s="21" t="n">
        <v>0</v>
      </c>
      <c r="K1036" s="21" t="n">
        <v>0</v>
      </c>
      <c r="L1036" s="21" t="n">
        <v>0</v>
      </c>
      <c r="M1036" s="21" t="n">
        <v>0</v>
      </c>
      <c r="N1036" s="21" t="n">
        <v>-0.02</v>
      </c>
      <c r="O1036" s="21" t="n">
        <v>0.02</v>
      </c>
      <c r="P1036" s="21" t="n">
        <v>-0.01</v>
      </c>
      <c r="Q1036" s="21" t="n">
        <v>0</v>
      </c>
      <c r="R1036" s="18" t="n">
        <f aca="false">ABS(D1036)+MAX(ABS(G1036),ABS(H1036))+MAX(ABS(I1036),ABS(J1036))</f>
        <v>0.03</v>
      </c>
      <c r="S1036" s="18" t="n">
        <f aca="false">ABS(K1036)+MAX(ABS(N1036),ABS(O1036))+MAX(ABS(P1036),ABS(Q1036))</f>
        <v>0.03</v>
      </c>
      <c r="T1036" s="18" t="n">
        <f aca="false">MAX(ABS(E1036),ABS(F1036))</f>
        <v>0</v>
      </c>
      <c r="U1036" s="18" t="n">
        <f aca="false">MAX(ABS(L1036),ABS(M1036))</f>
        <v>0</v>
      </c>
    </row>
    <row r="1037" customFormat="false" ht="15" hidden="false" customHeight="false" outlineLevel="0" collapsed="false">
      <c r="A1037" s="4" t="n">
        <v>431</v>
      </c>
      <c r="B1037" s="4" t="n">
        <v>219</v>
      </c>
      <c r="C1037" s="18" t="n">
        <v>0.5</v>
      </c>
      <c r="D1037" s="21" t="n">
        <v>0</v>
      </c>
      <c r="E1037" s="21" t="n">
        <v>0</v>
      </c>
      <c r="F1037" s="21" t="n">
        <v>0</v>
      </c>
      <c r="G1037" s="21" t="n">
        <v>-0.01</v>
      </c>
      <c r="H1037" s="21" t="n">
        <v>0.01</v>
      </c>
      <c r="I1037" s="21" t="n">
        <v>-0.02</v>
      </c>
      <c r="J1037" s="21" t="n">
        <v>0.01</v>
      </c>
      <c r="K1037" s="21" t="n">
        <v>0</v>
      </c>
      <c r="L1037" s="21" t="n">
        <v>0</v>
      </c>
      <c r="M1037" s="21" t="n">
        <v>0</v>
      </c>
      <c r="N1037" s="21" t="n">
        <v>-0.01</v>
      </c>
      <c r="O1037" s="21" t="n">
        <v>0.01</v>
      </c>
      <c r="P1037" s="21" t="n">
        <v>-0.02</v>
      </c>
      <c r="Q1037" s="21" t="n">
        <v>0.01</v>
      </c>
      <c r="R1037" s="18" t="n">
        <f aca="false">ABS(D1037)+MAX(ABS(G1037),ABS(H1037))+MAX(ABS(I1037),ABS(J1037))</f>
        <v>0.03</v>
      </c>
      <c r="S1037" s="18" t="n">
        <f aca="false">ABS(K1037)+MAX(ABS(N1037),ABS(O1037))+MAX(ABS(P1037),ABS(Q1037))</f>
        <v>0.03</v>
      </c>
      <c r="T1037" s="18" t="n">
        <f aca="false">MAX(ABS(E1037),ABS(F1037))</f>
        <v>0</v>
      </c>
      <c r="U1037" s="18" t="n">
        <f aca="false">MAX(ABS(L1037),ABS(M1037))</f>
        <v>0</v>
      </c>
    </row>
    <row r="1038" customFormat="false" ht="15" hidden="false" customHeight="false" outlineLevel="0" collapsed="false">
      <c r="A1038" s="4" t="n">
        <v>431</v>
      </c>
      <c r="B1038" s="4" t="n">
        <v>219</v>
      </c>
      <c r="C1038" s="18" t="n">
        <v>0.75</v>
      </c>
      <c r="D1038" s="21" t="n">
        <v>0</v>
      </c>
      <c r="E1038" s="21" t="n">
        <v>0</v>
      </c>
      <c r="F1038" s="21" t="n">
        <v>0</v>
      </c>
      <c r="G1038" s="21" t="n">
        <v>0</v>
      </c>
      <c r="H1038" s="21" t="n">
        <v>0</v>
      </c>
      <c r="I1038" s="21" t="n">
        <v>-0.03</v>
      </c>
      <c r="J1038" s="21" t="n">
        <v>0.01</v>
      </c>
      <c r="K1038" s="21" t="n">
        <v>0</v>
      </c>
      <c r="L1038" s="21" t="n">
        <v>0</v>
      </c>
      <c r="M1038" s="21" t="n">
        <v>0</v>
      </c>
      <c r="N1038" s="21" t="n">
        <v>0</v>
      </c>
      <c r="O1038" s="21" t="n">
        <v>0</v>
      </c>
      <c r="P1038" s="21" t="n">
        <v>-0.03</v>
      </c>
      <c r="Q1038" s="21" t="n">
        <v>0.01</v>
      </c>
      <c r="R1038" s="18" t="n">
        <f aca="false">ABS(D1038)+MAX(ABS(G1038),ABS(H1038))+MAX(ABS(I1038),ABS(J1038))</f>
        <v>0.03</v>
      </c>
      <c r="S1038" s="18" t="n">
        <f aca="false">ABS(K1038)+MAX(ABS(N1038),ABS(O1038))+MAX(ABS(P1038),ABS(Q1038))</f>
        <v>0.03</v>
      </c>
      <c r="T1038" s="18" t="n">
        <f aca="false">MAX(ABS(E1038),ABS(F1038))</f>
        <v>0</v>
      </c>
      <c r="U1038" s="18" t="n">
        <f aca="false">MAX(ABS(L1038),ABS(M1038))</f>
        <v>0</v>
      </c>
    </row>
    <row r="1039" customFormat="false" ht="15" hidden="false" customHeight="false" outlineLevel="0" collapsed="false">
      <c r="A1039" s="4" t="n">
        <v>431</v>
      </c>
      <c r="B1039" s="4" t="n">
        <v>219</v>
      </c>
      <c r="C1039" s="18" t="n">
        <v>1</v>
      </c>
      <c r="D1039" s="21" t="n">
        <v>0</v>
      </c>
      <c r="E1039" s="21" t="n">
        <v>0</v>
      </c>
      <c r="F1039" s="21" t="n">
        <v>0</v>
      </c>
      <c r="G1039" s="21" t="n">
        <v>0.01</v>
      </c>
      <c r="H1039" s="21" t="n">
        <v>-0.01</v>
      </c>
      <c r="I1039" s="21" t="n">
        <v>-0.04</v>
      </c>
      <c r="J1039" s="21" t="n">
        <v>0.02</v>
      </c>
      <c r="K1039" s="21" t="n">
        <v>0</v>
      </c>
      <c r="L1039" s="21" t="n">
        <v>0</v>
      </c>
      <c r="M1039" s="21" t="n">
        <v>0</v>
      </c>
      <c r="N1039" s="21" t="n">
        <v>0.01</v>
      </c>
      <c r="O1039" s="21" t="n">
        <v>-0.01</v>
      </c>
      <c r="P1039" s="21" t="n">
        <v>-0.04</v>
      </c>
      <c r="Q1039" s="21" t="n">
        <v>0.02</v>
      </c>
      <c r="R1039" s="18" t="n">
        <f aca="false">ABS(D1039)+MAX(ABS(G1039),ABS(H1039))+MAX(ABS(I1039),ABS(J1039))</f>
        <v>0.05</v>
      </c>
      <c r="S1039" s="18" t="n">
        <f aca="false">ABS(K1039)+MAX(ABS(N1039),ABS(O1039))+MAX(ABS(P1039),ABS(Q1039))</f>
        <v>0.05</v>
      </c>
      <c r="T1039" s="18" t="n">
        <f aca="false">MAX(ABS(E1039),ABS(F1039))</f>
        <v>0</v>
      </c>
      <c r="U1039" s="18" t="n">
        <f aca="false">MAX(ABS(L1039),ABS(M1039))</f>
        <v>0</v>
      </c>
    </row>
    <row r="1040" customFormat="false" ht="15" hidden="false" customHeight="false" outlineLevel="0" collapsed="false">
      <c r="A1040" s="4" t="n">
        <v>432</v>
      </c>
      <c r="B1040" s="4" t="n">
        <v>220</v>
      </c>
      <c r="C1040" s="18" t="n">
        <v>0</v>
      </c>
      <c r="D1040" s="21" t="n">
        <v>0</v>
      </c>
      <c r="E1040" s="21" t="n">
        <v>0</v>
      </c>
      <c r="F1040" s="21" t="n">
        <v>0</v>
      </c>
      <c r="G1040" s="21" t="n">
        <v>-0.04</v>
      </c>
      <c r="H1040" s="21" t="n">
        <v>0.04</v>
      </c>
      <c r="I1040" s="21" t="n">
        <v>0</v>
      </c>
      <c r="J1040" s="21" t="n">
        <v>0</v>
      </c>
      <c r="K1040" s="21" t="n">
        <v>0</v>
      </c>
      <c r="L1040" s="21" t="n">
        <v>0</v>
      </c>
      <c r="M1040" s="21" t="n">
        <v>0</v>
      </c>
      <c r="N1040" s="21" t="n">
        <v>-0.05</v>
      </c>
      <c r="O1040" s="21" t="n">
        <v>0.05</v>
      </c>
      <c r="P1040" s="21" t="n">
        <v>0</v>
      </c>
      <c r="Q1040" s="21" t="n">
        <v>0</v>
      </c>
      <c r="R1040" s="18" t="n">
        <f aca="false">ABS(D1040)+MAX(ABS(G1040),ABS(H1040))+MAX(ABS(I1040),ABS(J1040))</f>
        <v>0.04</v>
      </c>
      <c r="S1040" s="18" t="n">
        <f aca="false">ABS(K1040)+MAX(ABS(N1040),ABS(O1040))+MAX(ABS(P1040),ABS(Q1040))</f>
        <v>0.05</v>
      </c>
      <c r="T1040" s="18" t="n">
        <f aca="false">MAX(ABS(E1040),ABS(F1040))</f>
        <v>0</v>
      </c>
      <c r="U1040" s="18" t="n">
        <f aca="false">MAX(ABS(L1040),ABS(M1040))</f>
        <v>0</v>
      </c>
    </row>
    <row r="1041" customFormat="false" ht="15" hidden="false" customHeight="false" outlineLevel="0" collapsed="false">
      <c r="A1041" s="4" t="n">
        <v>432</v>
      </c>
      <c r="B1041" s="4" t="n">
        <v>220</v>
      </c>
      <c r="C1041" s="18" t="n">
        <v>0.25</v>
      </c>
      <c r="D1041" s="21" t="n">
        <v>0</v>
      </c>
      <c r="E1041" s="21" t="n">
        <v>0</v>
      </c>
      <c r="F1041" s="21" t="n">
        <v>0</v>
      </c>
      <c r="G1041" s="21" t="n">
        <v>-0.03</v>
      </c>
      <c r="H1041" s="21" t="n">
        <v>0.03</v>
      </c>
      <c r="I1041" s="21" t="n">
        <v>-0.01</v>
      </c>
      <c r="J1041" s="21" t="n">
        <v>0</v>
      </c>
      <c r="K1041" s="21" t="n">
        <v>0</v>
      </c>
      <c r="L1041" s="21" t="n">
        <v>0</v>
      </c>
      <c r="M1041" s="21" t="n">
        <v>0</v>
      </c>
      <c r="N1041" s="21" t="n">
        <v>-0.03</v>
      </c>
      <c r="O1041" s="21" t="n">
        <v>0.03</v>
      </c>
      <c r="P1041" s="21" t="n">
        <v>-0.01</v>
      </c>
      <c r="Q1041" s="21" t="n">
        <v>0</v>
      </c>
      <c r="R1041" s="18" t="n">
        <f aca="false">ABS(D1041)+MAX(ABS(G1041),ABS(H1041))+MAX(ABS(I1041),ABS(J1041))</f>
        <v>0.04</v>
      </c>
      <c r="S1041" s="18" t="n">
        <f aca="false">ABS(K1041)+MAX(ABS(N1041),ABS(O1041))+MAX(ABS(P1041),ABS(Q1041))</f>
        <v>0.04</v>
      </c>
      <c r="T1041" s="18" t="n">
        <f aca="false">MAX(ABS(E1041),ABS(F1041))</f>
        <v>0</v>
      </c>
      <c r="U1041" s="18" t="n">
        <f aca="false">MAX(ABS(L1041),ABS(M1041))</f>
        <v>0</v>
      </c>
    </row>
    <row r="1042" customFormat="false" ht="15" hidden="false" customHeight="false" outlineLevel="0" collapsed="false">
      <c r="A1042" s="4" t="n">
        <v>432</v>
      </c>
      <c r="B1042" s="4" t="n">
        <v>220</v>
      </c>
      <c r="C1042" s="18" t="n">
        <v>0.5</v>
      </c>
      <c r="D1042" s="21" t="n">
        <v>0</v>
      </c>
      <c r="E1042" s="21" t="n">
        <v>0</v>
      </c>
      <c r="F1042" s="21" t="n">
        <v>0</v>
      </c>
      <c r="G1042" s="21" t="n">
        <v>-0.02</v>
      </c>
      <c r="H1042" s="21" t="n">
        <v>0.02</v>
      </c>
      <c r="I1042" s="21" t="n">
        <v>-0.02</v>
      </c>
      <c r="J1042" s="21" t="n">
        <v>0.01</v>
      </c>
      <c r="K1042" s="21" t="n">
        <v>0</v>
      </c>
      <c r="L1042" s="21" t="n">
        <v>0</v>
      </c>
      <c r="M1042" s="21" t="n">
        <v>0</v>
      </c>
      <c r="N1042" s="21" t="n">
        <v>-0.02</v>
      </c>
      <c r="O1042" s="21" t="n">
        <v>0.02</v>
      </c>
      <c r="P1042" s="21" t="n">
        <v>-0.02</v>
      </c>
      <c r="Q1042" s="21" t="n">
        <v>0.01</v>
      </c>
      <c r="R1042" s="18" t="n">
        <f aca="false">ABS(D1042)+MAX(ABS(G1042),ABS(H1042))+MAX(ABS(I1042),ABS(J1042))</f>
        <v>0.04</v>
      </c>
      <c r="S1042" s="18" t="n">
        <f aca="false">ABS(K1042)+MAX(ABS(N1042),ABS(O1042))+MAX(ABS(P1042),ABS(Q1042))</f>
        <v>0.04</v>
      </c>
      <c r="T1042" s="18" t="n">
        <f aca="false">MAX(ABS(E1042),ABS(F1042))</f>
        <v>0</v>
      </c>
      <c r="U1042" s="18" t="n">
        <f aca="false">MAX(ABS(L1042),ABS(M1042))</f>
        <v>0</v>
      </c>
    </row>
    <row r="1043" customFormat="false" ht="15" hidden="false" customHeight="false" outlineLevel="0" collapsed="false">
      <c r="A1043" s="4" t="n">
        <v>432</v>
      </c>
      <c r="B1043" s="4" t="n">
        <v>220</v>
      </c>
      <c r="C1043" s="18" t="n">
        <v>0.75</v>
      </c>
      <c r="D1043" s="21" t="n">
        <v>0</v>
      </c>
      <c r="E1043" s="21" t="n">
        <v>0</v>
      </c>
      <c r="F1043" s="21" t="n">
        <v>0</v>
      </c>
      <c r="G1043" s="21" t="n">
        <v>0</v>
      </c>
      <c r="H1043" s="21" t="n">
        <v>0</v>
      </c>
      <c r="I1043" s="21" t="n">
        <v>-0.03</v>
      </c>
      <c r="J1043" s="21" t="n">
        <v>0.01</v>
      </c>
      <c r="K1043" s="21" t="n">
        <v>0</v>
      </c>
      <c r="L1043" s="21" t="n">
        <v>0</v>
      </c>
      <c r="M1043" s="21" t="n">
        <v>0</v>
      </c>
      <c r="N1043" s="21" t="n">
        <v>0</v>
      </c>
      <c r="O1043" s="21" t="n">
        <v>0</v>
      </c>
      <c r="P1043" s="21" t="n">
        <v>-0.03</v>
      </c>
      <c r="Q1043" s="21" t="n">
        <v>0.01</v>
      </c>
      <c r="R1043" s="18" t="n">
        <f aca="false">ABS(D1043)+MAX(ABS(G1043),ABS(H1043))+MAX(ABS(I1043),ABS(J1043))</f>
        <v>0.03</v>
      </c>
      <c r="S1043" s="18" t="n">
        <f aca="false">ABS(K1043)+MAX(ABS(N1043),ABS(O1043))+MAX(ABS(P1043),ABS(Q1043))</f>
        <v>0.03</v>
      </c>
      <c r="T1043" s="18" t="n">
        <f aca="false">MAX(ABS(E1043),ABS(F1043))</f>
        <v>0</v>
      </c>
      <c r="U1043" s="18" t="n">
        <f aca="false">MAX(ABS(L1043),ABS(M1043))</f>
        <v>0</v>
      </c>
    </row>
    <row r="1044" customFormat="false" ht="15" hidden="false" customHeight="false" outlineLevel="0" collapsed="false">
      <c r="A1044" s="4" t="n">
        <v>432</v>
      </c>
      <c r="B1044" s="4" t="n">
        <v>220</v>
      </c>
      <c r="C1044" s="18" t="n">
        <v>1</v>
      </c>
      <c r="D1044" s="21" t="n">
        <v>0</v>
      </c>
      <c r="E1044" s="21" t="n">
        <v>0</v>
      </c>
      <c r="F1044" s="21" t="n">
        <v>0</v>
      </c>
      <c r="G1044" s="21" t="n">
        <v>0.01</v>
      </c>
      <c r="H1044" s="21" t="n">
        <v>-0.01</v>
      </c>
      <c r="I1044" s="21" t="n">
        <v>-0.04</v>
      </c>
      <c r="J1044" s="21" t="n">
        <v>0.02</v>
      </c>
      <c r="K1044" s="21" t="n">
        <v>0</v>
      </c>
      <c r="L1044" s="21" t="n">
        <v>0</v>
      </c>
      <c r="M1044" s="21" t="n">
        <v>0</v>
      </c>
      <c r="N1044" s="21" t="n">
        <v>0.01</v>
      </c>
      <c r="O1044" s="21" t="n">
        <v>-0.01</v>
      </c>
      <c r="P1044" s="21" t="n">
        <v>-0.04</v>
      </c>
      <c r="Q1044" s="21" t="n">
        <v>0.02</v>
      </c>
      <c r="R1044" s="18" t="n">
        <f aca="false">ABS(D1044)+MAX(ABS(G1044),ABS(H1044))+MAX(ABS(I1044),ABS(J1044))</f>
        <v>0.05</v>
      </c>
      <c r="S1044" s="18" t="n">
        <f aca="false">ABS(K1044)+MAX(ABS(N1044),ABS(O1044))+MAX(ABS(P1044),ABS(Q1044))</f>
        <v>0.05</v>
      </c>
      <c r="T1044" s="18" t="n">
        <f aca="false">MAX(ABS(E1044),ABS(F1044))</f>
        <v>0</v>
      </c>
      <c r="U1044" s="18" t="n">
        <f aca="false">MAX(ABS(L1044),ABS(M1044))</f>
        <v>0</v>
      </c>
    </row>
    <row r="1045" customFormat="false" ht="15" hidden="false" customHeight="false" outlineLevel="0" collapsed="false">
      <c r="A1045" s="4" t="n">
        <v>433</v>
      </c>
      <c r="B1045" s="4" t="n">
        <v>221</v>
      </c>
      <c r="C1045" s="18" t="n">
        <v>0</v>
      </c>
      <c r="D1045" s="21" t="n">
        <v>0</v>
      </c>
      <c r="E1045" s="21" t="n">
        <v>0</v>
      </c>
      <c r="F1045" s="21" t="n">
        <v>0</v>
      </c>
      <c r="G1045" s="21" t="n">
        <v>-0.04</v>
      </c>
      <c r="H1045" s="21" t="n">
        <v>0.04</v>
      </c>
      <c r="I1045" s="21" t="n">
        <v>0</v>
      </c>
      <c r="J1045" s="21" t="n">
        <v>0</v>
      </c>
      <c r="K1045" s="21" t="n">
        <v>0</v>
      </c>
      <c r="L1045" s="21" t="n">
        <v>0</v>
      </c>
      <c r="M1045" s="21" t="n">
        <v>0</v>
      </c>
      <c r="N1045" s="21" t="n">
        <v>-0.05</v>
      </c>
      <c r="O1045" s="21" t="n">
        <v>0.05</v>
      </c>
      <c r="P1045" s="21" t="n">
        <v>0</v>
      </c>
      <c r="Q1045" s="21" t="n">
        <v>0</v>
      </c>
      <c r="R1045" s="18" t="n">
        <f aca="false">ABS(D1045)+MAX(ABS(G1045),ABS(H1045))+MAX(ABS(I1045),ABS(J1045))</f>
        <v>0.04</v>
      </c>
      <c r="S1045" s="18" t="n">
        <f aca="false">ABS(K1045)+MAX(ABS(N1045),ABS(O1045))+MAX(ABS(P1045),ABS(Q1045))</f>
        <v>0.05</v>
      </c>
      <c r="T1045" s="18" t="n">
        <f aca="false">MAX(ABS(E1045),ABS(F1045))</f>
        <v>0</v>
      </c>
      <c r="U1045" s="18" t="n">
        <f aca="false">MAX(ABS(L1045),ABS(M1045))</f>
        <v>0</v>
      </c>
    </row>
    <row r="1046" customFormat="false" ht="15" hidden="false" customHeight="false" outlineLevel="0" collapsed="false">
      <c r="A1046" s="4" t="n">
        <v>433</v>
      </c>
      <c r="B1046" s="4" t="n">
        <v>221</v>
      </c>
      <c r="C1046" s="18" t="n">
        <v>0.25</v>
      </c>
      <c r="D1046" s="21" t="n">
        <v>0</v>
      </c>
      <c r="E1046" s="21" t="n">
        <v>0</v>
      </c>
      <c r="F1046" s="21" t="n">
        <v>0</v>
      </c>
      <c r="G1046" s="21" t="n">
        <v>-0.03</v>
      </c>
      <c r="H1046" s="21" t="n">
        <v>0.03</v>
      </c>
      <c r="I1046" s="21" t="n">
        <v>0.01</v>
      </c>
      <c r="J1046" s="21" t="n">
        <v>0</v>
      </c>
      <c r="K1046" s="21" t="n">
        <v>0</v>
      </c>
      <c r="L1046" s="21" t="n">
        <v>0</v>
      </c>
      <c r="M1046" s="21" t="n">
        <v>0</v>
      </c>
      <c r="N1046" s="21" t="n">
        <v>-0.03</v>
      </c>
      <c r="O1046" s="21" t="n">
        <v>0.03</v>
      </c>
      <c r="P1046" s="21" t="n">
        <v>0.01</v>
      </c>
      <c r="Q1046" s="21" t="n">
        <v>0</v>
      </c>
      <c r="R1046" s="18" t="n">
        <f aca="false">ABS(D1046)+MAX(ABS(G1046),ABS(H1046))+MAX(ABS(I1046),ABS(J1046))</f>
        <v>0.04</v>
      </c>
      <c r="S1046" s="18" t="n">
        <f aca="false">ABS(K1046)+MAX(ABS(N1046),ABS(O1046))+MAX(ABS(P1046),ABS(Q1046))</f>
        <v>0.04</v>
      </c>
      <c r="T1046" s="18" t="n">
        <f aca="false">MAX(ABS(E1046),ABS(F1046))</f>
        <v>0</v>
      </c>
      <c r="U1046" s="18" t="n">
        <f aca="false">MAX(ABS(L1046),ABS(M1046))</f>
        <v>0</v>
      </c>
    </row>
    <row r="1047" customFormat="false" ht="15" hidden="false" customHeight="false" outlineLevel="0" collapsed="false">
      <c r="A1047" s="4" t="n">
        <v>433</v>
      </c>
      <c r="B1047" s="4" t="n">
        <v>221</v>
      </c>
      <c r="C1047" s="18" t="n">
        <v>0.5</v>
      </c>
      <c r="D1047" s="21" t="n">
        <v>0</v>
      </c>
      <c r="E1047" s="21" t="n">
        <v>0</v>
      </c>
      <c r="F1047" s="21" t="n">
        <v>0</v>
      </c>
      <c r="G1047" s="21" t="n">
        <v>-0.02</v>
      </c>
      <c r="H1047" s="21" t="n">
        <v>0.02</v>
      </c>
      <c r="I1047" s="21" t="n">
        <v>0.02</v>
      </c>
      <c r="J1047" s="21" t="n">
        <v>-0.01</v>
      </c>
      <c r="K1047" s="21" t="n">
        <v>0</v>
      </c>
      <c r="L1047" s="21" t="n">
        <v>0</v>
      </c>
      <c r="M1047" s="21" t="n">
        <v>0</v>
      </c>
      <c r="N1047" s="21" t="n">
        <v>-0.02</v>
      </c>
      <c r="O1047" s="21" t="n">
        <v>0.02</v>
      </c>
      <c r="P1047" s="21" t="n">
        <v>0.02</v>
      </c>
      <c r="Q1047" s="21" t="n">
        <v>-0.01</v>
      </c>
      <c r="R1047" s="18" t="n">
        <f aca="false">ABS(D1047)+MAX(ABS(G1047),ABS(H1047))+MAX(ABS(I1047),ABS(J1047))</f>
        <v>0.04</v>
      </c>
      <c r="S1047" s="18" t="n">
        <f aca="false">ABS(K1047)+MAX(ABS(N1047),ABS(O1047))+MAX(ABS(P1047),ABS(Q1047))</f>
        <v>0.04</v>
      </c>
      <c r="T1047" s="18" t="n">
        <f aca="false">MAX(ABS(E1047),ABS(F1047))</f>
        <v>0</v>
      </c>
      <c r="U1047" s="18" t="n">
        <f aca="false">MAX(ABS(L1047),ABS(M1047))</f>
        <v>0</v>
      </c>
    </row>
    <row r="1048" customFormat="false" ht="15" hidden="false" customHeight="false" outlineLevel="0" collapsed="false">
      <c r="A1048" s="4" t="n">
        <v>433</v>
      </c>
      <c r="B1048" s="4" t="n">
        <v>221</v>
      </c>
      <c r="C1048" s="18" t="n">
        <v>0.75</v>
      </c>
      <c r="D1048" s="21" t="n">
        <v>0</v>
      </c>
      <c r="E1048" s="21" t="n">
        <v>0</v>
      </c>
      <c r="F1048" s="21" t="n">
        <v>0</v>
      </c>
      <c r="G1048" s="21" t="n">
        <v>0</v>
      </c>
      <c r="H1048" s="21" t="n">
        <v>0</v>
      </c>
      <c r="I1048" s="21" t="n">
        <v>0.03</v>
      </c>
      <c r="J1048" s="21" t="n">
        <v>-0.01</v>
      </c>
      <c r="K1048" s="21" t="n">
        <v>0</v>
      </c>
      <c r="L1048" s="21" t="n">
        <v>0</v>
      </c>
      <c r="M1048" s="21" t="n">
        <v>0</v>
      </c>
      <c r="N1048" s="21" t="n">
        <v>0</v>
      </c>
      <c r="O1048" s="21" t="n">
        <v>0</v>
      </c>
      <c r="P1048" s="21" t="n">
        <v>0.03</v>
      </c>
      <c r="Q1048" s="21" t="n">
        <v>-0.01</v>
      </c>
      <c r="R1048" s="18" t="n">
        <f aca="false">ABS(D1048)+MAX(ABS(G1048),ABS(H1048))+MAX(ABS(I1048),ABS(J1048))</f>
        <v>0.03</v>
      </c>
      <c r="S1048" s="18" t="n">
        <f aca="false">ABS(K1048)+MAX(ABS(N1048),ABS(O1048))+MAX(ABS(P1048),ABS(Q1048))</f>
        <v>0.03</v>
      </c>
      <c r="T1048" s="18" t="n">
        <f aca="false">MAX(ABS(E1048),ABS(F1048))</f>
        <v>0</v>
      </c>
      <c r="U1048" s="18" t="n">
        <f aca="false">MAX(ABS(L1048),ABS(M1048))</f>
        <v>0</v>
      </c>
    </row>
    <row r="1049" customFormat="false" ht="15" hidden="false" customHeight="false" outlineLevel="0" collapsed="false">
      <c r="A1049" s="4" t="n">
        <v>433</v>
      </c>
      <c r="B1049" s="4" t="n">
        <v>221</v>
      </c>
      <c r="C1049" s="18" t="n">
        <v>1</v>
      </c>
      <c r="D1049" s="21" t="n">
        <v>0</v>
      </c>
      <c r="E1049" s="21" t="n">
        <v>0</v>
      </c>
      <c r="F1049" s="21" t="n">
        <v>0</v>
      </c>
      <c r="G1049" s="21" t="n">
        <v>0.01</v>
      </c>
      <c r="H1049" s="21" t="n">
        <v>-0.01</v>
      </c>
      <c r="I1049" s="21" t="n">
        <v>0.03</v>
      </c>
      <c r="J1049" s="21" t="n">
        <v>-0.01</v>
      </c>
      <c r="K1049" s="21" t="n">
        <v>0</v>
      </c>
      <c r="L1049" s="21" t="n">
        <v>0</v>
      </c>
      <c r="M1049" s="21" t="n">
        <v>0</v>
      </c>
      <c r="N1049" s="21" t="n">
        <v>0.01</v>
      </c>
      <c r="O1049" s="21" t="n">
        <v>-0.01</v>
      </c>
      <c r="P1049" s="21" t="n">
        <v>0.03</v>
      </c>
      <c r="Q1049" s="21" t="n">
        <v>-0.01</v>
      </c>
      <c r="R1049" s="18" t="n">
        <f aca="false">ABS(D1049)+MAX(ABS(G1049),ABS(H1049))+MAX(ABS(I1049),ABS(J1049))</f>
        <v>0.04</v>
      </c>
      <c r="S1049" s="18" t="n">
        <f aca="false">ABS(K1049)+MAX(ABS(N1049),ABS(O1049))+MAX(ABS(P1049),ABS(Q1049))</f>
        <v>0.04</v>
      </c>
      <c r="T1049" s="18" t="n">
        <f aca="false">MAX(ABS(E1049),ABS(F1049))</f>
        <v>0</v>
      </c>
      <c r="U1049" s="18" t="n">
        <f aca="false">MAX(ABS(L1049),ABS(M1049))</f>
        <v>0</v>
      </c>
    </row>
    <row r="1050" customFormat="false" ht="15" hidden="false" customHeight="false" outlineLevel="0" collapsed="false">
      <c r="A1050" s="4" t="n">
        <v>434</v>
      </c>
      <c r="B1050" s="4" t="n">
        <v>222</v>
      </c>
      <c r="C1050" s="18" t="n">
        <v>0</v>
      </c>
      <c r="D1050" s="21" t="n">
        <v>0</v>
      </c>
      <c r="E1050" s="21" t="n">
        <v>0</v>
      </c>
      <c r="F1050" s="21" t="n">
        <v>0</v>
      </c>
      <c r="G1050" s="21" t="n">
        <v>-0.04</v>
      </c>
      <c r="H1050" s="21" t="n">
        <v>0.04</v>
      </c>
      <c r="I1050" s="21" t="n">
        <v>0</v>
      </c>
      <c r="J1050" s="21" t="n">
        <v>0</v>
      </c>
      <c r="K1050" s="21" t="n">
        <v>0</v>
      </c>
      <c r="L1050" s="21" t="n">
        <v>0</v>
      </c>
      <c r="M1050" s="21" t="n">
        <v>0</v>
      </c>
      <c r="N1050" s="21" t="n">
        <v>-0.03</v>
      </c>
      <c r="O1050" s="21" t="n">
        <v>0.03</v>
      </c>
      <c r="P1050" s="21" t="n">
        <v>0</v>
      </c>
      <c r="Q1050" s="21" t="n">
        <v>0</v>
      </c>
      <c r="R1050" s="18" t="n">
        <f aca="false">ABS(D1050)+MAX(ABS(G1050),ABS(H1050))+MAX(ABS(I1050),ABS(J1050))</f>
        <v>0.04</v>
      </c>
      <c r="S1050" s="18" t="n">
        <f aca="false">ABS(K1050)+MAX(ABS(N1050),ABS(O1050))+MAX(ABS(P1050),ABS(Q1050))</f>
        <v>0.03</v>
      </c>
      <c r="T1050" s="18" t="n">
        <f aca="false">MAX(ABS(E1050),ABS(F1050))</f>
        <v>0</v>
      </c>
      <c r="U1050" s="18" t="n">
        <f aca="false">MAX(ABS(L1050),ABS(M1050))</f>
        <v>0</v>
      </c>
    </row>
    <row r="1051" customFormat="false" ht="15" hidden="false" customHeight="false" outlineLevel="0" collapsed="false">
      <c r="A1051" s="4" t="n">
        <v>434</v>
      </c>
      <c r="B1051" s="4" t="n">
        <v>222</v>
      </c>
      <c r="C1051" s="18" t="n">
        <v>0.25</v>
      </c>
      <c r="D1051" s="21" t="n">
        <v>0</v>
      </c>
      <c r="E1051" s="21" t="n">
        <v>0</v>
      </c>
      <c r="F1051" s="21" t="n">
        <v>0</v>
      </c>
      <c r="G1051" s="21" t="n">
        <v>-0.02</v>
      </c>
      <c r="H1051" s="21" t="n">
        <v>0.02</v>
      </c>
      <c r="I1051" s="21" t="n">
        <v>0.01</v>
      </c>
      <c r="J1051" s="21" t="n">
        <v>0</v>
      </c>
      <c r="K1051" s="21" t="n">
        <v>0</v>
      </c>
      <c r="L1051" s="21" t="n">
        <v>0</v>
      </c>
      <c r="M1051" s="21" t="n">
        <v>0</v>
      </c>
      <c r="N1051" s="21" t="n">
        <v>-0.02</v>
      </c>
      <c r="O1051" s="21" t="n">
        <v>0.02</v>
      </c>
      <c r="P1051" s="21" t="n">
        <v>0.01</v>
      </c>
      <c r="Q1051" s="21" t="n">
        <v>0</v>
      </c>
      <c r="R1051" s="18" t="n">
        <f aca="false">ABS(D1051)+MAX(ABS(G1051),ABS(H1051))+MAX(ABS(I1051),ABS(J1051))</f>
        <v>0.03</v>
      </c>
      <c r="S1051" s="18" t="n">
        <f aca="false">ABS(K1051)+MAX(ABS(N1051),ABS(O1051))+MAX(ABS(P1051),ABS(Q1051))</f>
        <v>0.03</v>
      </c>
      <c r="T1051" s="18" t="n">
        <f aca="false">MAX(ABS(E1051),ABS(F1051))</f>
        <v>0</v>
      </c>
      <c r="U1051" s="18" t="n">
        <f aca="false">MAX(ABS(L1051),ABS(M1051))</f>
        <v>0</v>
      </c>
    </row>
    <row r="1052" customFormat="false" ht="15" hidden="false" customHeight="false" outlineLevel="0" collapsed="false">
      <c r="A1052" s="4" t="n">
        <v>434</v>
      </c>
      <c r="B1052" s="4" t="n">
        <v>222</v>
      </c>
      <c r="C1052" s="18" t="n">
        <v>0.5</v>
      </c>
      <c r="D1052" s="21" t="n">
        <v>0</v>
      </c>
      <c r="E1052" s="21" t="n">
        <v>0</v>
      </c>
      <c r="F1052" s="21" t="n">
        <v>0</v>
      </c>
      <c r="G1052" s="21" t="n">
        <v>-0.01</v>
      </c>
      <c r="H1052" s="21" t="n">
        <v>0.01</v>
      </c>
      <c r="I1052" s="21" t="n">
        <v>0.02</v>
      </c>
      <c r="J1052" s="21" t="n">
        <v>-0.01</v>
      </c>
      <c r="K1052" s="21" t="n">
        <v>0</v>
      </c>
      <c r="L1052" s="21" t="n">
        <v>0</v>
      </c>
      <c r="M1052" s="21" t="n">
        <v>0</v>
      </c>
      <c r="N1052" s="21" t="n">
        <v>-0.01</v>
      </c>
      <c r="O1052" s="21" t="n">
        <v>0.01</v>
      </c>
      <c r="P1052" s="21" t="n">
        <v>0.02</v>
      </c>
      <c r="Q1052" s="21" t="n">
        <v>-0.01</v>
      </c>
      <c r="R1052" s="18" t="n">
        <f aca="false">ABS(D1052)+MAX(ABS(G1052),ABS(H1052))+MAX(ABS(I1052),ABS(J1052))</f>
        <v>0.03</v>
      </c>
      <c r="S1052" s="18" t="n">
        <f aca="false">ABS(K1052)+MAX(ABS(N1052),ABS(O1052))+MAX(ABS(P1052),ABS(Q1052))</f>
        <v>0.03</v>
      </c>
      <c r="T1052" s="18" t="n">
        <f aca="false">MAX(ABS(E1052),ABS(F1052))</f>
        <v>0</v>
      </c>
      <c r="U1052" s="18" t="n">
        <f aca="false">MAX(ABS(L1052),ABS(M1052))</f>
        <v>0</v>
      </c>
    </row>
    <row r="1053" customFormat="false" ht="15" hidden="false" customHeight="false" outlineLevel="0" collapsed="false">
      <c r="A1053" s="4" t="n">
        <v>434</v>
      </c>
      <c r="B1053" s="4" t="n">
        <v>222</v>
      </c>
      <c r="C1053" s="18" t="n">
        <v>0.75</v>
      </c>
      <c r="D1053" s="21" t="n">
        <v>0</v>
      </c>
      <c r="E1053" s="21" t="n">
        <v>0</v>
      </c>
      <c r="F1053" s="21" t="n">
        <v>0</v>
      </c>
      <c r="G1053" s="21" t="n">
        <v>0</v>
      </c>
      <c r="H1053" s="21" t="n">
        <v>0</v>
      </c>
      <c r="I1053" s="21" t="n">
        <v>0.03</v>
      </c>
      <c r="J1053" s="21" t="n">
        <v>-0.01</v>
      </c>
      <c r="K1053" s="21" t="n">
        <v>0</v>
      </c>
      <c r="L1053" s="21" t="n">
        <v>0</v>
      </c>
      <c r="M1053" s="21" t="n">
        <v>0</v>
      </c>
      <c r="N1053" s="21" t="n">
        <v>0</v>
      </c>
      <c r="O1053" s="21" t="n">
        <v>0</v>
      </c>
      <c r="P1053" s="21" t="n">
        <v>0.03</v>
      </c>
      <c r="Q1053" s="21" t="n">
        <v>-0.01</v>
      </c>
      <c r="R1053" s="18" t="n">
        <f aca="false">ABS(D1053)+MAX(ABS(G1053),ABS(H1053))+MAX(ABS(I1053),ABS(J1053))</f>
        <v>0.03</v>
      </c>
      <c r="S1053" s="18" t="n">
        <f aca="false">ABS(K1053)+MAX(ABS(N1053),ABS(O1053))+MAX(ABS(P1053),ABS(Q1053))</f>
        <v>0.03</v>
      </c>
      <c r="T1053" s="18" t="n">
        <f aca="false">MAX(ABS(E1053),ABS(F1053))</f>
        <v>0</v>
      </c>
      <c r="U1053" s="18" t="n">
        <f aca="false">MAX(ABS(L1053),ABS(M1053))</f>
        <v>0</v>
      </c>
    </row>
    <row r="1054" customFormat="false" ht="15" hidden="false" customHeight="false" outlineLevel="0" collapsed="false">
      <c r="A1054" s="4" t="n">
        <v>434</v>
      </c>
      <c r="B1054" s="4" t="n">
        <v>222</v>
      </c>
      <c r="C1054" s="18" t="n">
        <v>1</v>
      </c>
      <c r="D1054" s="21" t="n">
        <v>0</v>
      </c>
      <c r="E1054" s="21" t="n">
        <v>0</v>
      </c>
      <c r="F1054" s="21" t="n">
        <v>0</v>
      </c>
      <c r="G1054" s="21" t="n">
        <v>0.01</v>
      </c>
      <c r="H1054" s="21" t="n">
        <v>-0.01</v>
      </c>
      <c r="I1054" s="21" t="n">
        <v>0.05</v>
      </c>
      <c r="J1054" s="21" t="n">
        <v>-0.02</v>
      </c>
      <c r="K1054" s="21" t="n">
        <v>0</v>
      </c>
      <c r="L1054" s="21" t="n">
        <v>0</v>
      </c>
      <c r="M1054" s="21" t="n">
        <v>0</v>
      </c>
      <c r="N1054" s="21" t="n">
        <v>0.01</v>
      </c>
      <c r="O1054" s="21" t="n">
        <v>-0.01</v>
      </c>
      <c r="P1054" s="21" t="n">
        <v>0.05</v>
      </c>
      <c r="Q1054" s="21" t="n">
        <v>-0.02</v>
      </c>
      <c r="R1054" s="18" t="n">
        <f aca="false">ABS(D1054)+MAX(ABS(G1054),ABS(H1054))+MAX(ABS(I1054),ABS(J1054))</f>
        <v>0.06</v>
      </c>
      <c r="S1054" s="18" t="n">
        <f aca="false">ABS(K1054)+MAX(ABS(N1054),ABS(O1054))+MAX(ABS(P1054),ABS(Q1054))</f>
        <v>0.06</v>
      </c>
      <c r="T1054" s="18" t="n">
        <f aca="false">MAX(ABS(E1054),ABS(F1054))</f>
        <v>0</v>
      </c>
      <c r="U1054" s="18" t="n">
        <f aca="false">MAX(ABS(L1054),ABS(M1054))</f>
        <v>0</v>
      </c>
    </row>
    <row r="1055" customFormat="false" ht="15" hidden="false" customHeight="false" outlineLevel="0" collapsed="false">
      <c r="A1055" s="4" t="n">
        <v>435</v>
      </c>
      <c r="B1055" s="4" t="n">
        <v>223</v>
      </c>
      <c r="C1055" s="18" t="n">
        <v>0</v>
      </c>
      <c r="D1055" s="21" t="n">
        <v>0</v>
      </c>
      <c r="E1055" s="21" t="n">
        <v>0</v>
      </c>
      <c r="F1055" s="21" t="n">
        <v>0</v>
      </c>
      <c r="G1055" s="21" t="n">
        <v>-0.02</v>
      </c>
      <c r="H1055" s="21" t="n">
        <v>0.02</v>
      </c>
      <c r="I1055" s="21" t="n">
        <v>0</v>
      </c>
      <c r="J1055" s="21" t="n">
        <v>0</v>
      </c>
      <c r="K1055" s="21" t="n">
        <v>0</v>
      </c>
      <c r="L1055" s="21" t="n">
        <v>0</v>
      </c>
      <c r="M1055" s="21" t="n">
        <v>0</v>
      </c>
      <c r="N1055" s="21" t="n">
        <v>-0.02</v>
      </c>
      <c r="O1055" s="21" t="n">
        <v>0.02</v>
      </c>
      <c r="P1055" s="21" t="n">
        <v>0</v>
      </c>
      <c r="Q1055" s="21" t="n">
        <v>0</v>
      </c>
      <c r="R1055" s="18" t="n">
        <f aca="false">ABS(D1055)+MAX(ABS(G1055),ABS(H1055))+MAX(ABS(I1055),ABS(J1055))</f>
        <v>0.02</v>
      </c>
      <c r="S1055" s="18" t="n">
        <f aca="false">ABS(K1055)+MAX(ABS(N1055),ABS(O1055))+MAX(ABS(P1055),ABS(Q1055))</f>
        <v>0.02</v>
      </c>
      <c r="T1055" s="18" t="n">
        <f aca="false">MAX(ABS(E1055),ABS(F1055))</f>
        <v>0</v>
      </c>
      <c r="U1055" s="18" t="n">
        <f aca="false">MAX(ABS(L1055),ABS(M1055))</f>
        <v>0</v>
      </c>
    </row>
    <row r="1056" customFormat="false" ht="15" hidden="false" customHeight="false" outlineLevel="0" collapsed="false">
      <c r="A1056" s="4" t="n">
        <v>435</v>
      </c>
      <c r="B1056" s="4" t="n">
        <v>223</v>
      </c>
      <c r="C1056" s="18" t="n">
        <v>0.25</v>
      </c>
      <c r="D1056" s="21" t="n">
        <v>0</v>
      </c>
      <c r="E1056" s="21" t="n">
        <v>0</v>
      </c>
      <c r="F1056" s="21" t="n">
        <v>0</v>
      </c>
      <c r="G1056" s="21" t="n">
        <v>-0.01</v>
      </c>
      <c r="H1056" s="21" t="n">
        <v>0.01</v>
      </c>
      <c r="I1056" s="21" t="n">
        <v>0.01</v>
      </c>
      <c r="J1056" s="21" t="n">
        <v>-0.01</v>
      </c>
      <c r="K1056" s="21" t="n">
        <v>0</v>
      </c>
      <c r="L1056" s="21" t="n">
        <v>0</v>
      </c>
      <c r="M1056" s="21" t="n">
        <v>0</v>
      </c>
      <c r="N1056" s="21" t="n">
        <v>-0.01</v>
      </c>
      <c r="O1056" s="21" t="n">
        <v>0.01</v>
      </c>
      <c r="P1056" s="21" t="n">
        <v>0.01</v>
      </c>
      <c r="Q1056" s="21" t="n">
        <v>-0.01</v>
      </c>
      <c r="R1056" s="18" t="n">
        <f aca="false">ABS(D1056)+MAX(ABS(G1056),ABS(H1056))+MAX(ABS(I1056),ABS(J1056))</f>
        <v>0.02</v>
      </c>
      <c r="S1056" s="18" t="n">
        <f aca="false">ABS(K1056)+MAX(ABS(N1056),ABS(O1056))+MAX(ABS(P1056),ABS(Q1056))</f>
        <v>0.02</v>
      </c>
      <c r="T1056" s="18" t="n">
        <f aca="false">MAX(ABS(E1056),ABS(F1056))</f>
        <v>0</v>
      </c>
      <c r="U1056" s="18" t="n">
        <f aca="false">MAX(ABS(L1056),ABS(M1056))</f>
        <v>0</v>
      </c>
    </row>
    <row r="1057" customFormat="false" ht="15" hidden="false" customHeight="false" outlineLevel="0" collapsed="false">
      <c r="A1057" s="4" t="n">
        <v>435</v>
      </c>
      <c r="B1057" s="4" t="n">
        <v>223</v>
      </c>
      <c r="C1057" s="18" t="n">
        <v>0.5</v>
      </c>
      <c r="D1057" s="21" t="n">
        <v>0</v>
      </c>
      <c r="E1057" s="21" t="n">
        <v>0</v>
      </c>
      <c r="F1057" s="21" t="n">
        <v>0</v>
      </c>
      <c r="G1057" s="21" t="n">
        <v>0</v>
      </c>
      <c r="H1057" s="21" t="n">
        <v>0</v>
      </c>
      <c r="I1057" s="21" t="n">
        <v>0.03</v>
      </c>
      <c r="J1057" s="21" t="n">
        <v>-0.01</v>
      </c>
      <c r="K1057" s="21" t="n">
        <v>0</v>
      </c>
      <c r="L1057" s="21" t="n">
        <v>0</v>
      </c>
      <c r="M1057" s="21" t="n">
        <v>0</v>
      </c>
      <c r="N1057" s="21" t="n">
        <v>0</v>
      </c>
      <c r="O1057" s="21" t="n">
        <v>0</v>
      </c>
      <c r="P1057" s="21" t="n">
        <v>0.02</v>
      </c>
      <c r="Q1057" s="21" t="n">
        <v>-0.01</v>
      </c>
      <c r="R1057" s="18" t="n">
        <f aca="false">ABS(D1057)+MAX(ABS(G1057),ABS(H1057))+MAX(ABS(I1057),ABS(J1057))</f>
        <v>0.03</v>
      </c>
      <c r="S1057" s="18" t="n">
        <f aca="false">ABS(K1057)+MAX(ABS(N1057),ABS(O1057))+MAX(ABS(P1057),ABS(Q1057))</f>
        <v>0.02</v>
      </c>
      <c r="T1057" s="18" t="n">
        <f aca="false">MAX(ABS(E1057),ABS(F1057))</f>
        <v>0</v>
      </c>
      <c r="U1057" s="18" t="n">
        <f aca="false">MAX(ABS(L1057),ABS(M1057))</f>
        <v>0</v>
      </c>
    </row>
    <row r="1058" customFormat="false" ht="15" hidden="false" customHeight="false" outlineLevel="0" collapsed="false">
      <c r="A1058" s="4" t="n">
        <v>435</v>
      </c>
      <c r="B1058" s="4" t="n">
        <v>223</v>
      </c>
      <c r="C1058" s="18" t="n">
        <v>0.75</v>
      </c>
      <c r="D1058" s="21" t="n">
        <v>0</v>
      </c>
      <c r="E1058" s="21" t="n">
        <v>0</v>
      </c>
      <c r="F1058" s="21" t="n">
        <v>0</v>
      </c>
      <c r="G1058" s="21" t="n">
        <v>0</v>
      </c>
      <c r="H1058" s="21" t="n">
        <v>0</v>
      </c>
      <c r="I1058" s="21" t="n">
        <v>0.04</v>
      </c>
      <c r="J1058" s="21" t="n">
        <v>-0.02</v>
      </c>
      <c r="K1058" s="21" t="n">
        <v>0</v>
      </c>
      <c r="L1058" s="21" t="n">
        <v>0</v>
      </c>
      <c r="M1058" s="21" t="n">
        <v>0</v>
      </c>
      <c r="N1058" s="21" t="n">
        <v>0</v>
      </c>
      <c r="O1058" s="21" t="n">
        <v>0</v>
      </c>
      <c r="P1058" s="21" t="n">
        <v>0.04</v>
      </c>
      <c r="Q1058" s="21" t="n">
        <v>-0.02</v>
      </c>
      <c r="R1058" s="18" t="n">
        <f aca="false">ABS(D1058)+MAX(ABS(G1058),ABS(H1058))+MAX(ABS(I1058),ABS(J1058))</f>
        <v>0.04</v>
      </c>
      <c r="S1058" s="18" t="n">
        <f aca="false">ABS(K1058)+MAX(ABS(N1058),ABS(O1058))+MAX(ABS(P1058),ABS(Q1058))</f>
        <v>0.04</v>
      </c>
      <c r="T1058" s="18" t="n">
        <f aca="false">MAX(ABS(E1058),ABS(F1058))</f>
        <v>0</v>
      </c>
      <c r="U1058" s="18" t="n">
        <f aca="false">MAX(ABS(L1058),ABS(M1058))</f>
        <v>0</v>
      </c>
    </row>
    <row r="1059" customFormat="false" ht="15" hidden="false" customHeight="false" outlineLevel="0" collapsed="false">
      <c r="A1059" s="4" t="n">
        <v>435</v>
      </c>
      <c r="B1059" s="4" t="n">
        <v>223</v>
      </c>
      <c r="C1059" s="18" t="n">
        <v>1</v>
      </c>
      <c r="D1059" s="21" t="n">
        <v>0</v>
      </c>
      <c r="E1059" s="21" t="n">
        <v>0</v>
      </c>
      <c r="F1059" s="21" t="n">
        <v>0</v>
      </c>
      <c r="G1059" s="21" t="n">
        <v>0.01</v>
      </c>
      <c r="H1059" s="21" t="n">
        <v>-0.01</v>
      </c>
      <c r="I1059" s="21" t="n">
        <v>0.05</v>
      </c>
      <c r="J1059" s="21" t="n">
        <v>-0.02</v>
      </c>
      <c r="K1059" s="21" t="n">
        <v>0</v>
      </c>
      <c r="L1059" s="21" t="n">
        <v>0</v>
      </c>
      <c r="M1059" s="21" t="n">
        <v>0</v>
      </c>
      <c r="N1059" s="21" t="n">
        <v>0.01</v>
      </c>
      <c r="O1059" s="21" t="n">
        <v>-0.01</v>
      </c>
      <c r="P1059" s="21" t="n">
        <v>0.05</v>
      </c>
      <c r="Q1059" s="21" t="n">
        <v>-0.02</v>
      </c>
      <c r="R1059" s="18" t="n">
        <f aca="false">ABS(D1059)+MAX(ABS(G1059),ABS(H1059))+MAX(ABS(I1059),ABS(J1059))</f>
        <v>0.06</v>
      </c>
      <c r="S1059" s="18" t="n">
        <f aca="false">ABS(K1059)+MAX(ABS(N1059),ABS(O1059))+MAX(ABS(P1059),ABS(Q1059))</f>
        <v>0.06</v>
      </c>
      <c r="T1059" s="18" t="n">
        <f aca="false">MAX(ABS(E1059),ABS(F1059))</f>
        <v>0</v>
      </c>
      <c r="U1059" s="18" t="n">
        <f aca="false">MAX(ABS(L1059),ABS(M1059))</f>
        <v>0</v>
      </c>
    </row>
    <row r="1060" customFormat="false" ht="15" hidden="false" customHeight="false" outlineLevel="0" collapsed="false">
      <c r="A1060" s="4" t="n">
        <v>436</v>
      </c>
      <c r="B1060" s="4" t="n">
        <v>224</v>
      </c>
      <c r="C1060" s="18" t="n">
        <v>0</v>
      </c>
      <c r="D1060" s="21" t="n">
        <v>0</v>
      </c>
      <c r="E1060" s="21" t="n">
        <v>0</v>
      </c>
      <c r="F1060" s="21" t="n">
        <v>0</v>
      </c>
      <c r="G1060" s="21" t="n">
        <v>-0.01</v>
      </c>
      <c r="H1060" s="21" t="n">
        <v>0.01</v>
      </c>
      <c r="I1060" s="21" t="n">
        <v>0</v>
      </c>
      <c r="J1060" s="21" t="n">
        <v>0</v>
      </c>
      <c r="K1060" s="21" t="n">
        <v>0</v>
      </c>
      <c r="L1060" s="21" t="n">
        <v>0</v>
      </c>
      <c r="M1060" s="21" t="n">
        <v>0</v>
      </c>
      <c r="N1060" s="21" t="n">
        <v>-0.01</v>
      </c>
      <c r="O1060" s="21" t="n">
        <v>0.01</v>
      </c>
      <c r="P1060" s="21" t="n">
        <v>0</v>
      </c>
      <c r="Q1060" s="21" t="n">
        <v>0</v>
      </c>
      <c r="R1060" s="18" t="n">
        <f aca="false">ABS(D1060)+MAX(ABS(G1060),ABS(H1060))+MAX(ABS(I1060),ABS(J1060))</f>
        <v>0.01</v>
      </c>
      <c r="S1060" s="18" t="n">
        <f aca="false">ABS(K1060)+MAX(ABS(N1060),ABS(O1060))+MAX(ABS(P1060),ABS(Q1060))</f>
        <v>0.01</v>
      </c>
      <c r="T1060" s="18" t="n">
        <f aca="false">MAX(ABS(E1060),ABS(F1060))</f>
        <v>0</v>
      </c>
      <c r="U1060" s="18" t="n">
        <f aca="false">MAX(ABS(L1060),ABS(M1060))</f>
        <v>0</v>
      </c>
    </row>
    <row r="1061" customFormat="false" ht="15" hidden="false" customHeight="false" outlineLevel="0" collapsed="false">
      <c r="A1061" s="4" t="n">
        <v>436</v>
      </c>
      <c r="B1061" s="4" t="n">
        <v>224</v>
      </c>
      <c r="C1061" s="18" t="n">
        <v>0.25</v>
      </c>
      <c r="D1061" s="21" t="n">
        <v>0</v>
      </c>
      <c r="E1061" s="21" t="n">
        <v>0</v>
      </c>
      <c r="F1061" s="21" t="n">
        <v>0</v>
      </c>
      <c r="G1061" s="21" t="n">
        <v>0</v>
      </c>
      <c r="H1061" s="21" t="n">
        <v>0</v>
      </c>
      <c r="I1061" s="21" t="n">
        <v>0.01</v>
      </c>
      <c r="J1061" s="21" t="n">
        <v>0</v>
      </c>
      <c r="K1061" s="21" t="n">
        <v>0</v>
      </c>
      <c r="L1061" s="21" t="n">
        <v>0</v>
      </c>
      <c r="M1061" s="21" t="n">
        <v>0</v>
      </c>
      <c r="N1061" s="21" t="n">
        <v>-0.01</v>
      </c>
      <c r="O1061" s="21" t="n">
        <v>0.01</v>
      </c>
      <c r="P1061" s="21" t="n">
        <v>0.01</v>
      </c>
      <c r="Q1061" s="21" t="n">
        <v>0</v>
      </c>
      <c r="R1061" s="18" t="n">
        <f aca="false">ABS(D1061)+MAX(ABS(G1061),ABS(H1061))+MAX(ABS(I1061),ABS(J1061))</f>
        <v>0.01</v>
      </c>
      <c r="S1061" s="18" t="n">
        <f aca="false">ABS(K1061)+MAX(ABS(N1061),ABS(O1061))+MAX(ABS(P1061),ABS(Q1061))</f>
        <v>0.02</v>
      </c>
      <c r="T1061" s="18" t="n">
        <f aca="false">MAX(ABS(E1061),ABS(F1061))</f>
        <v>0</v>
      </c>
      <c r="U1061" s="18" t="n">
        <f aca="false">MAX(ABS(L1061),ABS(M1061))</f>
        <v>0</v>
      </c>
    </row>
    <row r="1062" customFormat="false" ht="15" hidden="false" customHeight="false" outlineLevel="0" collapsed="false">
      <c r="A1062" s="4" t="n">
        <v>436</v>
      </c>
      <c r="B1062" s="4" t="n">
        <v>224</v>
      </c>
      <c r="C1062" s="18" t="n">
        <v>0.5</v>
      </c>
      <c r="D1062" s="21" t="n">
        <v>0</v>
      </c>
      <c r="E1062" s="21" t="n">
        <v>0</v>
      </c>
      <c r="F1062" s="21" t="n">
        <v>0</v>
      </c>
      <c r="G1062" s="21" t="n">
        <v>0</v>
      </c>
      <c r="H1062" s="21" t="n">
        <v>0</v>
      </c>
      <c r="I1062" s="21" t="n">
        <v>0.02</v>
      </c>
      <c r="J1062" s="21" t="n">
        <v>-0.01</v>
      </c>
      <c r="K1062" s="21" t="n">
        <v>0</v>
      </c>
      <c r="L1062" s="21" t="n">
        <v>0</v>
      </c>
      <c r="M1062" s="21" t="n">
        <v>0</v>
      </c>
      <c r="N1062" s="21" t="n">
        <v>0</v>
      </c>
      <c r="O1062" s="21" t="n">
        <v>0</v>
      </c>
      <c r="P1062" s="21" t="n">
        <v>0.02</v>
      </c>
      <c r="Q1062" s="21" t="n">
        <v>-0.01</v>
      </c>
      <c r="R1062" s="18" t="n">
        <f aca="false">ABS(D1062)+MAX(ABS(G1062),ABS(H1062))+MAX(ABS(I1062),ABS(J1062))</f>
        <v>0.02</v>
      </c>
      <c r="S1062" s="18" t="n">
        <f aca="false">ABS(K1062)+MAX(ABS(N1062),ABS(O1062))+MAX(ABS(P1062),ABS(Q1062))</f>
        <v>0.02</v>
      </c>
      <c r="T1062" s="18" t="n">
        <f aca="false">MAX(ABS(E1062),ABS(F1062))</f>
        <v>0</v>
      </c>
      <c r="U1062" s="18" t="n">
        <f aca="false">MAX(ABS(L1062),ABS(M1062))</f>
        <v>0</v>
      </c>
    </row>
    <row r="1063" customFormat="false" ht="15" hidden="false" customHeight="false" outlineLevel="0" collapsed="false">
      <c r="A1063" s="4" t="n">
        <v>436</v>
      </c>
      <c r="B1063" s="4" t="n">
        <v>224</v>
      </c>
      <c r="C1063" s="18" t="n">
        <v>0.75</v>
      </c>
      <c r="D1063" s="21" t="n">
        <v>0</v>
      </c>
      <c r="E1063" s="21" t="n">
        <v>0</v>
      </c>
      <c r="F1063" s="21" t="n">
        <v>0</v>
      </c>
      <c r="G1063" s="21" t="n">
        <v>0</v>
      </c>
      <c r="H1063" s="21" t="n">
        <v>0</v>
      </c>
      <c r="I1063" s="21" t="n">
        <v>0.03</v>
      </c>
      <c r="J1063" s="21" t="n">
        <v>-0.01</v>
      </c>
      <c r="K1063" s="21" t="n">
        <v>0</v>
      </c>
      <c r="L1063" s="21" t="n">
        <v>0</v>
      </c>
      <c r="M1063" s="21" t="n">
        <v>0</v>
      </c>
      <c r="N1063" s="21" t="n">
        <v>0</v>
      </c>
      <c r="O1063" s="21" t="n">
        <v>0</v>
      </c>
      <c r="P1063" s="21" t="n">
        <v>0.03</v>
      </c>
      <c r="Q1063" s="21" t="n">
        <v>-0.01</v>
      </c>
      <c r="R1063" s="18" t="n">
        <f aca="false">ABS(D1063)+MAX(ABS(G1063),ABS(H1063))+MAX(ABS(I1063),ABS(J1063))</f>
        <v>0.03</v>
      </c>
      <c r="S1063" s="18" t="n">
        <f aca="false">ABS(K1063)+MAX(ABS(N1063),ABS(O1063))+MAX(ABS(P1063),ABS(Q1063))</f>
        <v>0.03</v>
      </c>
      <c r="T1063" s="18" t="n">
        <f aca="false">MAX(ABS(E1063),ABS(F1063))</f>
        <v>0</v>
      </c>
      <c r="U1063" s="18" t="n">
        <f aca="false">MAX(ABS(L1063),ABS(M1063))</f>
        <v>0</v>
      </c>
    </row>
    <row r="1064" customFormat="false" ht="15" hidden="false" customHeight="false" outlineLevel="0" collapsed="false">
      <c r="A1064" s="4" t="n">
        <v>436</v>
      </c>
      <c r="B1064" s="4" t="n">
        <v>224</v>
      </c>
      <c r="C1064" s="18" t="n">
        <v>1</v>
      </c>
      <c r="D1064" s="21" t="n">
        <v>0</v>
      </c>
      <c r="E1064" s="21" t="n">
        <v>0</v>
      </c>
      <c r="F1064" s="21" t="n">
        <v>0</v>
      </c>
      <c r="G1064" s="21" t="n">
        <v>0</v>
      </c>
      <c r="H1064" s="21" t="n">
        <v>0</v>
      </c>
      <c r="I1064" s="21" t="n">
        <v>0.04</v>
      </c>
      <c r="J1064" s="21" t="n">
        <v>-0.02</v>
      </c>
      <c r="K1064" s="21" t="n">
        <v>0</v>
      </c>
      <c r="L1064" s="21" t="n">
        <v>0</v>
      </c>
      <c r="M1064" s="21" t="n">
        <v>0</v>
      </c>
      <c r="N1064" s="21" t="n">
        <v>0</v>
      </c>
      <c r="O1064" s="21" t="n">
        <v>0</v>
      </c>
      <c r="P1064" s="21" t="n">
        <v>0.04</v>
      </c>
      <c r="Q1064" s="21" t="n">
        <v>-0.02</v>
      </c>
      <c r="R1064" s="18" t="n">
        <f aca="false">ABS(D1064)+MAX(ABS(G1064),ABS(H1064))+MAX(ABS(I1064),ABS(J1064))</f>
        <v>0.04</v>
      </c>
      <c r="S1064" s="18" t="n">
        <f aca="false">ABS(K1064)+MAX(ABS(N1064),ABS(O1064))+MAX(ABS(P1064),ABS(Q1064))</f>
        <v>0.04</v>
      </c>
      <c r="T1064" s="18" t="n">
        <f aca="false">MAX(ABS(E1064),ABS(F1064))</f>
        <v>0</v>
      </c>
      <c r="U1064" s="18" t="n">
        <f aca="false">MAX(ABS(L1064),ABS(M1064))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11" min="6" style="0" width="9"/>
    <col collapsed="false" customWidth="true" hidden="false" outlineLevel="0" max="14" min="12" style="0" width="10"/>
    <col collapsed="false" customWidth="true" hidden="false" outlineLevel="0" max="16" min="15" style="0" width="9"/>
    <col collapsed="false" customWidth="true" hidden="false" outlineLevel="0" max="18" min="17" style="0" width="12"/>
    <col collapsed="false" customWidth="true" hidden="false" outlineLevel="0" max="19" min="19" style="0" width="10"/>
    <col collapsed="false" customWidth="true" hidden="false" outlineLevel="0" max="20" min="20" style="0" width="9"/>
  </cols>
  <sheetData>
    <row r="1" customFormat="false" ht="17.35" hidden="false" customHeight="false" outlineLevel="0" collapsed="false">
      <c r="A1" s="1" t="s">
        <v>549</v>
      </c>
    </row>
    <row r="2" customFormat="false" ht="15" hidden="false" customHeight="false" outlineLevel="0" collapsed="false">
      <c r="A2" s="2" t="s">
        <v>550</v>
      </c>
    </row>
    <row r="4" customFormat="false" ht="42" hidden="false" customHeight="true" outlineLevel="0" collapsed="false">
      <c r="A4" s="17" t="s">
        <v>55</v>
      </c>
      <c r="B4" s="17" t="s">
        <v>56</v>
      </c>
      <c r="C4" s="17" t="s">
        <v>57</v>
      </c>
      <c r="D4" s="17" t="s">
        <v>551</v>
      </c>
      <c r="E4" s="17" t="s">
        <v>552</v>
      </c>
      <c r="F4" s="17" t="s">
        <v>553</v>
      </c>
      <c r="G4" s="17" t="s">
        <v>547</v>
      </c>
      <c r="H4" s="17" t="s">
        <v>545</v>
      </c>
      <c r="I4" s="17" t="s">
        <v>554</v>
      </c>
      <c r="J4" s="17" t="s">
        <v>548</v>
      </c>
      <c r="K4" s="17" t="s">
        <v>546</v>
      </c>
      <c r="L4" s="17" t="s">
        <v>555</v>
      </c>
      <c r="M4" s="17" t="s">
        <v>556</v>
      </c>
      <c r="N4" s="17" t="s">
        <v>557</v>
      </c>
      <c r="O4" s="17" t="s">
        <v>558</v>
      </c>
      <c r="P4" s="17" t="s">
        <v>559</v>
      </c>
      <c r="Q4" s="17" t="s">
        <v>560</v>
      </c>
      <c r="R4" s="17" t="s">
        <v>561</v>
      </c>
      <c r="S4" s="17" t="s">
        <v>562</v>
      </c>
      <c r="T4" s="17" t="s">
        <v>563</v>
      </c>
    </row>
    <row r="5" customFormat="false" ht="15" hidden="false" customHeight="false" outlineLevel="0" collapsed="false">
      <c r="A5" s="4" t="n">
        <v>234</v>
      </c>
      <c r="B5" s="4" t="n">
        <v>11</v>
      </c>
      <c r="C5" s="4" t="s">
        <v>85</v>
      </c>
      <c r="D5" s="4" t="s">
        <v>564</v>
      </c>
      <c r="E5" s="18" t="n">
        <v>0.28</v>
      </c>
      <c r="F5" s="18" t="n">
        <f aca="false">SUMPRODUCT(MAX((Estaciones!$A$5:$A$1064=A5)*ABS(Estaciones!$D$5:$D$1064)))</f>
        <v>0</v>
      </c>
      <c r="G5" s="18" t="n">
        <f aca="false">_xlfn.MAXIFS(Estaciones!$T$5:$T$1064,Estaciones!$A$5:$A$1064,A5)</f>
        <v>0</v>
      </c>
      <c r="H5" s="18" t="n">
        <f aca="false">_xlfn.MAXIFS(Estaciones!$R$5:$R$1064,Estaciones!$A$5:$A$1064,A5)</f>
        <v>0.01</v>
      </c>
      <c r="I5" s="18" t="n">
        <f aca="false">SUMPRODUCT(MAX((Estaciones!$A$5:$A$1064=A5)*ABS(Estaciones!$K$5:$K$1064)))</f>
        <v>0</v>
      </c>
      <c r="J5" s="18" t="n">
        <f aca="false">_xlfn.MAXIFS(Estaciones!$U$5:$U$1064,Estaciones!$A$5:$A$1064,A5)</f>
        <v>0.01</v>
      </c>
      <c r="K5" s="18" t="n">
        <f aca="false">_xlfn.MAXIFS(Estaciones!$S$5:$S$1064,Estaciones!$A$5:$A$1064,A5)</f>
        <v>0.02</v>
      </c>
      <c r="L5" s="13" t="n">
        <f aca="false">H5/Resumen!$B$10</f>
        <v>0.00658761528326746</v>
      </c>
      <c r="M5" s="13" t="n">
        <f aca="false">K5/Resumen!$B$10</f>
        <v>0.0131752305665349</v>
      </c>
      <c r="N5" s="22" t="n">
        <f aca="false">M5-L5</f>
        <v>0.00658761528326746</v>
      </c>
      <c r="O5" s="13" t="n">
        <f aca="false">G5/Resumen!$B$11</f>
        <v>0</v>
      </c>
      <c r="P5" s="13" t="n">
        <f aca="false">J5/Resumen!$B$11</f>
        <v>0.00988142292490119</v>
      </c>
      <c r="Q5" s="4" t="str">
        <f aca="false">IF(S5&gt;=Resumen!$B$8,"AUMENTA",IF(S5&lt;=-Resumen!$B$8,"DISMINUYE","SIN CAMBIO"))</f>
        <v>SIN CAMBIO</v>
      </c>
      <c r="R5" s="4" t="str">
        <f aca="false">IF(AND(M5&lt;=1,P5&lt;=1),"CUMPLE","NO CUMPLE")</f>
        <v>CUMPLE</v>
      </c>
      <c r="S5" s="23" t="n">
        <f aca="false">K5-H5</f>
        <v>0.01</v>
      </c>
      <c r="T5" s="12" t="n">
        <f aca="false">IF(H5&lt;0.005,"-",K5/H5-1)</f>
        <v>1</v>
      </c>
    </row>
    <row r="6" customFormat="false" ht="15" hidden="false" customHeight="false" outlineLevel="0" collapsed="false">
      <c r="A6" s="4" t="n">
        <v>235</v>
      </c>
      <c r="B6" s="4" t="n">
        <v>12</v>
      </c>
      <c r="C6" s="4" t="s">
        <v>85</v>
      </c>
      <c r="D6" s="4" t="s">
        <v>564</v>
      </c>
      <c r="E6" s="18" t="n">
        <v>0.28</v>
      </c>
      <c r="F6" s="18" t="n">
        <f aca="false">SUMPRODUCT(MAX((Estaciones!$A$5:$A$1064=A6)*ABS(Estaciones!$D$5:$D$1064)))</f>
        <v>0</v>
      </c>
      <c r="G6" s="18" t="n">
        <f aca="false">_xlfn.MAXIFS(Estaciones!$T$5:$T$1064,Estaciones!$A$5:$A$1064,A6)</f>
        <v>0.05</v>
      </c>
      <c r="H6" s="18" t="n">
        <f aca="false">_xlfn.MAXIFS(Estaciones!$R$5:$R$1064,Estaciones!$A$5:$A$1064,A6)</f>
        <v>0.32</v>
      </c>
      <c r="I6" s="18" t="n">
        <f aca="false">SUMPRODUCT(MAX((Estaciones!$A$5:$A$1064=A6)*ABS(Estaciones!$K$5:$K$1064)))</f>
        <v>0</v>
      </c>
      <c r="J6" s="18" t="n">
        <f aca="false">_xlfn.MAXIFS(Estaciones!$U$5:$U$1064,Estaciones!$A$5:$A$1064,A6)</f>
        <v>0.05</v>
      </c>
      <c r="K6" s="18" t="n">
        <f aca="false">_xlfn.MAXIFS(Estaciones!$S$5:$S$1064,Estaciones!$A$5:$A$1064,A6)</f>
        <v>0.35</v>
      </c>
      <c r="L6" s="13" t="n">
        <f aca="false">H6/Resumen!$B$10</f>
        <v>0.210803689064559</v>
      </c>
      <c r="M6" s="13" t="n">
        <f aca="false">K6/Resumen!$B$10</f>
        <v>0.230566534914361</v>
      </c>
      <c r="N6" s="22" t="n">
        <f aca="false">M6-L6</f>
        <v>0.0197628458498024</v>
      </c>
      <c r="O6" s="13" t="n">
        <f aca="false">G6/Resumen!$B$11</f>
        <v>0.0494071146245059</v>
      </c>
      <c r="P6" s="13" t="n">
        <f aca="false">J6/Resumen!$B$11</f>
        <v>0.0494071146245059</v>
      </c>
      <c r="Q6" s="4" t="str">
        <f aca="false">IF(S6&gt;=Resumen!$B$8,"AUMENTA",IF(S6&lt;=-Resumen!$B$8,"DISMINUYE","SIN CAMBIO"))</f>
        <v>AUMENTA</v>
      </c>
      <c r="R6" s="4" t="str">
        <f aca="false">IF(AND(M6&lt;=1,P6&lt;=1),"CUMPLE","NO CUMPLE")</f>
        <v>CUMPLE</v>
      </c>
      <c r="S6" s="23" t="n">
        <f aca="false">K6-H6</f>
        <v>0.03</v>
      </c>
      <c r="T6" s="12" t="n">
        <f aca="false">IF(H6&lt;0.005,"-",K6/H6-1)</f>
        <v>0.09375</v>
      </c>
    </row>
    <row r="7" customFormat="false" ht="15" hidden="false" customHeight="false" outlineLevel="0" collapsed="false">
      <c r="A7" s="4" t="n">
        <v>258</v>
      </c>
      <c r="B7" s="4" t="n">
        <v>35</v>
      </c>
      <c r="C7" s="4" t="s">
        <v>85</v>
      </c>
      <c r="D7" s="4" t="s">
        <v>564</v>
      </c>
      <c r="E7" s="18" t="n">
        <v>0.57</v>
      </c>
      <c r="F7" s="18" t="n">
        <f aca="false">SUMPRODUCT(MAX((Estaciones!$A$5:$A$1064=A7)*ABS(Estaciones!$D$5:$D$1064)))</f>
        <v>0</v>
      </c>
      <c r="G7" s="18" t="n">
        <f aca="false">_xlfn.MAXIFS(Estaciones!$T$5:$T$1064,Estaciones!$A$5:$A$1064,A7)</f>
        <v>0</v>
      </c>
      <c r="H7" s="18" t="n">
        <f aca="false">_xlfn.MAXIFS(Estaciones!$R$5:$R$1064,Estaciones!$A$5:$A$1064,A7)</f>
        <v>0.04</v>
      </c>
      <c r="I7" s="18" t="n">
        <f aca="false">SUMPRODUCT(MAX((Estaciones!$A$5:$A$1064=A7)*ABS(Estaciones!$K$5:$K$1064)))</f>
        <v>0</v>
      </c>
      <c r="J7" s="18" t="n">
        <f aca="false">_xlfn.MAXIFS(Estaciones!$U$5:$U$1064,Estaciones!$A$5:$A$1064,A7)</f>
        <v>0</v>
      </c>
      <c r="K7" s="18" t="n">
        <f aca="false">_xlfn.MAXIFS(Estaciones!$S$5:$S$1064,Estaciones!$A$5:$A$1064,A7)</f>
        <v>0.04</v>
      </c>
      <c r="L7" s="13" t="n">
        <f aca="false">H7/Resumen!$B$10</f>
        <v>0.0263504611330698</v>
      </c>
      <c r="M7" s="13" t="n">
        <f aca="false">K7/Resumen!$B$10</f>
        <v>0.0263504611330698</v>
      </c>
      <c r="N7" s="22" t="n">
        <f aca="false">M7-L7</f>
        <v>0</v>
      </c>
      <c r="O7" s="13" t="n">
        <f aca="false">G7/Resumen!$B$11</f>
        <v>0</v>
      </c>
      <c r="P7" s="13" t="n">
        <f aca="false">J7/Resumen!$B$11</f>
        <v>0</v>
      </c>
      <c r="Q7" s="4" t="str">
        <f aca="false">IF(S7&gt;=Resumen!$B$8,"AUMENTA",IF(S7&lt;=-Resumen!$B$8,"DISMINUYE","SIN CAMBIO"))</f>
        <v>SIN CAMBIO</v>
      </c>
      <c r="R7" s="4" t="str">
        <f aca="false">IF(AND(M7&lt;=1,P7&lt;=1),"CUMPLE","NO CUMPLE")</f>
        <v>CUMPLE</v>
      </c>
      <c r="S7" s="23" t="n">
        <f aca="false">K7-H7</f>
        <v>0</v>
      </c>
      <c r="T7" s="12" t="n">
        <f aca="false">IF(H7&lt;0.005,"-",K7/H7-1)</f>
        <v>0</v>
      </c>
    </row>
    <row r="8" customFormat="false" ht="15" hidden="false" customHeight="false" outlineLevel="0" collapsed="false">
      <c r="A8" s="4" t="n">
        <v>259</v>
      </c>
      <c r="B8" s="4" t="n">
        <v>36</v>
      </c>
      <c r="C8" s="4" t="s">
        <v>85</v>
      </c>
      <c r="D8" s="4" t="s">
        <v>564</v>
      </c>
      <c r="E8" s="18" t="n">
        <v>0.28</v>
      </c>
      <c r="F8" s="18" t="n">
        <f aca="false">SUMPRODUCT(MAX((Estaciones!$A$5:$A$1064=A8)*ABS(Estaciones!$D$5:$D$1064)))</f>
        <v>0</v>
      </c>
      <c r="G8" s="18" t="n">
        <f aca="false">_xlfn.MAXIFS(Estaciones!$T$5:$T$1064,Estaciones!$A$5:$A$1064,A8)</f>
        <v>0</v>
      </c>
      <c r="H8" s="18" t="n">
        <f aca="false">_xlfn.MAXIFS(Estaciones!$R$5:$R$1064,Estaciones!$A$5:$A$1064,A8)</f>
        <v>0.06</v>
      </c>
      <c r="I8" s="18" t="n">
        <f aca="false">SUMPRODUCT(MAX((Estaciones!$A$5:$A$1064=A8)*ABS(Estaciones!$K$5:$K$1064)))</f>
        <v>0</v>
      </c>
      <c r="J8" s="18" t="n">
        <f aca="false">_xlfn.MAXIFS(Estaciones!$U$5:$U$1064,Estaciones!$A$5:$A$1064,A8)</f>
        <v>0</v>
      </c>
      <c r="K8" s="18" t="n">
        <f aca="false">_xlfn.MAXIFS(Estaciones!$S$5:$S$1064,Estaciones!$A$5:$A$1064,A8)</f>
        <v>0.07</v>
      </c>
      <c r="L8" s="13" t="n">
        <f aca="false">H8/Resumen!$B$10</f>
        <v>0.0395256916996047</v>
      </c>
      <c r="M8" s="13" t="n">
        <f aca="false">K8/Resumen!$B$10</f>
        <v>0.0461133069828722</v>
      </c>
      <c r="N8" s="22" t="n">
        <f aca="false">M8-L8</f>
        <v>0.00658761528326746</v>
      </c>
      <c r="O8" s="13" t="n">
        <f aca="false">G8/Resumen!$B$11</f>
        <v>0</v>
      </c>
      <c r="P8" s="13" t="n">
        <f aca="false">J8/Resumen!$B$11</f>
        <v>0</v>
      </c>
      <c r="Q8" s="4" t="str">
        <f aca="false">IF(S8&gt;=Resumen!$B$8,"AUMENTA",IF(S8&lt;=-Resumen!$B$8,"DISMINUYE","SIN CAMBIO"))</f>
        <v>SIN CAMBIO</v>
      </c>
      <c r="R8" s="4" t="str">
        <f aca="false">IF(AND(M8&lt;=1,P8&lt;=1),"CUMPLE","NO CUMPLE")</f>
        <v>CUMPLE</v>
      </c>
      <c r="S8" s="23" t="n">
        <f aca="false">K8-H8</f>
        <v>0.01</v>
      </c>
      <c r="T8" s="12" t="n">
        <f aca="false">IF(H8&lt;0.005,"-",K8/H8-1)</f>
        <v>0.166666666666667</v>
      </c>
    </row>
    <row r="9" customFormat="false" ht="15" hidden="false" customHeight="false" outlineLevel="0" collapsed="false">
      <c r="A9" s="4" t="n">
        <v>260</v>
      </c>
      <c r="B9" s="4" t="n">
        <v>37</v>
      </c>
      <c r="C9" s="4" t="s">
        <v>85</v>
      </c>
      <c r="D9" s="4" t="s">
        <v>564</v>
      </c>
      <c r="E9" s="18" t="n">
        <v>1.12</v>
      </c>
      <c r="F9" s="18" t="n">
        <f aca="false">SUMPRODUCT(MAX((Estaciones!$A$5:$A$1064=A9)*ABS(Estaciones!$D$5:$D$1064)))</f>
        <v>0</v>
      </c>
      <c r="G9" s="18" t="n">
        <f aca="false">_xlfn.MAXIFS(Estaciones!$T$5:$T$1064,Estaciones!$A$5:$A$1064,A9)</f>
        <v>0</v>
      </c>
      <c r="H9" s="18" t="n">
        <f aca="false">_xlfn.MAXIFS(Estaciones!$R$5:$R$1064,Estaciones!$A$5:$A$1064,A9)</f>
        <v>0.06</v>
      </c>
      <c r="I9" s="18" t="n">
        <f aca="false">SUMPRODUCT(MAX((Estaciones!$A$5:$A$1064=A9)*ABS(Estaciones!$K$5:$K$1064)))</f>
        <v>0</v>
      </c>
      <c r="J9" s="18" t="n">
        <f aca="false">_xlfn.MAXIFS(Estaciones!$U$5:$U$1064,Estaciones!$A$5:$A$1064,A9)</f>
        <v>0</v>
      </c>
      <c r="K9" s="18" t="n">
        <f aca="false">_xlfn.MAXIFS(Estaciones!$S$5:$S$1064,Estaciones!$A$5:$A$1064,A9)</f>
        <v>0.07</v>
      </c>
      <c r="L9" s="13" t="n">
        <f aca="false">H9/Resumen!$B$10</f>
        <v>0.0395256916996047</v>
      </c>
      <c r="M9" s="13" t="n">
        <f aca="false">K9/Resumen!$B$10</f>
        <v>0.0461133069828722</v>
      </c>
      <c r="N9" s="22" t="n">
        <f aca="false">M9-L9</f>
        <v>0.00658761528326746</v>
      </c>
      <c r="O9" s="13" t="n">
        <f aca="false">G9/Resumen!$B$11</f>
        <v>0</v>
      </c>
      <c r="P9" s="13" t="n">
        <f aca="false">J9/Resumen!$B$11</f>
        <v>0</v>
      </c>
      <c r="Q9" s="4" t="str">
        <f aca="false">IF(S9&gt;=Resumen!$B$8,"AUMENTA",IF(S9&lt;=-Resumen!$B$8,"DISMINUYE","SIN CAMBIO"))</f>
        <v>SIN CAMBIO</v>
      </c>
      <c r="R9" s="4" t="str">
        <f aca="false">IF(AND(M9&lt;=1,P9&lt;=1),"CUMPLE","NO CUMPLE")</f>
        <v>CUMPLE</v>
      </c>
      <c r="S9" s="23" t="n">
        <f aca="false">K9-H9</f>
        <v>0.01</v>
      </c>
      <c r="T9" s="12" t="n">
        <f aca="false">IF(H9&lt;0.005,"-",K9/H9-1)</f>
        <v>0.166666666666667</v>
      </c>
    </row>
    <row r="10" customFormat="false" ht="15" hidden="false" customHeight="false" outlineLevel="0" collapsed="false">
      <c r="A10" s="4" t="n">
        <v>261</v>
      </c>
      <c r="B10" s="4" t="n">
        <v>38</v>
      </c>
      <c r="C10" s="4" t="s">
        <v>85</v>
      </c>
      <c r="D10" s="4" t="s">
        <v>564</v>
      </c>
      <c r="E10" s="18" t="n">
        <v>0.28</v>
      </c>
      <c r="F10" s="18" t="n">
        <f aca="false">SUMPRODUCT(MAX((Estaciones!$A$5:$A$1064=A10)*ABS(Estaciones!$D$5:$D$1064)))</f>
        <v>0</v>
      </c>
      <c r="G10" s="18" t="n">
        <f aca="false">_xlfn.MAXIFS(Estaciones!$T$5:$T$1064,Estaciones!$A$5:$A$1064,A10)</f>
        <v>0</v>
      </c>
      <c r="H10" s="18" t="n">
        <f aca="false">_xlfn.MAXIFS(Estaciones!$R$5:$R$1064,Estaciones!$A$5:$A$1064,A10)</f>
        <v>0.06</v>
      </c>
      <c r="I10" s="18" t="n">
        <f aca="false">SUMPRODUCT(MAX((Estaciones!$A$5:$A$1064=A10)*ABS(Estaciones!$K$5:$K$1064)))</f>
        <v>0</v>
      </c>
      <c r="J10" s="18" t="n">
        <f aca="false">_xlfn.MAXIFS(Estaciones!$U$5:$U$1064,Estaciones!$A$5:$A$1064,A10)</f>
        <v>0</v>
      </c>
      <c r="K10" s="18" t="n">
        <f aca="false">_xlfn.MAXIFS(Estaciones!$S$5:$S$1064,Estaciones!$A$5:$A$1064,A10)</f>
        <v>0.06</v>
      </c>
      <c r="L10" s="13" t="n">
        <f aca="false">H10/Resumen!$B$10</f>
        <v>0.0395256916996047</v>
      </c>
      <c r="M10" s="13" t="n">
        <f aca="false">K10/Resumen!$B$10</f>
        <v>0.0395256916996047</v>
      </c>
      <c r="N10" s="22" t="n">
        <f aca="false">M10-L10</f>
        <v>0</v>
      </c>
      <c r="O10" s="13" t="n">
        <f aca="false">G10/Resumen!$B$11</f>
        <v>0</v>
      </c>
      <c r="P10" s="13" t="n">
        <f aca="false">J10/Resumen!$B$11</f>
        <v>0</v>
      </c>
      <c r="Q10" s="4" t="str">
        <f aca="false">IF(S10&gt;=Resumen!$B$8,"AUMENTA",IF(S10&lt;=-Resumen!$B$8,"DISMINUYE","SIN CAMBIO"))</f>
        <v>SIN CAMBIO</v>
      </c>
      <c r="R10" s="4" t="str">
        <f aca="false">IF(AND(M10&lt;=1,P10&lt;=1),"CUMPLE","NO CUMPLE")</f>
        <v>CUMPLE</v>
      </c>
      <c r="S10" s="23" t="n">
        <f aca="false">K10-H10</f>
        <v>0</v>
      </c>
      <c r="T10" s="12" t="n">
        <f aca="false">IF(H10&lt;0.005,"-",K10/H10-1)</f>
        <v>0</v>
      </c>
    </row>
    <row r="11" customFormat="false" ht="15" hidden="false" customHeight="false" outlineLevel="0" collapsed="false">
      <c r="A11" s="4" t="n">
        <v>262</v>
      </c>
      <c r="B11" s="4" t="n">
        <v>39</v>
      </c>
      <c r="C11" s="4" t="s">
        <v>85</v>
      </c>
      <c r="D11" s="4" t="s">
        <v>564</v>
      </c>
      <c r="E11" s="18" t="n">
        <v>0.57</v>
      </c>
      <c r="F11" s="18" t="n">
        <f aca="false">SUMPRODUCT(MAX((Estaciones!$A$5:$A$1064=A11)*ABS(Estaciones!$D$5:$D$1064)))</f>
        <v>0</v>
      </c>
      <c r="G11" s="18" t="n">
        <f aca="false">_xlfn.MAXIFS(Estaciones!$T$5:$T$1064,Estaciones!$A$5:$A$1064,A11)</f>
        <v>0</v>
      </c>
      <c r="H11" s="18" t="n">
        <f aca="false">_xlfn.MAXIFS(Estaciones!$R$5:$R$1064,Estaciones!$A$5:$A$1064,A11)</f>
        <v>0.04</v>
      </c>
      <c r="I11" s="18" t="n">
        <f aca="false">SUMPRODUCT(MAX((Estaciones!$A$5:$A$1064=A11)*ABS(Estaciones!$K$5:$K$1064)))</f>
        <v>0</v>
      </c>
      <c r="J11" s="18" t="n">
        <f aca="false">_xlfn.MAXIFS(Estaciones!$U$5:$U$1064,Estaciones!$A$5:$A$1064,A11)</f>
        <v>0</v>
      </c>
      <c r="K11" s="18" t="n">
        <f aca="false">_xlfn.MAXIFS(Estaciones!$S$5:$S$1064,Estaciones!$A$5:$A$1064,A11)</f>
        <v>0.05</v>
      </c>
      <c r="L11" s="13" t="n">
        <f aca="false">H11/Resumen!$B$10</f>
        <v>0.0263504611330698</v>
      </c>
      <c r="M11" s="13" t="n">
        <f aca="false">K11/Resumen!$B$10</f>
        <v>0.0329380764163373</v>
      </c>
      <c r="N11" s="22" t="n">
        <f aca="false">M11-L11</f>
        <v>0.00658761528326746</v>
      </c>
      <c r="O11" s="13" t="n">
        <f aca="false">G11/Resumen!$B$11</f>
        <v>0</v>
      </c>
      <c r="P11" s="13" t="n">
        <f aca="false">J11/Resumen!$B$11</f>
        <v>0</v>
      </c>
      <c r="Q11" s="4" t="str">
        <f aca="false">IF(S11&gt;=Resumen!$B$8,"AUMENTA",IF(S11&lt;=-Resumen!$B$8,"DISMINUYE","SIN CAMBIO"))</f>
        <v>SIN CAMBIO</v>
      </c>
      <c r="R11" s="4" t="str">
        <f aca="false">IF(AND(M11&lt;=1,P11&lt;=1),"CUMPLE","NO CUMPLE")</f>
        <v>CUMPLE</v>
      </c>
      <c r="S11" s="23" t="n">
        <f aca="false">K11-H11</f>
        <v>0.01</v>
      </c>
      <c r="T11" s="12" t="n">
        <f aca="false">IF(H11&lt;0.005,"-",K11/H11-1)</f>
        <v>0.25</v>
      </c>
    </row>
    <row r="12" customFormat="false" ht="15" hidden="false" customHeight="false" outlineLevel="0" collapsed="false">
      <c r="A12" s="4" t="n">
        <v>263</v>
      </c>
      <c r="B12" s="4" t="n">
        <v>40</v>
      </c>
      <c r="C12" s="4" t="s">
        <v>85</v>
      </c>
      <c r="D12" s="4" t="s">
        <v>564</v>
      </c>
      <c r="E12" s="18" t="n">
        <v>0.28</v>
      </c>
      <c r="F12" s="18" t="n">
        <f aca="false">SUMPRODUCT(MAX((Estaciones!$A$5:$A$1064=A12)*ABS(Estaciones!$D$5:$D$1064)))</f>
        <v>0</v>
      </c>
      <c r="G12" s="18" t="n">
        <f aca="false">_xlfn.MAXIFS(Estaciones!$T$5:$T$1064,Estaciones!$A$5:$A$1064,A12)</f>
        <v>0</v>
      </c>
      <c r="H12" s="18" t="n">
        <f aca="false">_xlfn.MAXIFS(Estaciones!$R$5:$R$1064,Estaciones!$A$5:$A$1064,A12)</f>
        <v>0.01</v>
      </c>
      <c r="I12" s="18" t="n">
        <f aca="false">SUMPRODUCT(MAX((Estaciones!$A$5:$A$1064=A12)*ABS(Estaciones!$K$5:$K$1064)))</f>
        <v>0</v>
      </c>
      <c r="J12" s="18" t="n">
        <f aca="false">_xlfn.MAXIFS(Estaciones!$U$5:$U$1064,Estaciones!$A$5:$A$1064,A12)</f>
        <v>0</v>
      </c>
      <c r="K12" s="18" t="n">
        <f aca="false">_xlfn.MAXIFS(Estaciones!$S$5:$S$1064,Estaciones!$A$5:$A$1064,A12)</f>
        <v>0.02</v>
      </c>
      <c r="L12" s="13" t="n">
        <f aca="false">H12/Resumen!$B$10</f>
        <v>0.00658761528326746</v>
      </c>
      <c r="M12" s="13" t="n">
        <f aca="false">K12/Resumen!$B$10</f>
        <v>0.0131752305665349</v>
      </c>
      <c r="N12" s="22" t="n">
        <f aca="false">M12-L12</f>
        <v>0.00658761528326746</v>
      </c>
      <c r="O12" s="13" t="n">
        <f aca="false">G12/Resumen!$B$11</f>
        <v>0</v>
      </c>
      <c r="P12" s="13" t="n">
        <f aca="false">J12/Resumen!$B$11</f>
        <v>0</v>
      </c>
      <c r="Q12" s="4" t="str">
        <f aca="false">IF(S12&gt;=Resumen!$B$8,"AUMENTA",IF(S12&lt;=-Resumen!$B$8,"DISMINUYE","SIN CAMBIO"))</f>
        <v>SIN CAMBIO</v>
      </c>
      <c r="R12" s="4" t="str">
        <f aca="false">IF(AND(M12&lt;=1,P12&lt;=1),"CUMPLE","NO CUMPLE")</f>
        <v>CUMPLE</v>
      </c>
      <c r="S12" s="23" t="n">
        <f aca="false">K12-H12</f>
        <v>0.01</v>
      </c>
      <c r="T12" s="12" t="n">
        <f aca="false">IF(H12&lt;0.005,"-",K12/H12-1)</f>
        <v>1</v>
      </c>
    </row>
    <row r="13" customFormat="false" ht="15" hidden="false" customHeight="false" outlineLevel="0" collapsed="false">
      <c r="A13" s="4" t="n">
        <v>264</v>
      </c>
      <c r="B13" s="4" t="n">
        <v>41</v>
      </c>
      <c r="C13" s="4" t="s">
        <v>85</v>
      </c>
      <c r="D13" s="4" t="s">
        <v>564</v>
      </c>
      <c r="E13" s="18" t="n">
        <v>0.57</v>
      </c>
      <c r="F13" s="18" t="n">
        <f aca="false">SUMPRODUCT(MAX((Estaciones!$A$5:$A$1064=A13)*ABS(Estaciones!$D$5:$D$1064)))</f>
        <v>0</v>
      </c>
      <c r="G13" s="18" t="n">
        <f aca="false">_xlfn.MAXIFS(Estaciones!$T$5:$T$1064,Estaciones!$A$5:$A$1064,A13)</f>
        <v>0.02</v>
      </c>
      <c r="H13" s="18" t="n">
        <f aca="false">_xlfn.MAXIFS(Estaciones!$R$5:$R$1064,Estaciones!$A$5:$A$1064,A13)</f>
        <v>0.1</v>
      </c>
      <c r="I13" s="18" t="n">
        <f aca="false">SUMPRODUCT(MAX((Estaciones!$A$5:$A$1064=A13)*ABS(Estaciones!$K$5:$K$1064)))</f>
        <v>0</v>
      </c>
      <c r="J13" s="18" t="n">
        <f aca="false">_xlfn.MAXIFS(Estaciones!$U$5:$U$1064,Estaciones!$A$5:$A$1064,A13)</f>
        <v>0.02</v>
      </c>
      <c r="K13" s="18" t="n">
        <f aca="false">_xlfn.MAXIFS(Estaciones!$S$5:$S$1064,Estaciones!$A$5:$A$1064,A13)</f>
        <v>0.1</v>
      </c>
      <c r="L13" s="13" t="n">
        <f aca="false">H13/Resumen!$B$10</f>
        <v>0.0658761528326746</v>
      </c>
      <c r="M13" s="13" t="n">
        <f aca="false">K13/Resumen!$B$10</f>
        <v>0.0658761528326746</v>
      </c>
      <c r="N13" s="22" t="n">
        <f aca="false">M13-L13</f>
        <v>0</v>
      </c>
      <c r="O13" s="13" t="n">
        <f aca="false">G13/Resumen!$B$11</f>
        <v>0.0197628458498024</v>
      </c>
      <c r="P13" s="13" t="n">
        <f aca="false">J13/Resumen!$B$11</f>
        <v>0.0197628458498024</v>
      </c>
      <c r="Q13" s="4" t="str">
        <f aca="false">IF(S13&gt;=Resumen!$B$8,"AUMENTA",IF(S13&lt;=-Resumen!$B$8,"DISMINUYE","SIN CAMBIO"))</f>
        <v>SIN CAMBIO</v>
      </c>
      <c r="R13" s="4" t="str">
        <f aca="false">IF(AND(M13&lt;=1,P13&lt;=1),"CUMPLE","NO CUMPLE")</f>
        <v>CUMPLE</v>
      </c>
      <c r="S13" s="23" t="n">
        <f aca="false">K13-H13</f>
        <v>0</v>
      </c>
      <c r="T13" s="12" t="n">
        <f aca="false">IF(H13&lt;0.005,"-",K13/H13-1)</f>
        <v>0</v>
      </c>
    </row>
    <row r="14" customFormat="false" ht="15" hidden="false" customHeight="false" outlineLevel="0" collapsed="false">
      <c r="A14" s="4" t="n">
        <v>265</v>
      </c>
      <c r="B14" s="4" t="n">
        <v>42</v>
      </c>
      <c r="C14" s="4" t="s">
        <v>85</v>
      </c>
      <c r="D14" s="4" t="s">
        <v>564</v>
      </c>
      <c r="E14" s="18" t="n">
        <v>0.28</v>
      </c>
      <c r="F14" s="18" t="n">
        <f aca="false">SUMPRODUCT(MAX((Estaciones!$A$5:$A$1064=A14)*ABS(Estaciones!$D$5:$D$1064)))</f>
        <v>0</v>
      </c>
      <c r="G14" s="18" t="n">
        <f aca="false">_xlfn.MAXIFS(Estaciones!$T$5:$T$1064,Estaciones!$A$5:$A$1064,A14)</f>
        <v>0.01</v>
      </c>
      <c r="H14" s="18" t="n">
        <f aca="false">_xlfn.MAXIFS(Estaciones!$R$5:$R$1064,Estaciones!$A$5:$A$1064,A14)</f>
        <v>0.09</v>
      </c>
      <c r="I14" s="18" t="n">
        <f aca="false">SUMPRODUCT(MAX((Estaciones!$A$5:$A$1064=A14)*ABS(Estaciones!$K$5:$K$1064)))</f>
        <v>0</v>
      </c>
      <c r="J14" s="18" t="n">
        <f aca="false">_xlfn.MAXIFS(Estaciones!$U$5:$U$1064,Estaciones!$A$5:$A$1064,A14)</f>
        <v>0.01</v>
      </c>
      <c r="K14" s="18" t="n">
        <f aca="false">_xlfn.MAXIFS(Estaciones!$S$5:$S$1064,Estaciones!$A$5:$A$1064,A14)</f>
        <v>0.09</v>
      </c>
      <c r="L14" s="13" t="n">
        <f aca="false">H14/Resumen!$B$10</f>
        <v>0.0592885375494071</v>
      </c>
      <c r="M14" s="13" t="n">
        <f aca="false">K14/Resumen!$B$10</f>
        <v>0.0592885375494071</v>
      </c>
      <c r="N14" s="22" t="n">
        <f aca="false">M14-L14</f>
        <v>0</v>
      </c>
      <c r="O14" s="13" t="n">
        <f aca="false">G14/Resumen!$B$11</f>
        <v>0.00988142292490119</v>
      </c>
      <c r="P14" s="13" t="n">
        <f aca="false">J14/Resumen!$B$11</f>
        <v>0.00988142292490119</v>
      </c>
      <c r="Q14" s="4" t="str">
        <f aca="false">IF(S14&gt;=Resumen!$B$8,"AUMENTA",IF(S14&lt;=-Resumen!$B$8,"DISMINUYE","SIN CAMBIO"))</f>
        <v>SIN CAMBIO</v>
      </c>
      <c r="R14" s="4" t="str">
        <f aca="false">IF(AND(M14&lt;=1,P14&lt;=1),"CUMPLE","NO CUMPLE")</f>
        <v>CUMPLE</v>
      </c>
      <c r="S14" s="23" t="n">
        <f aca="false">K14-H14</f>
        <v>0</v>
      </c>
      <c r="T14" s="12" t="n">
        <f aca="false">IF(H14&lt;0.005,"-",K14/H14-1)</f>
        <v>0</v>
      </c>
    </row>
    <row r="15" customFormat="false" ht="15" hidden="false" customHeight="false" outlineLevel="0" collapsed="false">
      <c r="A15" s="4" t="n">
        <v>266</v>
      </c>
      <c r="B15" s="4" t="n">
        <v>43</v>
      </c>
      <c r="C15" s="4" t="s">
        <v>85</v>
      </c>
      <c r="D15" s="4" t="s">
        <v>564</v>
      </c>
      <c r="E15" s="18" t="n">
        <v>1.12</v>
      </c>
      <c r="F15" s="18" t="n">
        <f aca="false">SUMPRODUCT(MAX((Estaciones!$A$5:$A$1064=A15)*ABS(Estaciones!$D$5:$D$1064)))</f>
        <v>0</v>
      </c>
      <c r="G15" s="18" t="n">
        <f aca="false">_xlfn.MAXIFS(Estaciones!$T$5:$T$1064,Estaciones!$A$5:$A$1064,A15)</f>
        <v>0</v>
      </c>
      <c r="H15" s="18" t="n">
        <f aca="false">_xlfn.MAXIFS(Estaciones!$R$5:$R$1064,Estaciones!$A$5:$A$1064,A15)</f>
        <v>0.09</v>
      </c>
      <c r="I15" s="18" t="n">
        <f aca="false">SUMPRODUCT(MAX((Estaciones!$A$5:$A$1064=A15)*ABS(Estaciones!$K$5:$K$1064)))</f>
        <v>0</v>
      </c>
      <c r="J15" s="18" t="n">
        <f aca="false">_xlfn.MAXIFS(Estaciones!$U$5:$U$1064,Estaciones!$A$5:$A$1064,A15)</f>
        <v>0</v>
      </c>
      <c r="K15" s="18" t="n">
        <f aca="false">_xlfn.MAXIFS(Estaciones!$S$5:$S$1064,Estaciones!$A$5:$A$1064,A15)</f>
        <v>0.09</v>
      </c>
      <c r="L15" s="13" t="n">
        <f aca="false">H15/Resumen!$B$10</f>
        <v>0.0592885375494071</v>
      </c>
      <c r="M15" s="13" t="n">
        <f aca="false">K15/Resumen!$B$10</f>
        <v>0.0592885375494071</v>
      </c>
      <c r="N15" s="22" t="n">
        <f aca="false">M15-L15</f>
        <v>0</v>
      </c>
      <c r="O15" s="13" t="n">
        <f aca="false">G15/Resumen!$B$11</f>
        <v>0</v>
      </c>
      <c r="P15" s="13" t="n">
        <f aca="false">J15/Resumen!$B$11</f>
        <v>0</v>
      </c>
      <c r="Q15" s="4" t="str">
        <f aca="false">IF(S15&gt;=Resumen!$B$8,"AUMENTA",IF(S15&lt;=-Resumen!$B$8,"DISMINUYE","SIN CAMBIO"))</f>
        <v>SIN CAMBIO</v>
      </c>
      <c r="R15" s="4" t="str">
        <f aca="false">IF(AND(M15&lt;=1,P15&lt;=1),"CUMPLE","NO CUMPLE")</f>
        <v>CUMPLE</v>
      </c>
      <c r="S15" s="23" t="n">
        <f aca="false">K15-H15</f>
        <v>0</v>
      </c>
      <c r="T15" s="12" t="n">
        <f aca="false">IF(H15&lt;0.005,"-",K15/H15-1)</f>
        <v>0</v>
      </c>
    </row>
    <row r="16" customFormat="false" ht="15" hidden="false" customHeight="false" outlineLevel="0" collapsed="false">
      <c r="A16" s="4" t="n">
        <v>267</v>
      </c>
      <c r="B16" s="4" t="n">
        <v>44</v>
      </c>
      <c r="C16" s="4" t="s">
        <v>85</v>
      </c>
      <c r="D16" s="4" t="s">
        <v>564</v>
      </c>
      <c r="E16" s="18" t="n">
        <v>0.28</v>
      </c>
      <c r="F16" s="18" t="n">
        <f aca="false">SUMPRODUCT(MAX((Estaciones!$A$5:$A$1064=A16)*ABS(Estaciones!$D$5:$D$1064)))</f>
        <v>0</v>
      </c>
      <c r="G16" s="18" t="n">
        <f aca="false">_xlfn.MAXIFS(Estaciones!$T$5:$T$1064,Estaciones!$A$5:$A$1064,A16)</f>
        <v>0.01</v>
      </c>
      <c r="H16" s="18" t="n">
        <f aca="false">_xlfn.MAXIFS(Estaciones!$R$5:$R$1064,Estaciones!$A$5:$A$1064,A16)</f>
        <v>0.08</v>
      </c>
      <c r="I16" s="18" t="n">
        <f aca="false">SUMPRODUCT(MAX((Estaciones!$A$5:$A$1064=A16)*ABS(Estaciones!$K$5:$K$1064)))</f>
        <v>0</v>
      </c>
      <c r="J16" s="18" t="n">
        <f aca="false">_xlfn.MAXIFS(Estaciones!$U$5:$U$1064,Estaciones!$A$5:$A$1064,A16)</f>
        <v>0</v>
      </c>
      <c r="K16" s="18" t="n">
        <f aca="false">_xlfn.MAXIFS(Estaciones!$S$5:$S$1064,Estaciones!$A$5:$A$1064,A16)</f>
        <v>0.08</v>
      </c>
      <c r="L16" s="13" t="n">
        <f aca="false">H16/Resumen!$B$10</f>
        <v>0.0527009222661397</v>
      </c>
      <c r="M16" s="13" t="n">
        <f aca="false">K16/Resumen!$B$10</f>
        <v>0.0527009222661397</v>
      </c>
      <c r="N16" s="22" t="n">
        <f aca="false">M16-L16</f>
        <v>0</v>
      </c>
      <c r="O16" s="13" t="n">
        <f aca="false">G16/Resumen!$B$11</f>
        <v>0.00988142292490119</v>
      </c>
      <c r="P16" s="13" t="n">
        <f aca="false">J16/Resumen!$B$11</f>
        <v>0</v>
      </c>
      <c r="Q16" s="4" t="str">
        <f aca="false">IF(S16&gt;=Resumen!$B$8,"AUMENTA",IF(S16&lt;=-Resumen!$B$8,"DISMINUYE","SIN CAMBIO"))</f>
        <v>SIN CAMBIO</v>
      </c>
      <c r="R16" s="4" t="str">
        <f aca="false">IF(AND(M16&lt;=1,P16&lt;=1),"CUMPLE","NO CUMPLE")</f>
        <v>CUMPLE</v>
      </c>
      <c r="S16" s="23" t="n">
        <f aca="false">K16-H16</f>
        <v>0</v>
      </c>
      <c r="T16" s="12" t="n">
        <f aca="false">IF(H16&lt;0.005,"-",K16/H16-1)</f>
        <v>0</v>
      </c>
    </row>
    <row r="17" customFormat="false" ht="15" hidden="false" customHeight="false" outlineLevel="0" collapsed="false">
      <c r="A17" s="4" t="n">
        <v>268</v>
      </c>
      <c r="B17" s="4" t="n">
        <v>45</v>
      </c>
      <c r="C17" s="4" t="s">
        <v>85</v>
      </c>
      <c r="D17" s="4" t="s">
        <v>564</v>
      </c>
      <c r="E17" s="18" t="n">
        <v>0.57</v>
      </c>
      <c r="F17" s="18" t="n">
        <f aca="false">SUMPRODUCT(MAX((Estaciones!$A$5:$A$1064=A17)*ABS(Estaciones!$D$5:$D$1064)))</f>
        <v>0</v>
      </c>
      <c r="G17" s="18" t="n">
        <f aca="false">_xlfn.MAXIFS(Estaciones!$T$5:$T$1064,Estaciones!$A$5:$A$1064,A17)</f>
        <v>0.02</v>
      </c>
      <c r="H17" s="18" t="n">
        <f aca="false">_xlfn.MAXIFS(Estaciones!$R$5:$R$1064,Estaciones!$A$5:$A$1064,A17)</f>
        <v>0.11</v>
      </c>
      <c r="I17" s="18" t="n">
        <f aca="false">SUMPRODUCT(MAX((Estaciones!$A$5:$A$1064=A17)*ABS(Estaciones!$K$5:$K$1064)))</f>
        <v>0</v>
      </c>
      <c r="J17" s="18" t="n">
        <f aca="false">_xlfn.MAXIFS(Estaciones!$U$5:$U$1064,Estaciones!$A$5:$A$1064,A17)</f>
        <v>0.02</v>
      </c>
      <c r="K17" s="18" t="n">
        <f aca="false">_xlfn.MAXIFS(Estaciones!$S$5:$S$1064,Estaciones!$A$5:$A$1064,A17)</f>
        <v>0.12</v>
      </c>
      <c r="L17" s="13" t="n">
        <f aca="false">H17/Resumen!$B$10</f>
        <v>0.0724637681159421</v>
      </c>
      <c r="M17" s="13" t="n">
        <f aca="false">K17/Resumen!$B$10</f>
        <v>0.0790513833992095</v>
      </c>
      <c r="N17" s="22" t="n">
        <f aca="false">M17-L17</f>
        <v>0.00658761528326746</v>
      </c>
      <c r="O17" s="13" t="n">
        <f aca="false">G17/Resumen!$B$11</f>
        <v>0.0197628458498024</v>
      </c>
      <c r="P17" s="13" t="n">
        <f aca="false">J17/Resumen!$B$11</f>
        <v>0.0197628458498024</v>
      </c>
      <c r="Q17" s="4" t="str">
        <f aca="false">IF(S17&gt;=Resumen!$B$8,"AUMENTA",IF(S17&lt;=-Resumen!$B$8,"DISMINUYE","SIN CAMBIO"))</f>
        <v>SIN CAMBIO</v>
      </c>
      <c r="R17" s="4" t="str">
        <f aca="false">IF(AND(M17&lt;=1,P17&lt;=1),"CUMPLE","NO CUMPLE")</f>
        <v>CUMPLE</v>
      </c>
      <c r="S17" s="23" t="n">
        <f aca="false">K17-H17</f>
        <v>0.01</v>
      </c>
      <c r="T17" s="12" t="n">
        <f aca="false">IF(H17&lt;0.005,"-",K17/H17-1)</f>
        <v>0.0909090909090911</v>
      </c>
    </row>
    <row r="18" customFormat="false" ht="15" hidden="false" customHeight="false" outlineLevel="0" collapsed="false">
      <c r="A18" s="4" t="n">
        <v>269</v>
      </c>
      <c r="B18" s="4" t="n">
        <v>46</v>
      </c>
      <c r="C18" s="4" t="s">
        <v>85</v>
      </c>
      <c r="D18" s="4" t="s">
        <v>564</v>
      </c>
      <c r="E18" s="18" t="n">
        <v>0.28</v>
      </c>
      <c r="F18" s="18" t="n">
        <f aca="false">SUMPRODUCT(MAX((Estaciones!$A$5:$A$1064=A18)*ABS(Estaciones!$D$5:$D$1064)))</f>
        <v>0</v>
      </c>
      <c r="G18" s="18" t="n">
        <f aca="false">_xlfn.MAXIFS(Estaciones!$T$5:$T$1064,Estaciones!$A$5:$A$1064,A18)</f>
        <v>0.05</v>
      </c>
      <c r="H18" s="18" t="n">
        <f aca="false">_xlfn.MAXIFS(Estaciones!$R$5:$R$1064,Estaciones!$A$5:$A$1064,A18)</f>
        <v>0.32</v>
      </c>
      <c r="I18" s="18" t="n">
        <f aca="false">SUMPRODUCT(MAX((Estaciones!$A$5:$A$1064=A18)*ABS(Estaciones!$K$5:$K$1064)))</f>
        <v>0</v>
      </c>
      <c r="J18" s="18" t="n">
        <f aca="false">_xlfn.MAXIFS(Estaciones!$U$5:$U$1064,Estaciones!$A$5:$A$1064,A18)</f>
        <v>0.05</v>
      </c>
      <c r="K18" s="18" t="n">
        <f aca="false">_xlfn.MAXIFS(Estaciones!$S$5:$S$1064,Estaciones!$A$5:$A$1064,A18)</f>
        <v>0.34</v>
      </c>
      <c r="L18" s="13" t="n">
        <f aca="false">H18/Resumen!$B$10</f>
        <v>0.210803689064559</v>
      </c>
      <c r="M18" s="13" t="n">
        <f aca="false">K18/Resumen!$B$10</f>
        <v>0.223978919631094</v>
      </c>
      <c r="N18" s="22" t="n">
        <f aca="false">M18-L18</f>
        <v>0.0131752305665349</v>
      </c>
      <c r="O18" s="13" t="n">
        <f aca="false">G18/Resumen!$B$11</f>
        <v>0.0494071146245059</v>
      </c>
      <c r="P18" s="13" t="n">
        <f aca="false">J18/Resumen!$B$11</f>
        <v>0.0494071146245059</v>
      </c>
      <c r="Q18" s="4" t="str">
        <f aca="false">IF(S18&gt;=Resumen!$B$8,"AUMENTA",IF(S18&lt;=-Resumen!$B$8,"DISMINUYE","SIN CAMBIO"))</f>
        <v>AUMENTA</v>
      </c>
      <c r="R18" s="4" t="str">
        <f aca="false">IF(AND(M18&lt;=1,P18&lt;=1),"CUMPLE","NO CUMPLE")</f>
        <v>CUMPLE</v>
      </c>
      <c r="S18" s="23" t="n">
        <f aca="false">K18-H18</f>
        <v>0.02</v>
      </c>
      <c r="T18" s="12" t="n">
        <f aca="false">IF(H18&lt;0.005,"-",K18/H18-1)</f>
        <v>0.0625</v>
      </c>
    </row>
    <row r="19" customFormat="false" ht="15" hidden="false" customHeight="false" outlineLevel="0" collapsed="false">
      <c r="A19" s="4" t="n">
        <v>279</v>
      </c>
      <c r="B19" s="4" t="n">
        <v>56</v>
      </c>
      <c r="C19" s="4" t="s">
        <v>85</v>
      </c>
      <c r="D19" s="4" t="s">
        <v>564</v>
      </c>
      <c r="E19" s="18" t="n">
        <v>0.28</v>
      </c>
      <c r="F19" s="18" t="n">
        <f aca="false">SUMPRODUCT(MAX((Estaciones!$A$5:$A$1064=A19)*ABS(Estaciones!$D$5:$D$1064)))</f>
        <v>0</v>
      </c>
      <c r="G19" s="18" t="n">
        <f aca="false">_xlfn.MAXIFS(Estaciones!$T$5:$T$1064,Estaciones!$A$5:$A$1064,A19)</f>
        <v>0</v>
      </c>
      <c r="H19" s="18" t="n">
        <f aca="false">_xlfn.MAXIFS(Estaciones!$R$5:$R$1064,Estaciones!$A$5:$A$1064,A19)</f>
        <v>0.02</v>
      </c>
      <c r="I19" s="18" t="n">
        <f aca="false">SUMPRODUCT(MAX((Estaciones!$A$5:$A$1064=A19)*ABS(Estaciones!$K$5:$K$1064)))</f>
        <v>0</v>
      </c>
      <c r="J19" s="18" t="n">
        <f aca="false">_xlfn.MAXIFS(Estaciones!$U$5:$U$1064,Estaciones!$A$5:$A$1064,A19)</f>
        <v>0</v>
      </c>
      <c r="K19" s="18" t="n">
        <f aca="false">_xlfn.MAXIFS(Estaciones!$S$5:$S$1064,Estaciones!$A$5:$A$1064,A19)</f>
        <v>0.02</v>
      </c>
      <c r="L19" s="13" t="n">
        <f aca="false">H19/Resumen!$B$10</f>
        <v>0.0131752305665349</v>
      </c>
      <c r="M19" s="13" t="n">
        <f aca="false">K19/Resumen!$B$10</f>
        <v>0.0131752305665349</v>
      </c>
      <c r="N19" s="22" t="n">
        <f aca="false">M19-L19</f>
        <v>0</v>
      </c>
      <c r="O19" s="13" t="n">
        <f aca="false">G19/Resumen!$B$11</f>
        <v>0</v>
      </c>
      <c r="P19" s="13" t="n">
        <f aca="false">J19/Resumen!$B$11</f>
        <v>0</v>
      </c>
      <c r="Q19" s="4" t="str">
        <f aca="false">IF(S19&gt;=Resumen!$B$8,"AUMENTA",IF(S19&lt;=-Resumen!$B$8,"DISMINUYE","SIN CAMBIO"))</f>
        <v>SIN CAMBIO</v>
      </c>
      <c r="R19" s="4" t="str">
        <f aca="false">IF(AND(M19&lt;=1,P19&lt;=1),"CUMPLE","NO CUMPLE")</f>
        <v>CUMPLE</v>
      </c>
      <c r="S19" s="23" t="n">
        <f aca="false">K19-H19</f>
        <v>0</v>
      </c>
      <c r="T19" s="12" t="n">
        <f aca="false">IF(H19&lt;0.005,"-",K19/H19-1)</f>
        <v>0</v>
      </c>
    </row>
    <row r="20" customFormat="false" ht="15" hidden="false" customHeight="false" outlineLevel="0" collapsed="false">
      <c r="A20" s="4" t="n">
        <v>280</v>
      </c>
      <c r="B20" s="4" t="n">
        <v>57</v>
      </c>
      <c r="C20" s="4" t="s">
        <v>85</v>
      </c>
      <c r="D20" s="4" t="s">
        <v>564</v>
      </c>
      <c r="E20" s="18" t="n">
        <v>0.28</v>
      </c>
      <c r="F20" s="18" t="n">
        <f aca="false">SUMPRODUCT(MAX((Estaciones!$A$5:$A$1064=A20)*ABS(Estaciones!$D$5:$D$1064)))</f>
        <v>0</v>
      </c>
      <c r="G20" s="18" t="n">
        <f aca="false">_xlfn.MAXIFS(Estaciones!$T$5:$T$1064,Estaciones!$A$5:$A$1064,A20)</f>
        <v>0.09</v>
      </c>
      <c r="H20" s="18" t="n">
        <f aca="false">_xlfn.MAXIFS(Estaciones!$R$5:$R$1064,Estaciones!$A$5:$A$1064,A20)</f>
        <v>0.4</v>
      </c>
      <c r="I20" s="18" t="n">
        <f aca="false">SUMPRODUCT(MAX((Estaciones!$A$5:$A$1064=A20)*ABS(Estaciones!$K$5:$K$1064)))</f>
        <v>0</v>
      </c>
      <c r="J20" s="18" t="n">
        <f aca="false">_xlfn.MAXIFS(Estaciones!$U$5:$U$1064,Estaciones!$A$5:$A$1064,A20)</f>
        <v>0.09</v>
      </c>
      <c r="K20" s="18" t="n">
        <f aca="false">_xlfn.MAXIFS(Estaciones!$S$5:$S$1064,Estaciones!$A$5:$A$1064,A20)</f>
        <v>0.41</v>
      </c>
      <c r="L20" s="13" t="n">
        <f aca="false">H20/Resumen!$B$10</f>
        <v>0.263504611330698</v>
      </c>
      <c r="M20" s="13" t="n">
        <f aca="false">K20/Resumen!$B$10</f>
        <v>0.270092226613966</v>
      </c>
      <c r="N20" s="22" t="n">
        <f aca="false">M20-L20</f>
        <v>0.00658761528326746</v>
      </c>
      <c r="O20" s="13" t="n">
        <f aca="false">G20/Resumen!$B$11</f>
        <v>0.0889328063241107</v>
      </c>
      <c r="P20" s="13" t="n">
        <f aca="false">J20/Resumen!$B$11</f>
        <v>0.0889328063241107</v>
      </c>
      <c r="Q20" s="4" t="str">
        <f aca="false">IF(S20&gt;=Resumen!$B$8,"AUMENTA",IF(S20&lt;=-Resumen!$B$8,"DISMINUYE","SIN CAMBIO"))</f>
        <v>SIN CAMBIO</v>
      </c>
      <c r="R20" s="4" t="str">
        <f aca="false">IF(AND(M20&lt;=1,P20&lt;=1),"CUMPLE","NO CUMPLE")</f>
        <v>CUMPLE</v>
      </c>
      <c r="S20" s="23" t="n">
        <f aca="false">K20-H20</f>
        <v>0.01</v>
      </c>
      <c r="T20" s="12" t="n">
        <f aca="false">IF(H20&lt;0.005,"-",K20/H20-1)</f>
        <v>0.0249999999999999</v>
      </c>
    </row>
    <row r="21" customFormat="false" ht="15" hidden="false" customHeight="false" outlineLevel="0" collapsed="false">
      <c r="A21" s="4" t="n">
        <v>303</v>
      </c>
      <c r="B21" s="4" t="n">
        <v>80</v>
      </c>
      <c r="C21" s="4" t="s">
        <v>85</v>
      </c>
      <c r="D21" s="4" t="s">
        <v>564</v>
      </c>
      <c r="E21" s="18" t="n">
        <v>0.57</v>
      </c>
      <c r="F21" s="18" t="n">
        <f aca="false">SUMPRODUCT(MAX((Estaciones!$A$5:$A$1064=A21)*ABS(Estaciones!$D$5:$D$1064)))</f>
        <v>0</v>
      </c>
      <c r="G21" s="18" t="n">
        <f aca="false">_xlfn.MAXIFS(Estaciones!$T$5:$T$1064,Estaciones!$A$5:$A$1064,A21)</f>
        <v>0.02</v>
      </c>
      <c r="H21" s="18" t="n">
        <f aca="false">_xlfn.MAXIFS(Estaciones!$R$5:$R$1064,Estaciones!$A$5:$A$1064,A21)</f>
        <v>0.07</v>
      </c>
      <c r="I21" s="18" t="n">
        <f aca="false">SUMPRODUCT(MAX((Estaciones!$A$5:$A$1064=A21)*ABS(Estaciones!$K$5:$K$1064)))</f>
        <v>0</v>
      </c>
      <c r="J21" s="18" t="n">
        <f aca="false">_xlfn.MAXIFS(Estaciones!$U$5:$U$1064,Estaciones!$A$5:$A$1064,A21)</f>
        <v>0.02</v>
      </c>
      <c r="K21" s="18" t="n">
        <f aca="false">_xlfn.MAXIFS(Estaciones!$S$5:$S$1064,Estaciones!$A$5:$A$1064,A21)</f>
        <v>0.07</v>
      </c>
      <c r="L21" s="13" t="n">
        <f aca="false">H21/Resumen!$B$10</f>
        <v>0.0461133069828722</v>
      </c>
      <c r="M21" s="13" t="n">
        <f aca="false">K21/Resumen!$B$10</f>
        <v>0.0461133069828722</v>
      </c>
      <c r="N21" s="22" t="n">
        <f aca="false">M21-L21</f>
        <v>0</v>
      </c>
      <c r="O21" s="13" t="n">
        <f aca="false">G21/Resumen!$B$11</f>
        <v>0.0197628458498024</v>
      </c>
      <c r="P21" s="13" t="n">
        <f aca="false">J21/Resumen!$B$11</f>
        <v>0.0197628458498024</v>
      </c>
      <c r="Q21" s="4" t="str">
        <f aca="false">IF(S21&gt;=Resumen!$B$8,"AUMENTA",IF(S21&lt;=-Resumen!$B$8,"DISMINUYE","SIN CAMBIO"))</f>
        <v>SIN CAMBIO</v>
      </c>
      <c r="R21" s="4" t="str">
        <f aca="false">IF(AND(M21&lt;=1,P21&lt;=1),"CUMPLE","NO CUMPLE")</f>
        <v>CUMPLE</v>
      </c>
      <c r="S21" s="23" t="n">
        <f aca="false">K21-H21</f>
        <v>0</v>
      </c>
      <c r="T21" s="12" t="n">
        <f aca="false">IF(H21&lt;0.005,"-",K21/H21-1)</f>
        <v>0</v>
      </c>
    </row>
    <row r="22" customFormat="false" ht="15" hidden="false" customHeight="false" outlineLevel="0" collapsed="false">
      <c r="A22" s="4" t="n">
        <v>304</v>
      </c>
      <c r="B22" s="4" t="n">
        <v>81</v>
      </c>
      <c r="C22" s="4" t="s">
        <v>85</v>
      </c>
      <c r="D22" s="4" t="s">
        <v>564</v>
      </c>
      <c r="E22" s="18" t="n">
        <v>0.28</v>
      </c>
      <c r="F22" s="18" t="n">
        <f aca="false">SUMPRODUCT(MAX((Estaciones!$A$5:$A$1064=A22)*ABS(Estaciones!$D$5:$D$1064)))</f>
        <v>0</v>
      </c>
      <c r="G22" s="18" t="n">
        <f aca="false">_xlfn.MAXIFS(Estaciones!$T$5:$T$1064,Estaciones!$A$5:$A$1064,A22)</f>
        <v>0.01</v>
      </c>
      <c r="H22" s="18" t="n">
        <f aca="false">_xlfn.MAXIFS(Estaciones!$R$5:$R$1064,Estaciones!$A$5:$A$1064,A22)</f>
        <v>0.09</v>
      </c>
      <c r="I22" s="18" t="n">
        <f aca="false">SUMPRODUCT(MAX((Estaciones!$A$5:$A$1064=A22)*ABS(Estaciones!$K$5:$K$1064)))</f>
        <v>0</v>
      </c>
      <c r="J22" s="18" t="n">
        <f aca="false">_xlfn.MAXIFS(Estaciones!$U$5:$U$1064,Estaciones!$A$5:$A$1064,A22)</f>
        <v>0.01</v>
      </c>
      <c r="K22" s="18" t="n">
        <f aca="false">_xlfn.MAXIFS(Estaciones!$S$5:$S$1064,Estaciones!$A$5:$A$1064,A22)</f>
        <v>0.09</v>
      </c>
      <c r="L22" s="13" t="n">
        <f aca="false">H22/Resumen!$B$10</f>
        <v>0.0592885375494071</v>
      </c>
      <c r="M22" s="13" t="n">
        <f aca="false">K22/Resumen!$B$10</f>
        <v>0.0592885375494071</v>
      </c>
      <c r="N22" s="22" t="n">
        <f aca="false">M22-L22</f>
        <v>0</v>
      </c>
      <c r="O22" s="13" t="n">
        <f aca="false">G22/Resumen!$B$11</f>
        <v>0.00988142292490119</v>
      </c>
      <c r="P22" s="13" t="n">
        <f aca="false">J22/Resumen!$B$11</f>
        <v>0.00988142292490119</v>
      </c>
      <c r="Q22" s="4" t="str">
        <f aca="false">IF(S22&gt;=Resumen!$B$8,"AUMENTA",IF(S22&lt;=-Resumen!$B$8,"DISMINUYE","SIN CAMBIO"))</f>
        <v>SIN CAMBIO</v>
      </c>
      <c r="R22" s="4" t="str">
        <f aca="false">IF(AND(M22&lt;=1,P22&lt;=1),"CUMPLE","NO CUMPLE")</f>
        <v>CUMPLE</v>
      </c>
      <c r="S22" s="23" t="n">
        <f aca="false">K22-H22</f>
        <v>0</v>
      </c>
      <c r="T22" s="12" t="n">
        <f aca="false">IF(H22&lt;0.005,"-",K22/H22-1)</f>
        <v>0</v>
      </c>
    </row>
    <row r="23" customFormat="false" ht="15" hidden="false" customHeight="false" outlineLevel="0" collapsed="false">
      <c r="A23" s="4" t="n">
        <v>305</v>
      </c>
      <c r="B23" s="4" t="n">
        <v>82</v>
      </c>
      <c r="C23" s="4" t="s">
        <v>85</v>
      </c>
      <c r="D23" s="4" t="s">
        <v>564</v>
      </c>
      <c r="E23" s="18" t="n">
        <v>1.12</v>
      </c>
      <c r="F23" s="18" t="n">
        <f aca="false">SUMPRODUCT(MAX((Estaciones!$A$5:$A$1064=A23)*ABS(Estaciones!$D$5:$D$1064)))</f>
        <v>0</v>
      </c>
      <c r="G23" s="18" t="n">
        <f aca="false">_xlfn.MAXIFS(Estaciones!$T$5:$T$1064,Estaciones!$A$5:$A$1064,A23)</f>
        <v>0</v>
      </c>
      <c r="H23" s="18" t="n">
        <f aca="false">_xlfn.MAXIFS(Estaciones!$R$5:$R$1064,Estaciones!$A$5:$A$1064,A23)</f>
        <v>0.08</v>
      </c>
      <c r="I23" s="18" t="n">
        <f aca="false">SUMPRODUCT(MAX((Estaciones!$A$5:$A$1064=A23)*ABS(Estaciones!$K$5:$K$1064)))</f>
        <v>0</v>
      </c>
      <c r="J23" s="18" t="n">
        <f aca="false">_xlfn.MAXIFS(Estaciones!$U$5:$U$1064,Estaciones!$A$5:$A$1064,A23)</f>
        <v>0</v>
      </c>
      <c r="K23" s="18" t="n">
        <f aca="false">_xlfn.MAXIFS(Estaciones!$S$5:$S$1064,Estaciones!$A$5:$A$1064,A23)</f>
        <v>0.08</v>
      </c>
      <c r="L23" s="13" t="n">
        <f aca="false">H23/Resumen!$B$10</f>
        <v>0.0527009222661397</v>
      </c>
      <c r="M23" s="13" t="n">
        <f aca="false">K23/Resumen!$B$10</f>
        <v>0.0527009222661397</v>
      </c>
      <c r="N23" s="22" t="n">
        <f aca="false">M23-L23</f>
        <v>0</v>
      </c>
      <c r="O23" s="13" t="n">
        <f aca="false">G23/Resumen!$B$11</f>
        <v>0</v>
      </c>
      <c r="P23" s="13" t="n">
        <f aca="false">J23/Resumen!$B$11</f>
        <v>0</v>
      </c>
      <c r="Q23" s="4" t="str">
        <f aca="false">IF(S23&gt;=Resumen!$B$8,"AUMENTA",IF(S23&lt;=-Resumen!$B$8,"DISMINUYE","SIN CAMBIO"))</f>
        <v>SIN CAMBIO</v>
      </c>
      <c r="R23" s="4" t="str">
        <f aca="false">IF(AND(M23&lt;=1,P23&lt;=1),"CUMPLE","NO CUMPLE")</f>
        <v>CUMPLE</v>
      </c>
      <c r="S23" s="23" t="n">
        <f aca="false">K23-H23</f>
        <v>0</v>
      </c>
      <c r="T23" s="12" t="n">
        <f aca="false">IF(H23&lt;0.005,"-",K23/H23-1)</f>
        <v>0</v>
      </c>
    </row>
    <row r="24" customFormat="false" ht="15" hidden="false" customHeight="false" outlineLevel="0" collapsed="false">
      <c r="A24" s="4" t="n">
        <v>306</v>
      </c>
      <c r="B24" s="4" t="n">
        <v>83</v>
      </c>
      <c r="C24" s="4" t="s">
        <v>85</v>
      </c>
      <c r="D24" s="4" t="s">
        <v>564</v>
      </c>
      <c r="E24" s="18" t="n">
        <v>0.28</v>
      </c>
      <c r="F24" s="18" t="n">
        <f aca="false">SUMPRODUCT(MAX((Estaciones!$A$5:$A$1064=A24)*ABS(Estaciones!$D$5:$D$1064)))</f>
        <v>0</v>
      </c>
      <c r="G24" s="18" t="n">
        <f aca="false">_xlfn.MAXIFS(Estaciones!$T$5:$T$1064,Estaciones!$A$5:$A$1064,A24)</f>
        <v>0.01</v>
      </c>
      <c r="H24" s="18" t="n">
        <f aca="false">_xlfn.MAXIFS(Estaciones!$R$5:$R$1064,Estaciones!$A$5:$A$1064,A24)</f>
        <v>0.09</v>
      </c>
      <c r="I24" s="18" t="n">
        <f aca="false">SUMPRODUCT(MAX((Estaciones!$A$5:$A$1064=A24)*ABS(Estaciones!$K$5:$K$1064)))</f>
        <v>0</v>
      </c>
      <c r="J24" s="18" t="n">
        <f aca="false">_xlfn.MAXIFS(Estaciones!$U$5:$U$1064,Estaciones!$A$5:$A$1064,A24)</f>
        <v>0.01</v>
      </c>
      <c r="K24" s="18" t="n">
        <f aca="false">_xlfn.MAXIFS(Estaciones!$S$5:$S$1064,Estaciones!$A$5:$A$1064,A24)</f>
        <v>0.09</v>
      </c>
      <c r="L24" s="13" t="n">
        <f aca="false">H24/Resumen!$B$10</f>
        <v>0.0592885375494071</v>
      </c>
      <c r="M24" s="13" t="n">
        <f aca="false">K24/Resumen!$B$10</f>
        <v>0.0592885375494071</v>
      </c>
      <c r="N24" s="22" t="n">
        <f aca="false">M24-L24</f>
        <v>0</v>
      </c>
      <c r="O24" s="13" t="n">
        <f aca="false">G24/Resumen!$B$11</f>
        <v>0.00988142292490119</v>
      </c>
      <c r="P24" s="13" t="n">
        <f aca="false">J24/Resumen!$B$11</f>
        <v>0.00988142292490119</v>
      </c>
      <c r="Q24" s="4" t="str">
        <f aca="false">IF(S24&gt;=Resumen!$B$8,"AUMENTA",IF(S24&lt;=-Resumen!$B$8,"DISMINUYE","SIN CAMBIO"))</f>
        <v>SIN CAMBIO</v>
      </c>
      <c r="R24" s="4" t="str">
        <f aca="false">IF(AND(M24&lt;=1,P24&lt;=1),"CUMPLE","NO CUMPLE")</f>
        <v>CUMPLE</v>
      </c>
      <c r="S24" s="23" t="n">
        <f aca="false">K24-H24</f>
        <v>0</v>
      </c>
      <c r="T24" s="12" t="n">
        <f aca="false">IF(H24&lt;0.005,"-",K24/H24-1)</f>
        <v>0</v>
      </c>
    </row>
    <row r="25" customFormat="false" ht="15" hidden="false" customHeight="false" outlineLevel="0" collapsed="false">
      <c r="A25" s="4" t="n">
        <v>307</v>
      </c>
      <c r="B25" s="4" t="n">
        <v>84</v>
      </c>
      <c r="C25" s="4" t="s">
        <v>85</v>
      </c>
      <c r="D25" s="4" t="s">
        <v>564</v>
      </c>
      <c r="E25" s="18" t="n">
        <v>0.57</v>
      </c>
      <c r="F25" s="18" t="n">
        <f aca="false">SUMPRODUCT(MAX((Estaciones!$A$5:$A$1064=A25)*ABS(Estaciones!$D$5:$D$1064)))</f>
        <v>0</v>
      </c>
      <c r="G25" s="18" t="n">
        <f aca="false">_xlfn.MAXIFS(Estaciones!$T$5:$T$1064,Estaciones!$A$5:$A$1064,A25)</f>
        <v>0.02</v>
      </c>
      <c r="H25" s="18" t="n">
        <f aca="false">_xlfn.MAXIFS(Estaciones!$R$5:$R$1064,Estaciones!$A$5:$A$1064,A25)</f>
        <v>0.07</v>
      </c>
      <c r="I25" s="18" t="n">
        <f aca="false">SUMPRODUCT(MAX((Estaciones!$A$5:$A$1064=A25)*ABS(Estaciones!$K$5:$K$1064)))</f>
        <v>0</v>
      </c>
      <c r="J25" s="18" t="n">
        <f aca="false">_xlfn.MAXIFS(Estaciones!$U$5:$U$1064,Estaciones!$A$5:$A$1064,A25)</f>
        <v>0.02</v>
      </c>
      <c r="K25" s="18" t="n">
        <f aca="false">_xlfn.MAXIFS(Estaciones!$S$5:$S$1064,Estaciones!$A$5:$A$1064,A25)</f>
        <v>0.08</v>
      </c>
      <c r="L25" s="13" t="n">
        <f aca="false">H25/Resumen!$B$10</f>
        <v>0.0461133069828722</v>
      </c>
      <c r="M25" s="13" t="n">
        <f aca="false">K25/Resumen!$B$10</f>
        <v>0.0527009222661397</v>
      </c>
      <c r="N25" s="22" t="n">
        <f aca="false">M25-L25</f>
        <v>0.00658761528326745</v>
      </c>
      <c r="O25" s="13" t="n">
        <f aca="false">G25/Resumen!$B$11</f>
        <v>0.0197628458498024</v>
      </c>
      <c r="P25" s="13" t="n">
        <f aca="false">J25/Resumen!$B$11</f>
        <v>0.0197628458498024</v>
      </c>
      <c r="Q25" s="4" t="str">
        <f aca="false">IF(S25&gt;=Resumen!$B$8,"AUMENTA",IF(S25&lt;=-Resumen!$B$8,"DISMINUYE","SIN CAMBIO"))</f>
        <v>SIN CAMBIO</v>
      </c>
      <c r="R25" s="4" t="str">
        <f aca="false">IF(AND(M25&lt;=1,P25&lt;=1),"CUMPLE","NO CUMPLE")</f>
        <v>CUMPLE</v>
      </c>
      <c r="S25" s="23" t="n">
        <f aca="false">K25-H25</f>
        <v>0.01</v>
      </c>
      <c r="T25" s="12" t="n">
        <f aca="false">IF(H25&lt;0.005,"-",K25/H25-1)</f>
        <v>0.142857142857143</v>
      </c>
    </row>
    <row r="26" customFormat="false" ht="15" hidden="false" customHeight="false" outlineLevel="0" collapsed="false">
      <c r="A26" s="4" t="n">
        <v>308</v>
      </c>
      <c r="B26" s="4" t="n">
        <v>85</v>
      </c>
      <c r="C26" s="4" t="s">
        <v>85</v>
      </c>
      <c r="D26" s="4" t="s">
        <v>564</v>
      </c>
      <c r="E26" s="18" t="n">
        <v>0.28</v>
      </c>
      <c r="F26" s="18" t="n">
        <f aca="false">SUMPRODUCT(MAX((Estaciones!$A$5:$A$1064=A26)*ABS(Estaciones!$D$5:$D$1064)))</f>
        <v>0</v>
      </c>
      <c r="G26" s="18" t="n">
        <f aca="false">_xlfn.MAXIFS(Estaciones!$T$5:$T$1064,Estaciones!$A$5:$A$1064,A26)</f>
        <v>0</v>
      </c>
      <c r="H26" s="18" t="n">
        <f aca="false">_xlfn.MAXIFS(Estaciones!$R$5:$R$1064,Estaciones!$A$5:$A$1064,A26)</f>
        <v>0.02</v>
      </c>
      <c r="I26" s="18" t="n">
        <f aca="false">SUMPRODUCT(MAX((Estaciones!$A$5:$A$1064=A26)*ABS(Estaciones!$K$5:$K$1064)))</f>
        <v>0</v>
      </c>
      <c r="J26" s="18" t="n">
        <f aca="false">_xlfn.MAXIFS(Estaciones!$U$5:$U$1064,Estaciones!$A$5:$A$1064,A26)</f>
        <v>0.01</v>
      </c>
      <c r="K26" s="18" t="n">
        <f aca="false">_xlfn.MAXIFS(Estaciones!$S$5:$S$1064,Estaciones!$A$5:$A$1064,A26)</f>
        <v>0.01</v>
      </c>
      <c r="L26" s="13" t="n">
        <f aca="false">H26/Resumen!$B$10</f>
        <v>0.0131752305665349</v>
      </c>
      <c r="M26" s="13" t="n">
        <f aca="false">K26/Resumen!$B$10</f>
        <v>0.00658761528326746</v>
      </c>
      <c r="N26" s="22" t="n">
        <f aca="false">M26-L26</f>
        <v>-0.00658761528326746</v>
      </c>
      <c r="O26" s="13" t="n">
        <f aca="false">G26/Resumen!$B$11</f>
        <v>0</v>
      </c>
      <c r="P26" s="13" t="n">
        <f aca="false">J26/Resumen!$B$11</f>
        <v>0.00988142292490119</v>
      </c>
      <c r="Q26" s="4" t="str">
        <f aca="false">IF(S26&gt;=Resumen!$B$8,"AUMENTA",IF(S26&lt;=-Resumen!$B$8,"DISMINUYE","SIN CAMBIO"))</f>
        <v>SIN CAMBIO</v>
      </c>
      <c r="R26" s="4" t="str">
        <f aca="false">IF(AND(M26&lt;=1,P26&lt;=1),"CUMPLE","NO CUMPLE")</f>
        <v>CUMPLE</v>
      </c>
      <c r="S26" s="23" t="n">
        <f aca="false">K26-H26</f>
        <v>-0.01</v>
      </c>
      <c r="T26" s="12" t="n">
        <f aca="false">IF(H26&lt;0.005,"-",K26/H26-1)</f>
        <v>-0.5</v>
      </c>
    </row>
    <row r="27" customFormat="false" ht="15" hidden="false" customHeight="false" outlineLevel="0" collapsed="false">
      <c r="A27" s="4" t="n">
        <v>309</v>
      </c>
      <c r="B27" s="4" t="n">
        <v>86</v>
      </c>
      <c r="C27" s="4" t="s">
        <v>85</v>
      </c>
      <c r="D27" s="4" t="s">
        <v>564</v>
      </c>
      <c r="E27" s="18" t="n">
        <v>0.57</v>
      </c>
      <c r="F27" s="18" t="n">
        <f aca="false">SUMPRODUCT(MAX((Estaciones!$A$5:$A$1064=A27)*ABS(Estaciones!$D$5:$D$1064)))</f>
        <v>0</v>
      </c>
      <c r="G27" s="18" t="n">
        <f aca="false">_xlfn.MAXIFS(Estaciones!$T$5:$T$1064,Estaciones!$A$5:$A$1064,A27)</f>
        <v>0.02</v>
      </c>
      <c r="H27" s="18" t="n">
        <f aca="false">_xlfn.MAXIFS(Estaciones!$R$5:$R$1064,Estaciones!$A$5:$A$1064,A27)</f>
        <v>0.08</v>
      </c>
      <c r="I27" s="18" t="n">
        <f aca="false">SUMPRODUCT(MAX((Estaciones!$A$5:$A$1064=A27)*ABS(Estaciones!$K$5:$K$1064)))</f>
        <v>0</v>
      </c>
      <c r="J27" s="18" t="n">
        <f aca="false">_xlfn.MAXIFS(Estaciones!$U$5:$U$1064,Estaciones!$A$5:$A$1064,A27)</f>
        <v>0.02</v>
      </c>
      <c r="K27" s="18" t="n">
        <f aca="false">_xlfn.MAXIFS(Estaciones!$S$5:$S$1064,Estaciones!$A$5:$A$1064,A27)</f>
        <v>0.05</v>
      </c>
      <c r="L27" s="13" t="n">
        <f aca="false">H27/Resumen!$B$10</f>
        <v>0.0527009222661397</v>
      </c>
      <c r="M27" s="13" t="n">
        <f aca="false">K27/Resumen!$B$10</f>
        <v>0.0329380764163373</v>
      </c>
      <c r="N27" s="22" t="n">
        <f aca="false">M27-L27</f>
        <v>-0.0197628458498024</v>
      </c>
      <c r="O27" s="13" t="n">
        <f aca="false">G27/Resumen!$B$11</f>
        <v>0.0197628458498024</v>
      </c>
      <c r="P27" s="13" t="n">
        <f aca="false">J27/Resumen!$B$11</f>
        <v>0.0197628458498024</v>
      </c>
      <c r="Q27" s="4" t="str">
        <f aca="false">IF(S27&gt;=Resumen!$B$8,"AUMENTA",IF(S27&lt;=-Resumen!$B$8,"DISMINUYE","SIN CAMBIO"))</f>
        <v>DISMINUYE</v>
      </c>
      <c r="R27" s="4" t="str">
        <f aca="false">IF(AND(M27&lt;=1,P27&lt;=1),"CUMPLE","NO CUMPLE")</f>
        <v>CUMPLE</v>
      </c>
      <c r="S27" s="23" t="n">
        <f aca="false">K27-H27</f>
        <v>-0.03</v>
      </c>
      <c r="T27" s="12" t="n">
        <f aca="false">IF(H27&lt;0.005,"-",K27/H27-1)</f>
        <v>-0.375</v>
      </c>
    </row>
    <row r="28" customFormat="false" ht="15" hidden="false" customHeight="false" outlineLevel="0" collapsed="false">
      <c r="A28" s="4" t="n">
        <v>310</v>
      </c>
      <c r="B28" s="4" t="n">
        <v>87</v>
      </c>
      <c r="C28" s="4" t="s">
        <v>85</v>
      </c>
      <c r="D28" s="4" t="s">
        <v>564</v>
      </c>
      <c r="E28" s="18" t="n">
        <v>0.28</v>
      </c>
      <c r="F28" s="18" t="n">
        <f aca="false">SUMPRODUCT(MAX((Estaciones!$A$5:$A$1064=A28)*ABS(Estaciones!$D$5:$D$1064)))</f>
        <v>0</v>
      </c>
      <c r="G28" s="18" t="n">
        <f aca="false">_xlfn.MAXIFS(Estaciones!$T$5:$T$1064,Estaciones!$A$5:$A$1064,A28)</f>
        <v>0.02</v>
      </c>
      <c r="H28" s="18" t="n">
        <f aca="false">_xlfn.MAXIFS(Estaciones!$R$5:$R$1064,Estaciones!$A$5:$A$1064,A28)</f>
        <v>0.12</v>
      </c>
      <c r="I28" s="18" t="n">
        <f aca="false">SUMPRODUCT(MAX((Estaciones!$A$5:$A$1064=A28)*ABS(Estaciones!$K$5:$K$1064)))</f>
        <v>0</v>
      </c>
      <c r="J28" s="18" t="n">
        <f aca="false">_xlfn.MAXIFS(Estaciones!$U$5:$U$1064,Estaciones!$A$5:$A$1064,A28)</f>
        <v>0.01</v>
      </c>
      <c r="K28" s="18" t="n">
        <f aca="false">_xlfn.MAXIFS(Estaciones!$S$5:$S$1064,Estaciones!$A$5:$A$1064,A28)</f>
        <v>0.11</v>
      </c>
      <c r="L28" s="13" t="n">
        <f aca="false">H28/Resumen!$B$10</f>
        <v>0.0790513833992095</v>
      </c>
      <c r="M28" s="13" t="n">
        <f aca="false">K28/Resumen!$B$10</f>
        <v>0.0724637681159421</v>
      </c>
      <c r="N28" s="22" t="n">
        <f aca="false">M28-L28</f>
        <v>-0.00658761528326746</v>
      </c>
      <c r="O28" s="13" t="n">
        <f aca="false">G28/Resumen!$B$11</f>
        <v>0.0197628458498024</v>
      </c>
      <c r="P28" s="13" t="n">
        <f aca="false">J28/Resumen!$B$11</f>
        <v>0.00988142292490119</v>
      </c>
      <c r="Q28" s="4" t="str">
        <f aca="false">IF(S28&gt;=Resumen!$B$8,"AUMENTA",IF(S28&lt;=-Resumen!$B$8,"DISMINUYE","SIN CAMBIO"))</f>
        <v>SIN CAMBIO</v>
      </c>
      <c r="R28" s="4" t="str">
        <f aca="false">IF(AND(M28&lt;=1,P28&lt;=1),"CUMPLE","NO CUMPLE")</f>
        <v>CUMPLE</v>
      </c>
      <c r="S28" s="23" t="n">
        <f aca="false">K28-H28</f>
        <v>-0.01</v>
      </c>
      <c r="T28" s="12" t="n">
        <f aca="false">IF(H28&lt;0.005,"-",K28/H28-1)</f>
        <v>-0.0833333333333333</v>
      </c>
    </row>
    <row r="29" customFormat="false" ht="15" hidden="false" customHeight="false" outlineLevel="0" collapsed="false">
      <c r="A29" s="4" t="n">
        <v>311</v>
      </c>
      <c r="B29" s="4" t="n">
        <v>88</v>
      </c>
      <c r="C29" s="4" t="s">
        <v>85</v>
      </c>
      <c r="D29" s="4" t="s">
        <v>564</v>
      </c>
      <c r="E29" s="18" t="n">
        <v>1.12</v>
      </c>
      <c r="F29" s="18" t="n">
        <f aca="false">SUMPRODUCT(MAX((Estaciones!$A$5:$A$1064=A29)*ABS(Estaciones!$D$5:$D$1064)))</f>
        <v>0</v>
      </c>
      <c r="G29" s="18" t="n">
        <f aca="false">_xlfn.MAXIFS(Estaciones!$T$5:$T$1064,Estaciones!$A$5:$A$1064,A29)</f>
        <v>0</v>
      </c>
      <c r="H29" s="18" t="n">
        <f aca="false">_xlfn.MAXIFS(Estaciones!$R$5:$R$1064,Estaciones!$A$5:$A$1064,A29)</f>
        <v>0.11</v>
      </c>
      <c r="I29" s="18" t="n">
        <f aca="false">SUMPRODUCT(MAX((Estaciones!$A$5:$A$1064=A29)*ABS(Estaciones!$K$5:$K$1064)))</f>
        <v>0</v>
      </c>
      <c r="J29" s="18" t="n">
        <f aca="false">_xlfn.MAXIFS(Estaciones!$U$5:$U$1064,Estaciones!$A$5:$A$1064,A29)</f>
        <v>0</v>
      </c>
      <c r="K29" s="18" t="n">
        <f aca="false">_xlfn.MAXIFS(Estaciones!$S$5:$S$1064,Estaciones!$A$5:$A$1064,A29)</f>
        <v>0.13</v>
      </c>
      <c r="L29" s="13" t="n">
        <f aca="false">H29/Resumen!$B$10</f>
        <v>0.0724637681159421</v>
      </c>
      <c r="M29" s="13" t="n">
        <f aca="false">K29/Resumen!$B$10</f>
        <v>0.085638998682477</v>
      </c>
      <c r="N29" s="22" t="n">
        <f aca="false">M29-L29</f>
        <v>0.0131752305665349</v>
      </c>
      <c r="O29" s="13" t="n">
        <f aca="false">G29/Resumen!$B$11</f>
        <v>0</v>
      </c>
      <c r="P29" s="13" t="n">
        <f aca="false">J29/Resumen!$B$11</f>
        <v>0</v>
      </c>
      <c r="Q29" s="4" t="str">
        <f aca="false">IF(S29&gt;=Resumen!$B$8,"AUMENTA",IF(S29&lt;=-Resumen!$B$8,"DISMINUYE","SIN CAMBIO"))</f>
        <v>AUMENTA</v>
      </c>
      <c r="R29" s="4" t="str">
        <f aca="false">IF(AND(M29&lt;=1,P29&lt;=1),"CUMPLE","NO CUMPLE")</f>
        <v>CUMPLE</v>
      </c>
      <c r="S29" s="23" t="n">
        <f aca="false">K29-H29</f>
        <v>0.02</v>
      </c>
      <c r="T29" s="12" t="n">
        <f aca="false">IF(H29&lt;0.005,"-",K29/H29-1)</f>
        <v>0.181818181818182</v>
      </c>
    </row>
    <row r="30" customFormat="false" ht="15" hidden="false" customHeight="false" outlineLevel="0" collapsed="false">
      <c r="A30" s="4" t="n">
        <v>312</v>
      </c>
      <c r="B30" s="4" t="n">
        <v>89</v>
      </c>
      <c r="C30" s="4" t="s">
        <v>85</v>
      </c>
      <c r="D30" s="4" t="s">
        <v>564</v>
      </c>
      <c r="E30" s="18" t="n">
        <v>0.28</v>
      </c>
      <c r="F30" s="18" t="n">
        <f aca="false">SUMPRODUCT(MAX((Estaciones!$A$5:$A$1064=A30)*ABS(Estaciones!$D$5:$D$1064)))</f>
        <v>0</v>
      </c>
      <c r="G30" s="18" t="n">
        <f aca="false">_xlfn.MAXIFS(Estaciones!$T$5:$T$1064,Estaciones!$A$5:$A$1064,A30)</f>
        <v>0.01</v>
      </c>
      <c r="H30" s="18" t="n">
        <f aca="false">_xlfn.MAXIFS(Estaciones!$R$5:$R$1064,Estaciones!$A$5:$A$1064,A30)</f>
        <v>0.11</v>
      </c>
      <c r="I30" s="18" t="n">
        <f aca="false">SUMPRODUCT(MAX((Estaciones!$A$5:$A$1064=A30)*ABS(Estaciones!$K$5:$K$1064)))</f>
        <v>0</v>
      </c>
      <c r="J30" s="18" t="n">
        <f aca="false">_xlfn.MAXIFS(Estaciones!$U$5:$U$1064,Estaciones!$A$5:$A$1064,A30)</f>
        <v>0.01</v>
      </c>
      <c r="K30" s="18" t="n">
        <f aca="false">_xlfn.MAXIFS(Estaciones!$S$5:$S$1064,Estaciones!$A$5:$A$1064,A30)</f>
        <v>0.09</v>
      </c>
      <c r="L30" s="13" t="n">
        <f aca="false">H30/Resumen!$B$10</f>
        <v>0.0724637681159421</v>
      </c>
      <c r="M30" s="13" t="n">
        <f aca="false">K30/Resumen!$B$10</f>
        <v>0.0592885375494071</v>
      </c>
      <c r="N30" s="22" t="n">
        <f aca="false">M30-L30</f>
        <v>-0.0131752305665349</v>
      </c>
      <c r="O30" s="13" t="n">
        <f aca="false">G30/Resumen!$B$11</f>
        <v>0.00988142292490119</v>
      </c>
      <c r="P30" s="13" t="n">
        <f aca="false">J30/Resumen!$B$11</f>
        <v>0.00988142292490119</v>
      </c>
      <c r="Q30" s="4" t="str">
        <f aca="false">IF(S30&gt;=Resumen!$B$8,"AUMENTA",IF(S30&lt;=-Resumen!$B$8,"DISMINUYE","SIN CAMBIO"))</f>
        <v>DISMINUYE</v>
      </c>
      <c r="R30" s="4" t="str">
        <f aca="false">IF(AND(M30&lt;=1,P30&lt;=1),"CUMPLE","NO CUMPLE")</f>
        <v>CUMPLE</v>
      </c>
      <c r="S30" s="23" t="n">
        <f aca="false">K30-H30</f>
        <v>-0.02</v>
      </c>
      <c r="T30" s="12" t="n">
        <f aca="false">IF(H30&lt;0.005,"-",K30/H30-1)</f>
        <v>-0.181818181818182</v>
      </c>
    </row>
    <row r="31" customFormat="false" ht="15" hidden="false" customHeight="false" outlineLevel="0" collapsed="false">
      <c r="A31" s="4" t="n">
        <v>313</v>
      </c>
      <c r="B31" s="4" t="n">
        <v>90</v>
      </c>
      <c r="C31" s="4" t="s">
        <v>85</v>
      </c>
      <c r="D31" s="4" t="s">
        <v>564</v>
      </c>
      <c r="E31" s="18" t="n">
        <v>0.57</v>
      </c>
      <c r="F31" s="18" t="n">
        <f aca="false">SUMPRODUCT(MAX((Estaciones!$A$5:$A$1064=A31)*ABS(Estaciones!$D$5:$D$1064)))</f>
        <v>0</v>
      </c>
      <c r="G31" s="18" t="n">
        <f aca="false">_xlfn.MAXIFS(Estaciones!$T$5:$T$1064,Estaciones!$A$5:$A$1064,A31)</f>
        <v>0.03</v>
      </c>
      <c r="H31" s="18" t="n">
        <f aca="false">_xlfn.MAXIFS(Estaciones!$R$5:$R$1064,Estaciones!$A$5:$A$1064,A31)</f>
        <v>0.15</v>
      </c>
      <c r="I31" s="18" t="n">
        <f aca="false">SUMPRODUCT(MAX((Estaciones!$A$5:$A$1064=A31)*ABS(Estaciones!$K$5:$K$1064)))</f>
        <v>0</v>
      </c>
      <c r="J31" s="18" t="n">
        <f aca="false">_xlfn.MAXIFS(Estaciones!$U$5:$U$1064,Estaciones!$A$5:$A$1064,A31)</f>
        <v>0.04</v>
      </c>
      <c r="K31" s="18" t="n">
        <f aca="false">_xlfn.MAXIFS(Estaciones!$S$5:$S$1064,Estaciones!$A$5:$A$1064,A31)</f>
        <v>0.16</v>
      </c>
      <c r="L31" s="13" t="n">
        <f aca="false">H31/Resumen!$B$10</f>
        <v>0.0988142292490119</v>
      </c>
      <c r="M31" s="13" t="n">
        <f aca="false">K31/Resumen!$B$10</f>
        <v>0.105401844532279</v>
      </c>
      <c r="N31" s="22" t="n">
        <f aca="false">M31-L31</f>
        <v>0.00658761528326746</v>
      </c>
      <c r="O31" s="13" t="n">
        <f aca="false">G31/Resumen!$B$11</f>
        <v>0.0296442687747036</v>
      </c>
      <c r="P31" s="13" t="n">
        <f aca="false">J31/Resumen!$B$11</f>
        <v>0.0395256916996047</v>
      </c>
      <c r="Q31" s="4" t="str">
        <f aca="false">IF(S31&gt;=Resumen!$B$8,"AUMENTA",IF(S31&lt;=-Resumen!$B$8,"DISMINUYE","SIN CAMBIO"))</f>
        <v>SIN CAMBIO</v>
      </c>
      <c r="R31" s="4" t="str">
        <f aca="false">IF(AND(M31&lt;=1,P31&lt;=1),"CUMPLE","NO CUMPLE")</f>
        <v>CUMPLE</v>
      </c>
      <c r="S31" s="23" t="n">
        <f aca="false">K31-H31</f>
        <v>0.01</v>
      </c>
      <c r="T31" s="12" t="n">
        <f aca="false">IF(H31&lt;0.005,"-",K31/H31-1)</f>
        <v>0.0666666666666667</v>
      </c>
    </row>
    <row r="32" customFormat="false" ht="15" hidden="false" customHeight="false" outlineLevel="0" collapsed="false">
      <c r="A32" s="4" t="n">
        <v>314</v>
      </c>
      <c r="B32" s="4" t="n">
        <v>91</v>
      </c>
      <c r="C32" s="4" t="s">
        <v>85</v>
      </c>
      <c r="D32" s="4" t="s">
        <v>564</v>
      </c>
      <c r="E32" s="18" t="n">
        <v>0.28</v>
      </c>
      <c r="F32" s="18" t="n">
        <f aca="false">SUMPRODUCT(MAX((Estaciones!$A$5:$A$1064=A32)*ABS(Estaciones!$D$5:$D$1064)))</f>
        <v>0</v>
      </c>
      <c r="G32" s="18" t="n">
        <f aca="false">_xlfn.MAXIFS(Estaciones!$T$5:$T$1064,Estaciones!$A$5:$A$1064,A32)</f>
        <v>0.07</v>
      </c>
      <c r="H32" s="18" t="n">
        <f aca="false">_xlfn.MAXIFS(Estaciones!$R$5:$R$1064,Estaciones!$A$5:$A$1064,A32)</f>
        <v>0.33</v>
      </c>
      <c r="I32" s="18" t="n">
        <f aca="false">SUMPRODUCT(MAX((Estaciones!$A$5:$A$1064=A32)*ABS(Estaciones!$K$5:$K$1064)))</f>
        <v>0</v>
      </c>
      <c r="J32" s="18" t="n">
        <f aca="false">_xlfn.MAXIFS(Estaciones!$U$5:$U$1064,Estaciones!$A$5:$A$1064,A32)</f>
        <v>0.08</v>
      </c>
      <c r="K32" s="18" t="n">
        <f aca="false">_xlfn.MAXIFS(Estaciones!$S$5:$S$1064,Estaciones!$A$5:$A$1064,A32)</f>
        <v>0.35</v>
      </c>
      <c r="L32" s="13" t="n">
        <f aca="false">H32/Resumen!$B$10</f>
        <v>0.217391304347826</v>
      </c>
      <c r="M32" s="13" t="n">
        <f aca="false">K32/Resumen!$B$10</f>
        <v>0.230566534914361</v>
      </c>
      <c r="N32" s="22" t="n">
        <f aca="false">M32-L32</f>
        <v>0.0131752305665349</v>
      </c>
      <c r="O32" s="13" t="n">
        <f aca="false">G32/Resumen!$B$11</f>
        <v>0.0691699604743083</v>
      </c>
      <c r="P32" s="13" t="n">
        <f aca="false">J32/Resumen!$B$11</f>
        <v>0.0790513833992095</v>
      </c>
      <c r="Q32" s="4" t="str">
        <f aca="false">IF(S32&gt;=Resumen!$B$8,"AUMENTA",IF(S32&lt;=-Resumen!$B$8,"DISMINUYE","SIN CAMBIO"))</f>
        <v>AUMENTA</v>
      </c>
      <c r="R32" s="4" t="str">
        <f aca="false">IF(AND(M32&lt;=1,P32&lt;=1),"CUMPLE","NO CUMPLE")</f>
        <v>CUMPLE</v>
      </c>
      <c r="S32" s="23" t="n">
        <f aca="false">K32-H32</f>
        <v>0.02</v>
      </c>
      <c r="T32" s="12" t="n">
        <f aca="false">IF(H32&lt;0.005,"-",K32/H32-1)</f>
        <v>0.0606060606060606</v>
      </c>
    </row>
    <row r="33" customFormat="false" ht="15" hidden="false" customHeight="false" outlineLevel="0" collapsed="false">
      <c r="A33" s="4" t="n">
        <v>324</v>
      </c>
      <c r="B33" s="4" t="n">
        <v>101</v>
      </c>
      <c r="C33" s="4" t="s">
        <v>85</v>
      </c>
      <c r="D33" s="4" t="s">
        <v>564</v>
      </c>
      <c r="E33" s="18" t="n">
        <v>0.28</v>
      </c>
      <c r="F33" s="18" t="n">
        <f aca="false">SUMPRODUCT(MAX((Estaciones!$A$5:$A$1064=A33)*ABS(Estaciones!$D$5:$D$1064)))</f>
        <v>0</v>
      </c>
      <c r="G33" s="18" t="n">
        <f aca="false">_xlfn.MAXIFS(Estaciones!$T$5:$T$1064,Estaciones!$A$5:$A$1064,A33)</f>
        <v>0</v>
      </c>
      <c r="H33" s="18" t="n">
        <f aca="false">_xlfn.MAXIFS(Estaciones!$R$5:$R$1064,Estaciones!$A$5:$A$1064,A33)</f>
        <v>0.01</v>
      </c>
      <c r="I33" s="18" t="n">
        <f aca="false">SUMPRODUCT(MAX((Estaciones!$A$5:$A$1064=A33)*ABS(Estaciones!$K$5:$K$1064)))</f>
        <v>0</v>
      </c>
      <c r="J33" s="18" t="n">
        <f aca="false">_xlfn.MAXIFS(Estaciones!$U$5:$U$1064,Estaciones!$A$5:$A$1064,A33)</f>
        <v>0.01</v>
      </c>
      <c r="K33" s="18" t="n">
        <f aca="false">_xlfn.MAXIFS(Estaciones!$S$5:$S$1064,Estaciones!$A$5:$A$1064,A33)</f>
        <v>0.01</v>
      </c>
      <c r="L33" s="13" t="n">
        <f aca="false">H33/Resumen!$B$10</f>
        <v>0.00658761528326746</v>
      </c>
      <c r="M33" s="13" t="n">
        <f aca="false">K33/Resumen!$B$10</f>
        <v>0.00658761528326746</v>
      </c>
      <c r="N33" s="22" t="n">
        <f aca="false">M33-L33</f>
        <v>0</v>
      </c>
      <c r="O33" s="13" t="n">
        <f aca="false">G33/Resumen!$B$11</f>
        <v>0</v>
      </c>
      <c r="P33" s="13" t="n">
        <f aca="false">J33/Resumen!$B$11</f>
        <v>0.00988142292490119</v>
      </c>
      <c r="Q33" s="4" t="str">
        <f aca="false">IF(S33&gt;=Resumen!$B$8,"AUMENTA",IF(S33&lt;=-Resumen!$B$8,"DISMINUYE","SIN CAMBIO"))</f>
        <v>SIN CAMBIO</v>
      </c>
      <c r="R33" s="4" t="str">
        <f aca="false">IF(AND(M33&lt;=1,P33&lt;=1),"CUMPLE","NO CUMPLE")</f>
        <v>CUMPLE</v>
      </c>
      <c r="S33" s="23" t="n">
        <f aca="false">K33-H33</f>
        <v>0</v>
      </c>
      <c r="T33" s="12" t="n">
        <f aca="false">IF(H33&lt;0.005,"-",K33/H33-1)</f>
        <v>0</v>
      </c>
    </row>
    <row r="34" customFormat="false" ht="15" hidden="false" customHeight="false" outlineLevel="0" collapsed="false">
      <c r="A34" s="4" t="n">
        <v>325</v>
      </c>
      <c r="B34" s="4" t="n">
        <v>102</v>
      </c>
      <c r="C34" s="4" t="s">
        <v>85</v>
      </c>
      <c r="D34" s="4" t="s">
        <v>564</v>
      </c>
      <c r="E34" s="18" t="n">
        <v>0.28</v>
      </c>
      <c r="F34" s="18" t="n">
        <f aca="false">SUMPRODUCT(MAX((Estaciones!$A$5:$A$1064=A34)*ABS(Estaciones!$D$5:$D$1064)))</f>
        <v>0</v>
      </c>
      <c r="G34" s="18" t="n">
        <f aca="false">_xlfn.MAXIFS(Estaciones!$T$5:$T$1064,Estaciones!$A$5:$A$1064,A34)</f>
        <v>0.05</v>
      </c>
      <c r="H34" s="18" t="n">
        <f aca="false">_xlfn.MAXIFS(Estaciones!$R$5:$R$1064,Estaciones!$A$5:$A$1064,A34)</f>
        <v>0.34</v>
      </c>
      <c r="I34" s="18" t="n">
        <f aca="false">SUMPRODUCT(MAX((Estaciones!$A$5:$A$1064=A34)*ABS(Estaciones!$K$5:$K$1064)))</f>
        <v>0</v>
      </c>
      <c r="J34" s="18" t="n">
        <f aca="false">_xlfn.MAXIFS(Estaciones!$U$5:$U$1064,Estaciones!$A$5:$A$1064,A34)</f>
        <v>0.06</v>
      </c>
      <c r="K34" s="18" t="n">
        <f aca="false">_xlfn.MAXIFS(Estaciones!$S$5:$S$1064,Estaciones!$A$5:$A$1064,A34)</f>
        <v>0.37</v>
      </c>
      <c r="L34" s="13" t="n">
        <f aca="false">H34/Resumen!$B$10</f>
        <v>0.223978919631094</v>
      </c>
      <c r="M34" s="13" t="n">
        <f aca="false">K34/Resumen!$B$10</f>
        <v>0.243741765480896</v>
      </c>
      <c r="N34" s="22" t="n">
        <f aca="false">M34-L34</f>
        <v>0.0197628458498023</v>
      </c>
      <c r="O34" s="13" t="n">
        <f aca="false">G34/Resumen!$B$11</f>
        <v>0.0494071146245059</v>
      </c>
      <c r="P34" s="13" t="n">
        <f aca="false">J34/Resumen!$B$11</f>
        <v>0.0592885375494071</v>
      </c>
      <c r="Q34" s="4" t="str">
        <f aca="false">IF(S34&gt;=Resumen!$B$8,"AUMENTA",IF(S34&lt;=-Resumen!$B$8,"DISMINUYE","SIN CAMBIO"))</f>
        <v>AUMENTA</v>
      </c>
      <c r="R34" s="4" t="str">
        <f aca="false">IF(AND(M34&lt;=1,P34&lt;=1),"CUMPLE","NO CUMPLE")</f>
        <v>CUMPLE</v>
      </c>
      <c r="S34" s="23" t="n">
        <f aca="false">K34-H34</f>
        <v>0.03</v>
      </c>
      <c r="T34" s="12" t="n">
        <f aca="false">IF(H34&lt;0.005,"-",K34/H34-1)</f>
        <v>0.088235294117647</v>
      </c>
    </row>
    <row r="35" customFormat="false" ht="15" hidden="false" customHeight="false" outlineLevel="0" collapsed="false">
      <c r="A35" s="4" t="n">
        <v>348</v>
      </c>
      <c r="B35" s="4" t="n">
        <v>125</v>
      </c>
      <c r="C35" s="4" t="s">
        <v>85</v>
      </c>
      <c r="D35" s="4" t="s">
        <v>564</v>
      </c>
      <c r="E35" s="18" t="n">
        <v>0.57</v>
      </c>
      <c r="F35" s="18" t="n">
        <f aca="false">SUMPRODUCT(MAX((Estaciones!$A$5:$A$1064=A35)*ABS(Estaciones!$D$5:$D$1064)))</f>
        <v>0</v>
      </c>
      <c r="G35" s="18" t="n">
        <f aca="false">_xlfn.MAXIFS(Estaciones!$T$5:$T$1064,Estaciones!$A$5:$A$1064,A35)</f>
        <v>0.01</v>
      </c>
      <c r="H35" s="18" t="n">
        <f aca="false">_xlfn.MAXIFS(Estaciones!$R$5:$R$1064,Estaciones!$A$5:$A$1064,A35)</f>
        <v>0.06</v>
      </c>
      <c r="I35" s="18" t="n">
        <f aca="false">SUMPRODUCT(MAX((Estaciones!$A$5:$A$1064=A35)*ABS(Estaciones!$K$5:$K$1064)))</f>
        <v>0</v>
      </c>
      <c r="J35" s="18" t="n">
        <f aca="false">_xlfn.MAXIFS(Estaciones!$U$5:$U$1064,Estaciones!$A$5:$A$1064,A35)</f>
        <v>0.01</v>
      </c>
      <c r="K35" s="18" t="n">
        <f aca="false">_xlfn.MAXIFS(Estaciones!$S$5:$S$1064,Estaciones!$A$5:$A$1064,A35)</f>
        <v>0.06</v>
      </c>
      <c r="L35" s="13" t="n">
        <f aca="false">H35/Resumen!$B$10</f>
        <v>0.0395256916996047</v>
      </c>
      <c r="M35" s="13" t="n">
        <f aca="false">K35/Resumen!$B$10</f>
        <v>0.0395256916996047</v>
      </c>
      <c r="N35" s="22" t="n">
        <f aca="false">M35-L35</f>
        <v>0</v>
      </c>
      <c r="O35" s="13" t="n">
        <f aca="false">G35/Resumen!$B$11</f>
        <v>0.00988142292490119</v>
      </c>
      <c r="P35" s="13" t="n">
        <f aca="false">J35/Resumen!$B$11</f>
        <v>0.00988142292490119</v>
      </c>
      <c r="Q35" s="4" t="str">
        <f aca="false">IF(S35&gt;=Resumen!$B$8,"AUMENTA",IF(S35&lt;=-Resumen!$B$8,"DISMINUYE","SIN CAMBIO"))</f>
        <v>SIN CAMBIO</v>
      </c>
      <c r="R35" s="4" t="str">
        <f aca="false">IF(AND(M35&lt;=1,P35&lt;=1),"CUMPLE","NO CUMPLE")</f>
        <v>CUMPLE</v>
      </c>
      <c r="S35" s="23" t="n">
        <f aca="false">K35-H35</f>
        <v>0</v>
      </c>
      <c r="T35" s="12" t="n">
        <f aca="false">IF(H35&lt;0.005,"-",K35/H35-1)</f>
        <v>0</v>
      </c>
    </row>
    <row r="36" customFormat="false" ht="15" hidden="false" customHeight="false" outlineLevel="0" collapsed="false">
      <c r="A36" s="4" t="n">
        <v>349</v>
      </c>
      <c r="B36" s="4" t="n">
        <v>126</v>
      </c>
      <c r="C36" s="4" t="s">
        <v>85</v>
      </c>
      <c r="D36" s="4" t="s">
        <v>564</v>
      </c>
      <c r="E36" s="18" t="n">
        <v>0.28</v>
      </c>
      <c r="F36" s="18" t="n">
        <f aca="false">SUMPRODUCT(MAX((Estaciones!$A$5:$A$1064=A36)*ABS(Estaciones!$D$5:$D$1064)))</f>
        <v>0</v>
      </c>
      <c r="G36" s="18" t="n">
        <f aca="false">_xlfn.MAXIFS(Estaciones!$T$5:$T$1064,Estaciones!$A$5:$A$1064,A36)</f>
        <v>0.01</v>
      </c>
      <c r="H36" s="18" t="n">
        <f aca="false">_xlfn.MAXIFS(Estaciones!$R$5:$R$1064,Estaciones!$A$5:$A$1064,A36)</f>
        <v>0.08</v>
      </c>
      <c r="I36" s="18" t="n">
        <f aca="false">SUMPRODUCT(MAX((Estaciones!$A$5:$A$1064=A36)*ABS(Estaciones!$K$5:$K$1064)))</f>
        <v>0</v>
      </c>
      <c r="J36" s="18" t="n">
        <f aca="false">_xlfn.MAXIFS(Estaciones!$U$5:$U$1064,Estaciones!$A$5:$A$1064,A36)</f>
        <v>0.01</v>
      </c>
      <c r="K36" s="18" t="n">
        <f aca="false">_xlfn.MAXIFS(Estaciones!$S$5:$S$1064,Estaciones!$A$5:$A$1064,A36)</f>
        <v>0.08</v>
      </c>
      <c r="L36" s="13" t="n">
        <f aca="false">H36/Resumen!$B$10</f>
        <v>0.0527009222661397</v>
      </c>
      <c r="M36" s="13" t="n">
        <f aca="false">K36/Resumen!$B$10</f>
        <v>0.0527009222661397</v>
      </c>
      <c r="N36" s="22" t="n">
        <f aca="false">M36-L36</f>
        <v>0</v>
      </c>
      <c r="O36" s="13" t="n">
        <f aca="false">G36/Resumen!$B$11</f>
        <v>0.00988142292490119</v>
      </c>
      <c r="P36" s="13" t="n">
        <f aca="false">J36/Resumen!$B$11</f>
        <v>0.00988142292490119</v>
      </c>
      <c r="Q36" s="4" t="str">
        <f aca="false">IF(S36&gt;=Resumen!$B$8,"AUMENTA",IF(S36&lt;=-Resumen!$B$8,"DISMINUYE","SIN CAMBIO"))</f>
        <v>SIN CAMBIO</v>
      </c>
      <c r="R36" s="4" t="str">
        <f aca="false">IF(AND(M36&lt;=1,P36&lt;=1),"CUMPLE","NO CUMPLE")</f>
        <v>CUMPLE</v>
      </c>
      <c r="S36" s="23" t="n">
        <f aca="false">K36-H36</f>
        <v>0</v>
      </c>
      <c r="T36" s="12" t="n">
        <f aca="false">IF(H36&lt;0.005,"-",K36/H36-1)</f>
        <v>0</v>
      </c>
    </row>
    <row r="37" customFormat="false" ht="15" hidden="false" customHeight="false" outlineLevel="0" collapsed="false">
      <c r="A37" s="4" t="n">
        <v>350</v>
      </c>
      <c r="B37" s="4" t="n">
        <v>127</v>
      </c>
      <c r="C37" s="4" t="s">
        <v>85</v>
      </c>
      <c r="D37" s="4" t="s">
        <v>564</v>
      </c>
      <c r="E37" s="18" t="n">
        <v>1.12</v>
      </c>
      <c r="F37" s="18" t="n">
        <f aca="false">SUMPRODUCT(MAX((Estaciones!$A$5:$A$1064=A37)*ABS(Estaciones!$D$5:$D$1064)))</f>
        <v>0</v>
      </c>
      <c r="G37" s="18" t="n">
        <f aca="false">_xlfn.MAXIFS(Estaciones!$T$5:$T$1064,Estaciones!$A$5:$A$1064,A37)</f>
        <v>0</v>
      </c>
      <c r="H37" s="18" t="n">
        <f aca="false">_xlfn.MAXIFS(Estaciones!$R$5:$R$1064,Estaciones!$A$5:$A$1064,A37)</f>
        <v>0.08</v>
      </c>
      <c r="I37" s="18" t="n">
        <f aca="false">SUMPRODUCT(MAX((Estaciones!$A$5:$A$1064=A37)*ABS(Estaciones!$K$5:$K$1064)))</f>
        <v>0</v>
      </c>
      <c r="J37" s="18" t="n">
        <f aca="false">_xlfn.MAXIFS(Estaciones!$U$5:$U$1064,Estaciones!$A$5:$A$1064,A37)</f>
        <v>0</v>
      </c>
      <c r="K37" s="18" t="n">
        <f aca="false">_xlfn.MAXIFS(Estaciones!$S$5:$S$1064,Estaciones!$A$5:$A$1064,A37)</f>
        <v>0.08</v>
      </c>
      <c r="L37" s="13" t="n">
        <f aca="false">H37/Resumen!$B$10</f>
        <v>0.0527009222661397</v>
      </c>
      <c r="M37" s="13" t="n">
        <f aca="false">K37/Resumen!$B$10</f>
        <v>0.0527009222661397</v>
      </c>
      <c r="N37" s="22" t="n">
        <f aca="false">M37-L37</f>
        <v>0</v>
      </c>
      <c r="O37" s="13" t="n">
        <f aca="false">G37/Resumen!$B$11</f>
        <v>0</v>
      </c>
      <c r="P37" s="13" t="n">
        <f aca="false">J37/Resumen!$B$11</f>
        <v>0</v>
      </c>
      <c r="Q37" s="4" t="str">
        <f aca="false">IF(S37&gt;=Resumen!$B$8,"AUMENTA",IF(S37&lt;=-Resumen!$B$8,"DISMINUYE","SIN CAMBIO"))</f>
        <v>SIN CAMBIO</v>
      </c>
      <c r="R37" s="4" t="str">
        <f aca="false">IF(AND(M37&lt;=1,P37&lt;=1),"CUMPLE","NO CUMPLE")</f>
        <v>CUMPLE</v>
      </c>
      <c r="S37" s="23" t="n">
        <f aca="false">K37-H37</f>
        <v>0</v>
      </c>
      <c r="T37" s="12" t="n">
        <f aca="false">IF(H37&lt;0.005,"-",K37/H37-1)</f>
        <v>0</v>
      </c>
    </row>
    <row r="38" customFormat="false" ht="15" hidden="false" customHeight="false" outlineLevel="0" collapsed="false">
      <c r="A38" s="4" t="n">
        <v>351</v>
      </c>
      <c r="B38" s="4" t="n">
        <v>128</v>
      </c>
      <c r="C38" s="4" t="s">
        <v>85</v>
      </c>
      <c r="D38" s="4" t="s">
        <v>564</v>
      </c>
      <c r="E38" s="18" t="n">
        <v>0.28</v>
      </c>
      <c r="F38" s="18" t="n">
        <f aca="false">SUMPRODUCT(MAX((Estaciones!$A$5:$A$1064=A38)*ABS(Estaciones!$D$5:$D$1064)))</f>
        <v>0</v>
      </c>
      <c r="G38" s="18" t="n">
        <f aca="false">_xlfn.MAXIFS(Estaciones!$T$5:$T$1064,Estaciones!$A$5:$A$1064,A38)</f>
        <v>0.01</v>
      </c>
      <c r="H38" s="18" t="n">
        <f aca="false">_xlfn.MAXIFS(Estaciones!$R$5:$R$1064,Estaciones!$A$5:$A$1064,A38)</f>
        <v>0.08</v>
      </c>
      <c r="I38" s="18" t="n">
        <f aca="false">SUMPRODUCT(MAX((Estaciones!$A$5:$A$1064=A38)*ABS(Estaciones!$K$5:$K$1064)))</f>
        <v>0</v>
      </c>
      <c r="J38" s="18" t="n">
        <f aca="false">_xlfn.MAXIFS(Estaciones!$U$5:$U$1064,Estaciones!$A$5:$A$1064,A38)</f>
        <v>0.01</v>
      </c>
      <c r="K38" s="18" t="n">
        <f aca="false">_xlfn.MAXIFS(Estaciones!$S$5:$S$1064,Estaciones!$A$5:$A$1064,A38)</f>
        <v>0.08</v>
      </c>
      <c r="L38" s="13" t="n">
        <f aca="false">H38/Resumen!$B$10</f>
        <v>0.0527009222661397</v>
      </c>
      <c r="M38" s="13" t="n">
        <f aca="false">K38/Resumen!$B$10</f>
        <v>0.0527009222661397</v>
      </c>
      <c r="N38" s="22" t="n">
        <f aca="false">M38-L38</f>
        <v>0</v>
      </c>
      <c r="O38" s="13" t="n">
        <f aca="false">G38/Resumen!$B$11</f>
        <v>0.00988142292490119</v>
      </c>
      <c r="P38" s="13" t="n">
        <f aca="false">J38/Resumen!$B$11</f>
        <v>0.00988142292490119</v>
      </c>
      <c r="Q38" s="4" t="str">
        <f aca="false">IF(S38&gt;=Resumen!$B$8,"AUMENTA",IF(S38&lt;=-Resumen!$B$8,"DISMINUYE","SIN CAMBIO"))</f>
        <v>SIN CAMBIO</v>
      </c>
      <c r="R38" s="4" t="str">
        <f aca="false">IF(AND(M38&lt;=1,P38&lt;=1),"CUMPLE","NO CUMPLE")</f>
        <v>CUMPLE</v>
      </c>
      <c r="S38" s="23" t="n">
        <f aca="false">K38-H38</f>
        <v>0</v>
      </c>
      <c r="T38" s="12" t="n">
        <f aca="false">IF(H38&lt;0.005,"-",K38/H38-1)</f>
        <v>0</v>
      </c>
    </row>
    <row r="39" customFormat="false" ht="15" hidden="false" customHeight="false" outlineLevel="0" collapsed="false">
      <c r="A39" s="4" t="n">
        <v>352</v>
      </c>
      <c r="B39" s="4" t="n">
        <v>129</v>
      </c>
      <c r="C39" s="4" t="s">
        <v>85</v>
      </c>
      <c r="D39" s="4" t="s">
        <v>564</v>
      </c>
      <c r="E39" s="18" t="n">
        <v>0.57</v>
      </c>
      <c r="F39" s="18" t="n">
        <f aca="false">SUMPRODUCT(MAX((Estaciones!$A$5:$A$1064=A39)*ABS(Estaciones!$D$5:$D$1064)))</f>
        <v>0</v>
      </c>
      <c r="G39" s="18" t="n">
        <f aca="false">_xlfn.MAXIFS(Estaciones!$T$5:$T$1064,Estaciones!$A$5:$A$1064,A39)</f>
        <v>0.01</v>
      </c>
      <c r="H39" s="18" t="n">
        <f aca="false">_xlfn.MAXIFS(Estaciones!$R$5:$R$1064,Estaciones!$A$5:$A$1064,A39)</f>
        <v>0.06</v>
      </c>
      <c r="I39" s="18" t="n">
        <f aca="false">SUMPRODUCT(MAX((Estaciones!$A$5:$A$1064=A39)*ABS(Estaciones!$K$5:$K$1064)))</f>
        <v>0</v>
      </c>
      <c r="J39" s="18" t="n">
        <f aca="false">_xlfn.MAXIFS(Estaciones!$U$5:$U$1064,Estaciones!$A$5:$A$1064,A39)</f>
        <v>0.01</v>
      </c>
      <c r="K39" s="18" t="n">
        <f aca="false">_xlfn.MAXIFS(Estaciones!$S$5:$S$1064,Estaciones!$A$5:$A$1064,A39)</f>
        <v>0.07</v>
      </c>
      <c r="L39" s="13" t="n">
        <f aca="false">H39/Resumen!$B$10</f>
        <v>0.0395256916996047</v>
      </c>
      <c r="M39" s="13" t="n">
        <f aca="false">K39/Resumen!$B$10</f>
        <v>0.0461133069828722</v>
      </c>
      <c r="N39" s="22" t="n">
        <f aca="false">M39-L39</f>
        <v>0.00658761528326747</v>
      </c>
      <c r="O39" s="13" t="n">
        <f aca="false">G39/Resumen!$B$11</f>
        <v>0.00988142292490119</v>
      </c>
      <c r="P39" s="13" t="n">
        <f aca="false">J39/Resumen!$B$11</f>
        <v>0.00988142292490119</v>
      </c>
      <c r="Q39" s="4" t="str">
        <f aca="false">IF(S39&gt;=Resumen!$B$8,"AUMENTA",IF(S39&lt;=-Resumen!$B$8,"DISMINUYE","SIN CAMBIO"))</f>
        <v>SIN CAMBIO</v>
      </c>
      <c r="R39" s="4" t="str">
        <f aca="false">IF(AND(M39&lt;=1,P39&lt;=1),"CUMPLE","NO CUMPLE")</f>
        <v>CUMPLE</v>
      </c>
      <c r="S39" s="23" t="n">
        <f aca="false">K39-H39</f>
        <v>0.01</v>
      </c>
      <c r="T39" s="12" t="n">
        <f aca="false">IF(H39&lt;0.005,"-",K39/H39-1)</f>
        <v>0.166666666666667</v>
      </c>
    </row>
    <row r="40" customFormat="false" ht="15" hidden="false" customHeight="false" outlineLevel="0" collapsed="false">
      <c r="A40" s="4" t="n">
        <v>353</v>
      </c>
      <c r="B40" s="4" t="n">
        <v>130</v>
      </c>
      <c r="C40" s="4" t="s">
        <v>85</v>
      </c>
      <c r="D40" s="4" t="s">
        <v>564</v>
      </c>
      <c r="E40" s="18" t="n">
        <v>0.28</v>
      </c>
      <c r="F40" s="18" t="n">
        <f aca="false">SUMPRODUCT(MAX((Estaciones!$A$5:$A$1064=A40)*ABS(Estaciones!$D$5:$D$1064)))</f>
        <v>0</v>
      </c>
      <c r="G40" s="18" t="n">
        <f aca="false">_xlfn.MAXIFS(Estaciones!$T$5:$T$1064,Estaciones!$A$5:$A$1064,A40)</f>
        <v>0</v>
      </c>
      <c r="H40" s="18" t="n">
        <f aca="false">_xlfn.MAXIFS(Estaciones!$R$5:$R$1064,Estaciones!$A$5:$A$1064,A40)</f>
        <v>0.01</v>
      </c>
      <c r="I40" s="18" t="n">
        <f aca="false">SUMPRODUCT(MAX((Estaciones!$A$5:$A$1064=A40)*ABS(Estaciones!$K$5:$K$1064)))</f>
        <v>0</v>
      </c>
      <c r="J40" s="18" t="n">
        <f aca="false">_xlfn.MAXIFS(Estaciones!$U$5:$U$1064,Estaciones!$A$5:$A$1064,A40)</f>
        <v>0</v>
      </c>
      <c r="K40" s="18" t="n">
        <f aca="false">_xlfn.MAXIFS(Estaciones!$S$5:$S$1064,Estaciones!$A$5:$A$1064,A40)</f>
        <v>0.02</v>
      </c>
      <c r="L40" s="13" t="n">
        <f aca="false">H40/Resumen!$B$10</f>
        <v>0.00658761528326746</v>
      </c>
      <c r="M40" s="13" t="n">
        <f aca="false">K40/Resumen!$B$10</f>
        <v>0.0131752305665349</v>
      </c>
      <c r="N40" s="22" t="n">
        <f aca="false">M40-L40</f>
        <v>0.00658761528326746</v>
      </c>
      <c r="O40" s="13" t="n">
        <f aca="false">G40/Resumen!$B$11</f>
        <v>0</v>
      </c>
      <c r="P40" s="13" t="n">
        <f aca="false">J40/Resumen!$B$11</f>
        <v>0</v>
      </c>
      <c r="Q40" s="4" t="str">
        <f aca="false">IF(S40&gt;=Resumen!$B$8,"AUMENTA",IF(S40&lt;=-Resumen!$B$8,"DISMINUYE","SIN CAMBIO"))</f>
        <v>SIN CAMBIO</v>
      </c>
      <c r="R40" s="4" t="str">
        <f aca="false">IF(AND(M40&lt;=1,P40&lt;=1),"CUMPLE","NO CUMPLE")</f>
        <v>CUMPLE</v>
      </c>
      <c r="S40" s="23" t="n">
        <f aca="false">K40-H40</f>
        <v>0.01</v>
      </c>
      <c r="T40" s="12" t="n">
        <f aca="false">IF(H40&lt;0.005,"-",K40/H40-1)</f>
        <v>1</v>
      </c>
    </row>
    <row r="41" customFormat="false" ht="15" hidden="false" customHeight="false" outlineLevel="0" collapsed="false">
      <c r="A41" s="4" t="n">
        <v>354</v>
      </c>
      <c r="B41" s="4" t="n">
        <v>131</v>
      </c>
      <c r="C41" s="4" t="s">
        <v>85</v>
      </c>
      <c r="D41" s="4" t="s">
        <v>564</v>
      </c>
      <c r="E41" s="18" t="n">
        <v>0.57</v>
      </c>
      <c r="F41" s="18" t="n">
        <f aca="false">SUMPRODUCT(MAX((Estaciones!$A$5:$A$1064=A41)*ABS(Estaciones!$D$5:$D$1064)))</f>
        <v>0</v>
      </c>
      <c r="G41" s="18" t="n">
        <f aca="false">_xlfn.MAXIFS(Estaciones!$T$5:$T$1064,Estaciones!$A$5:$A$1064,A41)</f>
        <v>0.02</v>
      </c>
      <c r="H41" s="18" t="n">
        <f aca="false">_xlfn.MAXIFS(Estaciones!$R$5:$R$1064,Estaciones!$A$5:$A$1064,A41)</f>
        <v>0.17</v>
      </c>
      <c r="I41" s="18" t="n">
        <f aca="false">SUMPRODUCT(MAX((Estaciones!$A$5:$A$1064=A41)*ABS(Estaciones!$K$5:$K$1064)))</f>
        <v>0</v>
      </c>
      <c r="J41" s="18" t="n">
        <f aca="false">_xlfn.MAXIFS(Estaciones!$U$5:$U$1064,Estaciones!$A$5:$A$1064,A41)</f>
        <v>0.03</v>
      </c>
      <c r="K41" s="18" t="n">
        <f aca="false">_xlfn.MAXIFS(Estaciones!$S$5:$S$1064,Estaciones!$A$5:$A$1064,A41)</f>
        <v>0.17</v>
      </c>
      <c r="L41" s="13" t="n">
        <f aca="false">H41/Resumen!$B$10</f>
        <v>0.111989459815547</v>
      </c>
      <c r="M41" s="13" t="n">
        <f aca="false">K41/Resumen!$B$10</f>
        <v>0.111989459815547</v>
      </c>
      <c r="N41" s="22" t="n">
        <f aca="false">M41-L41</f>
        <v>0</v>
      </c>
      <c r="O41" s="13" t="n">
        <f aca="false">G41/Resumen!$B$11</f>
        <v>0.0197628458498024</v>
      </c>
      <c r="P41" s="13" t="n">
        <f aca="false">J41/Resumen!$B$11</f>
        <v>0.0296442687747036</v>
      </c>
      <c r="Q41" s="4" t="str">
        <f aca="false">IF(S41&gt;=Resumen!$B$8,"AUMENTA",IF(S41&lt;=-Resumen!$B$8,"DISMINUYE","SIN CAMBIO"))</f>
        <v>SIN CAMBIO</v>
      </c>
      <c r="R41" s="4" t="str">
        <f aca="false">IF(AND(M41&lt;=1,P41&lt;=1),"CUMPLE","NO CUMPLE")</f>
        <v>CUMPLE</v>
      </c>
      <c r="S41" s="23" t="n">
        <f aca="false">K41-H41</f>
        <v>0</v>
      </c>
      <c r="T41" s="12" t="n">
        <f aca="false">IF(H41&lt;0.005,"-",K41/H41-1)</f>
        <v>0</v>
      </c>
    </row>
    <row r="42" customFormat="false" ht="15" hidden="false" customHeight="false" outlineLevel="0" collapsed="false">
      <c r="A42" s="4" t="n">
        <v>355</v>
      </c>
      <c r="B42" s="4" t="n">
        <v>132</v>
      </c>
      <c r="C42" s="4" t="s">
        <v>85</v>
      </c>
      <c r="D42" s="4" t="s">
        <v>564</v>
      </c>
      <c r="E42" s="18" t="n">
        <v>0.28</v>
      </c>
      <c r="F42" s="18" t="n">
        <f aca="false">SUMPRODUCT(MAX((Estaciones!$A$5:$A$1064=A42)*ABS(Estaciones!$D$5:$D$1064)))</f>
        <v>0</v>
      </c>
      <c r="G42" s="18" t="n">
        <f aca="false">_xlfn.MAXIFS(Estaciones!$T$5:$T$1064,Estaciones!$A$5:$A$1064,A42)</f>
        <v>0</v>
      </c>
      <c r="H42" s="18" t="n">
        <f aca="false">_xlfn.MAXIFS(Estaciones!$R$5:$R$1064,Estaciones!$A$5:$A$1064,A42)</f>
        <v>0.1</v>
      </c>
      <c r="I42" s="18" t="n">
        <f aca="false">SUMPRODUCT(MAX((Estaciones!$A$5:$A$1064=A42)*ABS(Estaciones!$K$5:$K$1064)))</f>
        <v>0</v>
      </c>
      <c r="J42" s="18" t="n">
        <f aca="false">_xlfn.MAXIFS(Estaciones!$U$5:$U$1064,Estaciones!$A$5:$A$1064,A42)</f>
        <v>0</v>
      </c>
      <c r="K42" s="18" t="n">
        <f aca="false">_xlfn.MAXIFS(Estaciones!$S$5:$S$1064,Estaciones!$A$5:$A$1064,A42)</f>
        <v>0.1</v>
      </c>
      <c r="L42" s="13" t="n">
        <f aca="false">H42/Resumen!$B$10</f>
        <v>0.0658761528326746</v>
      </c>
      <c r="M42" s="13" t="n">
        <f aca="false">K42/Resumen!$B$10</f>
        <v>0.0658761528326746</v>
      </c>
      <c r="N42" s="22" t="n">
        <f aca="false">M42-L42</f>
        <v>0</v>
      </c>
      <c r="O42" s="13" t="n">
        <f aca="false">G42/Resumen!$B$11</f>
        <v>0</v>
      </c>
      <c r="P42" s="13" t="n">
        <f aca="false">J42/Resumen!$B$11</f>
        <v>0</v>
      </c>
      <c r="Q42" s="4" t="str">
        <f aca="false">IF(S42&gt;=Resumen!$B$8,"AUMENTA",IF(S42&lt;=-Resumen!$B$8,"DISMINUYE","SIN CAMBIO"))</f>
        <v>SIN CAMBIO</v>
      </c>
      <c r="R42" s="4" t="str">
        <f aca="false">IF(AND(M42&lt;=1,P42&lt;=1),"CUMPLE","NO CUMPLE")</f>
        <v>CUMPLE</v>
      </c>
      <c r="S42" s="23" t="n">
        <f aca="false">K42-H42</f>
        <v>0</v>
      </c>
      <c r="T42" s="12" t="n">
        <f aca="false">IF(H42&lt;0.005,"-",K42/H42-1)</f>
        <v>0</v>
      </c>
    </row>
    <row r="43" customFormat="false" ht="15" hidden="false" customHeight="false" outlineLevel="0" collapsed="false">
      <c r="A43" s="4" t="n">
        <v>356</v>
      </c>
      <c r="B43" s="4" t="n">
        <v>133</v>
      </c>
      <c r="C43" s="4" t="s">
        <v>85</v>
      </c>
      <c r="D43" s="4" t="s">
        <v>564</v>
      </c>
      <c r="E43" s="18" t="n">
        <v>1.12</v>
      </c>
      <c r="F43" s="18" t="n">
        <f aca="false">SUMPRODUCT(MAX((Estaciones!$A$5:$A$1064=A43)*ABS(Estaciones!$D$5:$D$1064)))</f>
        <v>0</v>
      </c>
      <c r="G43" s="18" t="n">
        <f aca="false">_xlfn.MAXIFS(Estaciones!$T$5:$T$1064,Estaciones!$A$5:$A$1064,A43)</f>
        <v>0</v>
      </c>
      <c r="H43" s="18" t="n">
        <f aca="false">_xlfn.MAXIFS(Estaciones!$R$5:$R$1064,Estaciones!$A$5:$A$1064,A43)</f>
        <v>0.12</v>
      </c>
      <c r="I43" s="18" t="n">
        <f aca="false">SUMPRODUCT(MAX((Estaciones!$A$5:$A$1064=A43)*ABS(Estaciones!$K$5:$K$1064)))</f>
        <v>0</v>
      </c>
      <c r="J43" s="18" t="n">
        <f aca="false">_xlfn.MAXIFS(Estaciones!$U$5:$U$1064,Estaciones!$A$5:$A$1064,A43)</f>
        <v>0</v>
      </c>
      <c r="K43" s="18" t="n">
        <f aca="false">_xlfn.MAXIFS(Estaciones!$S$5:$S$1064,Estaciones!$A$5:$A$1064,A43)</f>
        <v>0.13</v>
      </c>
      <c r="L43" s="13" t="n">
        <f aca="false">H43/Resumen!$B$10</f>
        <v>0.0790513833992095</v>
      </c>
      <c r="M43" s="13" t="n">
        <f aca="false">K43/Resumen!$B$10</f>
        <v>0.085638998682477</v>
      </c>
      <c r="N43" s="22" t="n">
        <f aca="false">M43-L43</f>
        <v>0.00658761528326747</v>
      </c>
      <c r="O43" s="13" t="n">
        <f aca="false">G43/Resumen!$B$11</f>
        <v>0</v>
      </c>
      <c r="P43" s="13" t="n">
        <f aca="false">J43/Resumen!$B$11</f>
        <v>0</v>
      </c>
      <c r="Q43" s="4" t="str">
        <f aca="false">IF(S43&gt;=Resumen!$B$8,"AUMENTA",IF(S43&lt;=-Resumen!$B$8,"DISMINUYE","SIN CAMBIO"))</f>
        <v>SIN CAMBIO</v>
      </c>
      <c r="R43" s="4" t="str">
        <f aca="false">IF(AND(M43&lt;=1,P43&lt;=1),"CUMPLE","NO CUMPLE")</f>
        <v>CUMPLE</v>
      </c>
      <c r="S43" s="23" t="n">
        <f aca="false">K43-H43</f>
        <v>0.01</v>
      </c>
      <c r="T43" s="12" t="n">
        <f aca="false">IF(H43&lt;0.005,"-",K43/H43-1)</f>
        <v>0.0833333333333335</v>
      </c>
    </row>
    <row r="44" customFormat="false" ht="15" hidden="false" customHeight="false" outlineLevel="0" collapsed="false">
      <c r="A44" s="4" t="n">
        <v>357</v>
      </c>
      <c r="B44" s="4" t="n">
        <v>134</v>
      </c>
      <c r="C44" s="4" t="s">
        <v>85</v>
      </c>
      <c r="D44" s="4" t="s">
        <v>564</v>
      </c>
      <c r="E44" s="18" t="n">
        <v>0.28</v>
      </c>
      <c r="F44" s="18" t="n">
        <f aca="false">SUMPRODUCT(MAX((Estaciones!$A$5:$A$1064=A44)*ABS(Estaciones!$D$5:$D$1064)))</f>
        <v>0</v>
      </c>
      <c r="G44" s="18" t="n">
        <f aca="false">_xlfn.MAXIFS(Estaciones!$T$5:$T$1064,Estaciones!$A$5:$A$1064,A44)</f>
        <v>0.01</v>
      </c>
      <c r="H44" s="18" t="n">
        <f aca="false">_xlfn.MAXIFS(Estaciones!$R$5:$R$1064,Estaciones!$A$5:$A$1064,A44)</f>
        <v>0.12</v>
      </c>
      <c r="I44" s="18" t="n">
        <f aca="false">SUMPRODUCT(MAX((Estaciones!$A$5:$A$1064=A44)*ABS(Estaciones!$K$5:$K$1064)))</f>
        <v>0</v>
      </c>
      <c r="J44" s="18" t="n">
        <f aca="false">_xlfn.MAXIFS(Estaciones!$U$5:$U$1064,Estaciones!$A$5:$A$1064,A44)</f>
        <v>0.01</v>
      </c>
      <c r="K44" s="18" t="n">
        <f aca="false">_xlfn.MAXIFS(Estaciones!$S$5:$S$1064,Estaciones!$A$5:$A$1064,A44)</f>
        <v>0.11</v>
      </c>
      <c r="L44" s="13" t="n">
        <f aca="false">H44/Resumen!$B$10</f>
        <v>0.0790513833992095</v>
      </c>
      <c r="M44" s="13" t="n">
        <f aca="false">K44/Resumen!$B$10</f>
        <v>0.0724637681159421</v>
      </c>
      <c r="N44" s="22" t="n">
        <f aca="false">M44-L44</f>
        <v>-0.00658761528326744</v>
      </c>
      <c r="O44" s="13" t="n">
        <f aca="false">G44/Resumen!$B$11</f>
        <v>0.00988142292490119</v>
      </c>
      <c r="P44" s="13" t="n">
        <f aca="false">J44/Resumen!$B$11</f>
        <v>0.00988142292490119</v>
      </c>
      <c r="Q44" s="4" t="str">
        <f aca="false">IF(S44&gt;=Resumen!$B$8,"AUMENTA",IF(S44&lt;=-Resumen!$B$8,"DISMINUYE","SIN CAMBIO"))</f>
        <v>SIN CAMBIO</v>
      </c>
      <c r="R44" s="4" t="str">
        <f aca="false">IF(AND(M44&lt;=1,P44&lt;=1),"CUMPLE","NO CUMPLE")</f>
        <v>CUMPLE</v>
      </c>
      <c r="S44" s="23" t="n">
        <f aca="false">K44-H44</f>
        <v>-0.01</v>
      </c>
      <c r="T44" s="12" t="n">
        <f aca="false">IF(H44&lt;0.005,"-",K44/H44-1)</f>
        <v>-0.0833333333333333</v>
      </c>
    </row>
    <row r="45" customFormat="false" ht="15" hidden="false" customHeight="false" outlineLevel="0" collapsed="false">
      <c r="A45" s="4" t="n">
        <v>358</v>
      </c>
      <c r="B45" s="4" t="n">
        <v>135</v>
      </c>
      <c r="C45" s="4" t="s">
        <v>85</v>
      </c>
      <c r="D45" s="4" t="s">
        <v>564</v>
      </c>
      <c r="E45" s="18" t="n">
        <v>0.57</v>
      </c>
      <c r="F45" s="18" t="n">
        <f aca="false">SUMPRODUCT(MAX((Estaciones!$A$5:$A$1064=A45)*ABS(Estaciones!$D$5:$D$1064)))</f>
        <v>0</v>
      </c>
      <c r="G45" s="18" t="n">
        <f aca="false">_xlfn.MAXIFS(Estaciones!$T$5:$T$1064,Estaciones!$A$5:$A$1064,A45)</f>
        <v>0.01</v>
      </c>
      <c r="H45" s="18" t="n">
        <f aca="false">_xlfn.MAXIFS(Estaciones!$R$5:$R$1064,Estaciones!$A$5:$A$1064,A45)</f>
        <v>0.1</v>
      </c>
      <c r="I45" s="18" t="n">
        <f aca="false">SUMPRODUCT(MAX((Estaciones!$A$5:$A$1064=A45)*ABS(Estaciones!$K$5:$K$1064)))</f>
        <v>0</v>
      </c>
      <c r="J45" s="18" t="n">
        <f aca="false">_xlfn.MAXIFS(Estaciones!$U$5:$U$1064,Estaciones!$A$5:$A$1064,A45)</f>
        <v>0.01</v>
      </c>
      <c r="K45" s="18" t="n">
        <f aca="false">_xlfn.MAXIFS(Estaciones!$S$5:$S$1064,Estaciones!$A$5:$A$1064,A45)</f>
        <v>0.07</v>
      </c>
      <c r="L45" s="13" t="n">
        <f aca="false">H45/Resumen!$B$10</f>
        <v>0.0658761528326746</v>
      </c>
      <c r="M45" s="13" t="n">
        <f aca="false">K45/Resumen!$B$10</f>
        <v>0.0461133069828722</v>
      </c>
      <c r="N45" s="22" t="n">
        <f aca="false">M45-L45</f>
        <v>-0.0197628458498024</v>
      </c>
      <c r="O45" s="13" t="n">
        <f aca="false">G45/Resumen!$B$11</f>
        <v>0.00988142292490119</v>
      </c>
      <c r="P45" s="13" t="n">
        <f aca="false">J45/Resumen!$B$11</f>
        <v>0.00988142292490119</v>
      </c>
      <c r="Q45" s="4" t="str">
        <f aca="false">IF(S45&gt;=Resumen!$B$8,"AUMENTA",IF(S45&lt;=-Resumen!$B$8,"DISMINUYE","SIN CAMBIO"))</f>
        <v>DISMINUYE</v>
      </c>
      <c r="R45" s="4" t="str">
        <f aca="false">IF(AND(M45&lt;=1,P45&lt;=1),"CUMPLE","NO CUMPLE")</f>
        <v>CUMPLE</v>
      </c>
      <c r="S45" s="23" t="n">
        <f aca="false">K45-H45</f>
        <v>-0.03</v>
      </c>
      <c r="T45" s="12" t="n">
        <f aca="false">IF(H45&lt;0.005,"-",K45/H45-1)</f>
        <v>-0.3</v>
      </c>
    </row>
    <row r="46" customFormat="false" ht="15" hidden="false" customHeight="false" outlineLevel="0" collapsed="false">
      <c r="A46" s="4" t="n">
        <v>359</v>
      </c>
      <c r="B46" s="4" t="n">
        <v>136</v>
      </c>
      <c r="C46" s="4" t="s">
        <v>85</v>
      </c>
      <c r="D46" s="4" t="s">
        <v>564</v>
      </c>
      <c r="E46" s="18" t="n">
        <v>0.28</v>
      </c>
      <c r="F46" s="18" t="n">
        <f aca="false">SUMPRODUCT(MAX((Estaciones!$A$5:$A$1064=A46)*ABS(Estaciones!$D$5:$D$1064)))</f>
        <v>0</v>
      </c>
      <c r="G46" s="18" t="n">
        <f aca="false">_xlfn.MAXIFS(Estaciones!$T$5:$T$1064,Estaciones!$A$5:$A$1064,A46)</f>
        <v>0.07</v>
      </c>
      <c r="H46" s="18" t="n">
        <f aca="false">_xlfn.MAXIFS(Estaciones!$R$5:$R$1064,Estaciones!$A$5:$A$1064,A46)</f>
        <v>0.42</v>
      </c>
      <c r="I46" s="18" t="n">
        <f aca="false">SUMPRODUCT(MAX((Estaciones!$A$5:$A$1064=A46)*ABS(Estaciones!$K$5:$K$1064)))</f>
        <v>0</v>
      </c>
      <c r="J46" s="18" t="n">
        <f aca="false">_xlfn.MAXIFS(Estaciones!$U$5:$U$1064,Estaciones!$A$5:$A$1064,A46)</f>
        <v>0.07</v>
      </c>
      <c r="K46" s="18" t="n">
        <f aca="false">_xlfn.MAXIFS(Estaciones!$S$5:$S$1064,Estaciones!$A$5:$A$1064,A46)</f>
        <v>0.44</v>
      </c>
      <c r="L46" s="13" t="n">
        <f aca="false">H46/Resumen!$B$10</f>
        <v>0.276679841897233</v>
      </c>
      <c r="M46" s="13" t="n">
        <f aca="false">K46/Resumen!$B$10</f>
        <v>0.289855072463768</v>
      </c>
      <c r="N46" s="22" t="n">
        <f aca="false">M46-L46</f>
        <v>0.013175230566535</v>
      </c>
      <c r="O46" s="13" t="n">
        <f aca="false">G46/Resumen!$B$11</f>
        <v>0.0691699604743083</v>
      </c>
      <c r="P46" s="13" t="n">
        <f aca="false">J46/Resumen!$B$11</f>
        <v>0.0691699604743083</v>
      </c>
      <c r="Q46" s="4" t="str">
        <f aca="false">IF(S46&gt;=Resumen!$B$8,"AUMENTA",IF(S46&lt;=-Resumen!$B$8,"DISMINUYE","SIN CAMBIO"))</f>
        <v>AUMENTA</v>
      </c>
      <c r="R46" s="4" t="str">
        <f aca="false">IF(AND(M46&lt;=1,P46&lt;=1),"CUMPLE","NO CUMPLE")</f>
        <v>CUMPLE</v>
      </c>
      <c r="S46" s="23" t="n">
        <f aca="false">K46-H46</f>
        <v>0.02</v>
      </c>
      <c r="T46" s="12" t="n">
        <f aca="false">IF(H46&lt;0.005,"-",K46/H46-1)</f>
        <v>0.0476190476190477</v>
      </c>
    </row>
    <row r="47" customFormat="false" ht="15" hidden="false" customHeight="false" outlineLevel="0" collapsed="false">
      <c r="A47" s="4" t="n">
        <v>233</v>
      </c>
      <c r="B47" s="4" t="n">
        <v>10</v>
      </c>
      <c r="C47" s="4" t="s">
        <v>81</v>
      </c>
      <c r="D47" s="4" t="s">
        <v>564</v>
      </c>
      <c r="E47" s="18" t="n">
        <v>0.14</v>
      </c>
      <c r="F47" s="18" t="n">
        <f aca="false">SUMPRODUCT(MAX((Estaciones!$A$5:$A$1064=A47)*ABS(Estaciones!$D$5:$D$1064)))</f>
        <v>0</v>
      </c>
      <c r="G47" s="18" t="n">
        <f aca="false">_xlfn.MAXIFS(Estaciones!$T$5:$T$1064,Estaciones!$A$5:$A$1064,A47)</f>
        <v>0.03</v>
      </c>
      <c r="H47" s="18" t="n">
        <f aca="false">_xlfn.MAXIFS(Estaciones!$R$5:$R$1064,Estaciones!$A$5:$A$1064,A47)</f>
        <v>0.07</v>
      </c>
      <c r="I47" s="18" t="n">
        <f aca="false">SUMPRODUCT(MAX((Estaciones!$A$5:$A$1064=A47)*ABS(Estaciones!$K$5:$K$1064)))</f>
        <v>0</v>
      </c>
      <c r="J47" s="18" t="n">
        <f aca="false">_xlfn.MAXIFS(Estaciones!$U$5:$U$1064,Estaciones!$A$5:$A$1064,A47)</f>
        <v>0.03</v>
      </c>
      <c r="K47" s="18" t="n">
        <f aca="false">_xlfn.MAXIFS(Estaciones!$S$5:$S$1064,Estaciones!$A$5:$A$1064,A47)</f>
        <v>0.11</v>
      </c>
      <c r="L47" s="13" t="n">
        <f aca="false">H47/Resumen!$B$10</f>
        <v>0.0461133069828722</v>
      </c>
      <c r="M47" s="13" t="n">
        <f aca="false">K47/Resumen!$B$10</f>
        <v>0.0724637681159421</v>
      </c>
      <c r="N47" s="22" t="n">
        <f aca="false">M47-L47</f>
        <v>0.0263504611330698</v>
      </c>
      <c r="O47" s="13" t="n">
        <f aca="false">G47/Resumen!$B$11</f>
        <v>0.0296442687747036</v>
      </c>
      <c r="P47" s="13" t="n">
        <f aca="false">J47/Resumen!$B$11</f>
        <v>0.0296442687747036</v>
      </c>
      <c r="Q47" s="4" t="str">
        <f aca="false">IF(S47&gt;=Resumen!$B$8,"AUMENTA",IF(S47&lt;=-Resumen!$B$8,"DISMINUYE","SIN CAMBIO"))</f>
        <v>AUMENTA</v>
      </c>
      <c r="R47" s="4" t="str">
        <f aca="false">IF(AND(M47&lt;=1,P47&lt;=1),"CUMPLE","NO CUMPLE")</f>
        <v>CUMPLE</v>
      </c>
      <c r="S47" s="23" t="n">
        <f aca="false">K47-H47</f>
        <v>0.04</v>
      </c>
      <c r="T47" s="12" t="n">
        <f aca="false">IF(H47&lt;0.005,"-",K47/H47-1)</f>
        <v>0.571428571428572</v>
      </c>
    </row>
    <row r="48" customFormat="false" ht="15" hidden="false" customHeight="false" outlineLevel="0" collapsed="false">
      <c r="A48" s="4" t="n">
        <v>252</v>
      </c>
      <c r="B48" s="4" t="n">
        <v>29</v>
      </c>
      <c r="C48" s="4" t="s">
        <v>81</v>
      </c>
      <c r="D48" s="4" t="s">
        <v>564</v>
      </c>
      <c r="E48" s="18" t="n">
        <v>0.57</v>
      </c>
      <c r="F48" s="18" t="n">
        <f aca="false">SUMPRODUCT(MAX((Estaciones!$A$5:$A$1064=A48)*ABS(Estaciones!$D$5:$D$1064)))</f>
        <v>0</v>
      </c>
      <c r="G48" s="18" t="n">
        <f aca="false">_xlfn.MAXIFS(Estaciones!$T$5:$T$1064,Estaciones!$A$5:$A$1064,A48)</f>
        <v>0.04</v>
      </c>
      <c r="H48" s="18" t="n">
        <f aca="false">_xlfn.MAXIFS(Estaciones!$R$5:$R$1064,Estaciones!$A$5:$A$1064,A48)</f>
        <v>0.16</v>
      </c>
      <c r="I48" s="18" t="n">
        <f aca="false">SUMPRODUCT(MAX((Estaciones!$A$5:$A$1064=A48)*ABS(Estaciones!$K$5:$K$1064)))</f>
        <v>0</v>
      </c>
      <c r="J48" s="18" t="n">
        <f aca="false">_xlfn.MAXIFS(Estaciones!$U$5:$U$1064,Estaciones!$A$5:$A$1064,A48)</f>
        <v>0.04</v>
      </c>
      <c r="K48" s="18" t="n">
        <f aca="false">_xlfn.MAXIFS(Estaciones!$S$5:$S$1064,Estaciones!$A$5:$A$1064,A48)</f>
        <v>0.18</v>
      </c>
      <c r="L48" s="13" t="n">
        <f aca="false">H48/Resumen!$B$10</f>
        <v>0.105401844532279</v>
      </c>
      <c r="M48" s="13" t="n">
        <f aca="false">K48/Resumen!$B$10</f>
        <v>0.118577075098814</v>
      </c>
      <c r="N48" s="22" t="n">
        <f aca="false">M48-L48</f>
        <v>0.0131752305665349</v>
      </c>
      <c r="O48" s="13" t="n">
        <f aca="false">G48/Resumen!$B$11</f>
        <v>0.0395256916996047</v>
      </c>
      <c r="P48" s="13" t="n">
        <f aca="false">J48/Resumen!$B$11</f>
        <v>0.0395256916996047</v>
      </c>
      <c r="Q48" s="4" t="str">
        <f aca="false">IF(S48&gt;=Resumen!$B$8,"AUMENTA",IF(S48&lt;=-Resumen!$B$8,"DISMINUYE","SIN CAMBIO"))</f>
        <v>AUMENTA</v>
      </c>
      <c r="R48" s="4" t="str">
        <f aca="false">IF(AND(M48&lt;=1,P48&lt;=1),"CUMPLE","NO CUMPLE")</f>
        <v>CUMPLE</v>
      </c>
      <c r="S48" s="23" t="n">
        <f aca="false">K48-H48</f>
        <v>0.02</v>
      </c>
      <c r="T48" s="12" t="n">
        <f aca="false">IF(H48&lt;0.005,"-",K48/H48-1)</f>
        <v>0.125</v>
      </c>
    </row>
    <row r="49" customFormat="false" ht="15" hidden="false" customHeight="false" outlineLevel="0" collapsed="false">
      <c r="A49" s="4" t="n">
        <v>253</v>
      </c>
      <c r="B49" s="4" t="n">
        <v>30</v>
      </c>
      <c r="C49" s="4" t="s">
        <v>81</v>
      </c>
      <c r="D49" s="4" t="s">
        <v>564</v>
      </c>
      <c r="E49" s="18" t="n">
        <v>0.14</v>
      </c>
      <c r="F49" s="18" t="n">
        <f aca="false">SUMPRODUCT(MAX((Estaciones!$A$5:$A$1064=A49)*ABS(Estaciones!$D$5:$D$1064)))</f>
        <v>0</v>
      </c>
      <c r="G49" s="18" t="n">
        <f aca="false">_xlfn.MAXIFS(Estaciones!$T$5:$T$1064,Estaciones!$A$5:$A$1064,A49)</f>
        <v>0.04</v>
      </c>
      <c r="H49" s="18" t="n">
        <f aca="false">_xlfn.MAXIFS(Estaciones!$R$5:$R$1064,Estaciones!$A$5:$A$1064,A49)</f>
        <v>0.18</v>
      </c>
      <c r="I49" s="18" t="n">
        <f aca="false">SUMPRODUCT(MAX((Estaciones!$A$5:$A$1064=A49)*ABS(Estaciones!$K$5:$K$1064)))</f>
        <v>0</v>
      </c>
      <c r="J49" s="18" t="n">
        <f aca="false">_xlfn.MAXIFS(Estaciones!$U$5:$U$1064,Estaciones!$A$5:$A$1064,A49)</f>
        <v>0.04</v>
      </c>
      <c r="K49" s="18" t="n">
        <f aca="false">_xlfn.MAXIFS(Estaciones!$S$5:$S$1064,Estaciones!$A$5:$A$1064,A49)</f>
        <v>0.2</v>
      </c>
      <c r="L49" s="13" t="n">
        <f aca="false">H49/Resumen!$B$10</f>
        <v>0.118577075098814</v>
      </c>
      <c r="M49" s="13" t="n">
        <f aca="false">K49/Resumen!$B$10</f>
        <v>0.131752305665349</v>
      </c>
      <c r="N49" s="22" t="n">
        <f aca="false">M49-L49</f>
        <v>0.0131752305665349</v>
      </c>
      <c r="O49" s="13" t="n">
        <f aca="false">G49/Resumen!$B$11</f>
        <v>0.0395256916996047</v>
      </c>
      <c r="P49" s="13" t="n">
        <f aca="false">J49/Resumen!$B$11</f>
        <v>0.0395256916996047</v>
      </c>
      <c r="Q49" s="4" t="str">
        <f aca="false">IF(S49&gt;=Resumen!$B$8,"AUMENTA",IF(S49&lt;=-Resumen!$B$8,"DISMINUYE","SIN CAMBIO"))</f>
        <v>AUMENTA</v>
      </c>
      <c r="R49" s="4" t="str">
        <f aca="false">IF(AND(M49&lt;=1,P49&lt;=1),"CUMPLE","NO CUMPLE")</f>
        <v>CUMPLE</v>
      </c>
      <c r="S49" s="23" t="n">
        <f aca="false">K49-H49</f>
        <v>0.02</v>
      </c>
      <c r="T49" s="12" t="n">
        <f aca="false">IF(H49&lt;0.005,"-",K49/H49-1)</f>
        <v>0.111111111111111</v>
      </c>
    </row>
    <row r="50" customFormat="false" ht="15" hidden="false" customHeight="false" outlineLevel="0" collapsed="false">
      <c r="A50" s="4" t="n">
        <v>254</v>
      </c>
      <c r="B50" s="4" t="n">
        <v>31</v>
      </c>
      <c r="C50" s="4" t="s">
        <v>81</v>
      </c>
      <c r="D50" s="4" t="s">
        <v>564</v>
      </c>
      <c r="E50" s="18" t="n">
        <v>1.12</v>
      </c>
      <c r="F50" s="18" t="n">
        <f aca="false">SUMPRODUCT(MAX((Estaciones!$A$5:$A$1064=A50)*ABS(Estaciones!$D$5:$D$1064)))</f>
        <v>0</v>
      </c>
      <c r="G50" s="18" t="n">
        <f aca="false">_xlfn.MAXIFS(Estaciones!$T$5:$T$1064,Estaciones!$A$5:$A$1064,A50)</f>
        <v>0.02</v>
      </c>
      <c r="H50" s="18" t="n">
        <f aca="false">_xlfn.MAXIFS(Estaciones!$R$5:$R$1064,Estaciones!$A$5:$A$1064,A50)</f>
        <v>0.11</v>
      </c>
      <c r="I50" s="18" t="n">
        <f aca="false">SUMPRODUCT(MAX((Estaciones!$A$5:$A$1064=A50)*ABS(Estaciones!$K$5:$K$1064)))</f>
        <v>0</v>
      </c>
      <c r="J50" s="18" t="n">
        <f aca="false">_xlfn.MAXIFS(Estaciones!$U$5:$U$1064,Estaciones!$A$5:$A$1064,A50)</f>
        <v>0.03</v>
      </c>
      <c r="K50" s="18" t="n">
        <f aca="false">_xlfn.MAXIFS(Estaciones!$S$5:$S$1064,Estaciones!$A$5:$A$1064,A50)</f>
        <v>0.1</v>
      </c>
      <c r="L50" s="13" t="n">
        <f aca="false">H50/Resumen!$B$10</f>
        <v>0.0724637681159421</v>
      </c>
      <c r="M50" s="13" t="n">
        <f aca="false">K50/Resumen!$B$10</f>
        <v>0.0658761528326746</v>
      </c>
      <c r="N50" s="22" t="n">
        <f aca="false">M50-L50</f>
        <v>-0.00658761528326746</v>
      </c>
      <c r="O50" s="13" t="n">
        <f aca="false">G50/Resumen!$B$11</f>
        <v>0.0197628458498024</v>
      </c>
      <c r="P50" s="13" t="n">
        <f aca="false">J50/Resumen!$B$11</f>
        <v>0.0296442687747036</v>
      </c>
      <c r="Q50" s="4" t="str">
        <f aca="false">IF(S50&gt;=Resumen!$B$8,"AUMENTA",IF(S50&lt;=-Resumen!$B$8,"DISMINUYE","SIN CAMBIO"))</f>
        <v>SIN CAMBIO</v>
      </c>
      <c r="R50" s="4" t="str">
        <f aca="false">IF(AND(M50&lt;=1,P50&lt;=1),"CUMPLE","NO CUMPLE")</f>
        <v>CUMPLE</v>
      </c>
      <c r="S50" s="23" t="n">
        <f aca="false">K50-H50</f>
        <v>-0.01</v>
      </c>
      <c r="T50" s="12" t="n">
        <f aca="false">IF(H50&lt;0.005,"-",K50/H50-1)</f>
        <v>-0.0909090909090908</v>
      </c>
    </row>
    <row r="51" customFormat="false" ht="15" hidden="false" customHeight="false" outlineLevel="0" collapsed="false">
      <c r="A51" s="4" t="n">
        <v>255</v>
      </c>
      <c r="B51" s="4" t="n">
        <v>32</v>
      </c>
      <c r="C51" s="4" t="s">
        <v>81</v>
      </c>
      <c r="D51" s="4" t="s">
        <v>564</v>
      </c>
      <c r="E51" s="18" t="n">
        <v>0.14</v>
      </c>
      <c r="F51" s="18" t="n">
        <f aca="false">SUMPRODUCT(MAX((Estaciones!$A$5:$A$1064=A51)*ABS(Estaciones!$D$5:$D$1064)))</f>
        <v>0</v>
      </c>
      <c r="G51" s="18" t="n">
        <f aca="false">_xlfn.MAXIFS(Estaciones!$T$5:$T$1064,Estaciones!$A$5:$A$1064,A51)</f>
        <v>0.02</v>
      </c>
      <c r="H51" s="18" t="n">
        <f aca="false">_xlfn.MAXIFS(Estaciones!$R$5:$R$1064,Estaciones!$A$5:$A$1064,A51)</f>
        <v>0.03</v>
      </c>
      <c r="I51" s="18" t="n">
        <f aca="false">SUMPRODUCT(MAX((Estaciones!$A$5:$A$1064=A51)*ABS(Estaciones!$K$5:$K$1064)))</f>
        <v>0</v>
      </c>
      <c r="J51" s="18" t="n">
        <f aca="false">_xlfn.MAXIFS(Estaciones!$U$5:$U$1064,Estaciones!$A$5:$A$1064,A51)</f>
        <v>0.02</v>
      </c>
      <c r="K51" s="18" t="n">
        <f aca="false">_xlfn.MAXIFS(Estaciones!$S$5:$S$1064,Estaciones!$A$5:$A$1064,A51)</f>
        <v>0.05</v>
      </c>
      <c r="L51" s="13" t="n">
        <f aca="false">H51/Resumen!$B$10</f>
        <v>0.0197628458498024</v>
      </c>
      <c r="M51" s="13" t="n">
        <f aca="false">K51/Resumen!$B$10</f>
        <v>0.0329380764163373</v>
      </c>
      <c r="N51" s="22" t="n">
        <f aca="false">M51-L51</f>
        <v>0.0131752305665349</v>
      </c>
      <c r="O51" s="13" t="n">
        <f aca="false">G51/Resumen!$B$11</f>
        <v>0.0197628458498024</v>
      </c>
      <c r="P51" s="13" t="n">
        <f aca="false">J51/Resumen!$B$11</f>
        <v>0.0197628458498024</v>
      </c>
      <c r="Q51" s="4" t="str">
        <f aca="false">IF(S51&gt;=Resumen!$B$8,"AUMENTA",IF(S51&lt;=-Resumen!$B$8,"DISMINUYE","SIN CAMBIO"))</f>
        <v>AUMENTA</v>
      </c>
      <c r="R51" s="4" t="str">
        <f aca="false">IF(AND(M51&lt;=1,P51&lt;=1),"CUMPLE","NO CUMPLE")</f>
        <v>CUMPLE</v>
      </c>
      <c r="S51" s="23" t="n">
        <f aca="false">K51-H51</f>
        <v>0.02</v>
      </c>
      <c r="T51" s="12" t="n">
        <f aca="false">IF(H51&lt;0.005,"-",K51/H51-1)</f>
        <v>0.666666666666667</v>
      </c>
    </row>
    <row r="52" customFormat="false" ht="15" hidden="false" customHeight="false" outlineLevel="0" collapsed="false">
      <c r="A52" s="4" t="n">
        <v>256</v>
      </c>
      <c r="B52" s="4" t="n">
        <v>33</v>
      </c>
      <c r="C52" s="4" t="s">
        <v>81</v>
      </c>
      <c r="D52" s="4" t="s">
        <v>564</v>
      </c>
      <c r="E52" s="18" t="n">
        <v>0.57</v>
      </c>
      <c r="F52" s="18" t="n">
        <f aca="false">SUMPRODUCT(MAX((Estaciones!$A$5:$A$1064=A52)*ABS(Estaciones!$D$5:$D$1064)))</f>
        <v>0</v>
      </c>
      <c r="G52" s="18" t="n">
        <f aca="false">_xlfn.MAXIFS(Estaciones!$T$5:$T$1064,Estaciones!$A$5:$A$1064,A52)</f>
        <v>0.04</v>
      </c>
      <c r="H52" s="18" t="n">
        <f aca="false">_xlfn.MAXIFS(Estaciones!$R$5:$R$1064,Estaciones!$A$5:$A$1064,A52)</f>
        <v>0.16</v>
      </c>
      <c r="I52" s="18" t="n">
        <f aca="false">SUMPRODUCT(MAX((Estaciones!$A$5:$A$1064=A52)*ABS(Estaciones!$K$5:$K$1064)))</f>
        <v>0</v>
      </c>
      <c r="J52" s="18" t="n">
        <f aca="false">_xlfn.MAXIFS(Estaciones!$U$5:$U$1064,Estaciones!$A$5:$A$1064,A52)</f>
        <v>0.04</v>
      </c>
      <c r="K52" s="18" t="n">
        <f aca="false">_xlfn.MAXIFS(Estaciones!$S$5:$S$1064,Estaciones!$A$5:$A$1064,A52)</f>
        <v>0.18</v>
      </c>
      <c r="L52" s="13" t="n">
        <f aca="false">H52/Resumen!$B$10</f>
        <v>0.105401844532279</v>
      </c>
      <c r="M52" s="13" t="n">
        <f aca="false">K52/Resumen!$B$10</f>
        <v>0.118577075098814</v>
      </c>
      <c r="N52" s="22" t="n">
        <f aca="false">M52-L52</f>
        <v>0.0131752305665349</v>
      </c>
      <c r="O52" s="13" t="n">
        <f aca="false">G52/Resumen!$B$11</f>
        <v>0.0395256916996047</v>
      </c>
      <c r="P52" s="13" t="n">
        <f aca="false">J52/Resumen!$B$11</f>
        <v>0.0395256916996047</v>
      </c>
      <c r="Q52" s="4" t="str">
        <f aca="false">IF(S52&gt;=Resumen!$B$8,"AUMENTA",IF(S52&lt;=-Resumen!$B$8,"DISMINUYE","SIN CAMBIO"))</f>
        <v>AUMENTA</v>
      </c>
      <c r="R52" s="4" t="str">
        <f aca="false">IF(AND(M52&lt;=1,P52&lt;=1),"CUMPLE","NO CUMPLE")</f>
        <v>CUMPLE</v>
      </c>
      <c r="S52" s="23" t="n">
        <f aca="false">K52-H52</f>
        <v>0.02</v>
      </c>
      <c r="T52" s="12" t="n">
        <f aca="false">IF(H52&lt;0.005,"-",K52/H52-1)</f>
        <v>0.125</v>
      </c>
    </row>
    <row r="53" customFormat="false" ht="15" hidden="false" customHeight="false" outlineLevel="0" collapsed="false">
      <c r="A53" s="4" t="n">
        <v>257</v>
      </c>
      <c r="B53" s="4" t="n">
        <v>34</v>
      </c>
      <c r="C53" s="4" t="s">
        <v>81</v>
      </c>
      <c r="D53" s="4" t="s">
        <v>564</v>
      </c>
      <c r="E53" s="18" t="n">
        <v>0.14</v>
      </c>
      <c r="F53" s="18" t="n">
        <f aca="false">SUMPRODUCT(MAX((Estaciones!$A$5:$A$1064=A53)*ABS(Estaciones!$D$5:$D$1064)))</f>
        <v>0</v>
      </c>
      <c r="G53" s="18" t="n">
        <f aca="false">_xlfn.MAXIFS(Estaciones!$T$5:$T$1064,Estaciones!$A$5:$A$1064,A53)</f>
        <v>0.02</v>
      </c>
      <c r="H53" s="18" t="n">
        <f aca="false">_xlfn.MAXIFS(Estaciones!$R$5:$R$1064,Estaciones!$A$5:$A$1064,A53)</f>
        <v>0.15</v>
      </c>
      <c r="I53" s="18" t="n">
        <f aca="false">SUMPRODUCT(MAX((Estaciones!$A$5:$A$1064=A53)*ABS(Estaciones!$K$5:$K$1064)))</f>
        <v>0</v>
      </c>
      <c r="J53" s="18" t="n">
        <f aca="false">_xlfn.MAXIFS(Estaciones!$U$5:$U$1064,Estaciones!$A$5:$A$1064,A53)</f>
        <v>0.01</v>
      </c>
      <c r="K53" s="18" t="n">
        <f aca="false">_xlfn.MAXIFS(Estaciones!$S$5:$S$1064,Estaciones!$A$5:$A$1064,A53)</f>
        <v>0.12</v>
      </c>
      <c r="L53" s="13" t="n">
        <f aca="false">H53/Resumen!$B$10</f>
        <v>0.0988142292490119</v>
      </c>
      <c r="M53" s="13" t="n">
        <f aca="false">K53/Resumen!$B$10</f>
        <v>0.0790513833992095</v>
      </c>
      <c r="N53" s="22" t="n">
        <f aca="false">M53-L53</f>
        <v>-0.0197628458498024</v>
      </c>
      <c r="O53" s="13" t="n">
        <f aca="false">G53/Resumen!$B$11</f>
        <v>0.0197628458498024</v>
      </c>
      <c r="P53" s="13" t="n">
        <f aca="false">J53/Resumen!$B$11</f>
        <v>0.00988142292490119</v>
      </c>
      <c r="Q53" s="4" t="str">
        <f aca="false">IF(S53&gt;=Resumen!$B$8,"AUMENTA",IF(S53&lt;=-Resumen!$B$8,"DISMINUYE","SIN CAMBIO"))</f>
        <v>DISMINUYE</v>
      </c>
      <c r="R53" s="4" t="str">
        <f aca="false">IF(AND(M53&lt;=1,P53&lt;=1),"CUMPLE","NO CUMPLE")</f>
        <v>CUMPLE</v>
      </c>
      <c r="S53" s="23" t="n">
        <f aca="false">K53-H53</f>
        <v>-0.03</v>
      </c>
      <c r="T53" s="12" t="n">
        <f aca="false">IF(H53&lt;0.005,"-",K53/H53-1)</f>
        <v>-0.2</v>
      </c>
    </row>
    <row r="54" customFormat="false" ht="15" hidden="false" customHeight="false" outlineLevel="0" collapsed="false">
      <c r="A54" s="4" t="n">
        <v>278</v>
      </c>
      <c r="B54" s="4" t="n">
        <v>55</v>
      </c>
      <c r="C54" s="4" t="s">
        <v>81</v>
      </c>
      <c r="D54" s="4" t="s">
        <v>564</v>
      </c>
      <c r="E54" s="18" t="n">
        <v>0.14</v>
      </c>
      <c r="F54" s="18" t="n">
        <f aca="false">SUMPRODUCT(MAX((Estaciones!$A$5:$A$1064=A54)*ABS(Estaciones!$D$5:$D$1064)))</f>
        <v>0</v>
      </c>
      <c r="G54" s="18" t="n">
        <f aca="false">_xlfn.MAXIFS(Estaciones!$T$5:$T$1064,Estaciones!$A$5:$A$1064,A54)</f>
        <v>0.03</v>
      </c>
      <c r="H54" s="18" t="n">
        <f aca="false">_xlfn.MAXIFS(Estaciones!$R$5:$R$1064,Estaciones!$A$5:$A$1064,A54)</f>
        <v>0.05</v>
      </c>
      <c r="I54" s="18" t="n">
        <f aca="false">SUMPRODUCT(MAX((Estaciones!$A$5:$A$1064=A54)*ABS(Estaciones!$K$5:$K$1064)))</f>
        <v>0</v>
      </c>
      <c r="J54" s="18" t="n">
        <f aca="false">_xlfn.MAXIFS(Estaciones!$U$5:$U$1064,Estaciones!$A$5:$A$1064,A54)</f>
        <v>0.03</v>
      </c>
      <c r="K54" s="18" t="n">
        <f aca="false">_xlfn.MAXIFS(Estaciones!$S$5:$S$1064,Estaciones!$A$5:$A$1064,A54)</f>
        <v>0.08</v>
      </c>
      <c r="L54" s="13" t="n">
        <f aca="false">H54/Resumen!$B$10</f>
        <v>0.0329380764163373</v>
      </c>
      <c r="M54" s="13" t="n">
        <f aca="false">K54/Resumen!$B$10</f>
        <v>0.0527009222661397</v>
      </c>
      <c r="N54" s="22" t="n">
        <f aca="false">M54-L54</f>
        <v>0.0197628458498024</v>
      </c>
      <c r="O54" s="13" t="n">
        <f aca="false">G54/Resumen!$B$11</f>
        <v>0.0296442687747036</v>
      </c>
      <c r="P54" s="13" t="n">
        <f aca="false">J54/Resumen!$B$11</f>
        <v>0.0296442687747036</v>
      </c>
      <c r="Q54" s="4" t="str">
        <f aca="false">IF(S54&gt;=Resumen!$B$8,"AUMENTA",IF(S54&lt;=-Resumen!$B$8,"DISMINUYE","SIN CAMBIO"))</f>
        <v>AUMENTA</v>
      </c>
      <c r="R54" s="4" t="str">
        <f aca="false">IF(AND(M54&lt;=1,P54&lt;=1),"CUMPLE","NO CUMPLE")</f>
        <v>CUMPLE</v>
      </c>
      <c r="S54" s="23" t="n">
        <f aca="false">K54-H54</f>
        <v>0.03</v>
      </c>
      <c r="T54" s="12" t="n">
        <f aca="false">IF(H54&lt;0.005,"-",K54/H54-1)</f>
        <v>0.6</v>
      </c>
    </row>
    <row r="55" customFormat="false" ht="15" hidden="false" customHeight="false" outlineLevel="0" collapsed="false">
      <c r="A55" s="4" t="n">
        <v>297</v>
      </c>
      <c r="B55" s="4" t="n">
        <v>74</v>
      </c>
      <c r="C55" s="4" t="s">
        <v>81</v>
      </c>
      <c r="D55" s="4" t="s">
        <v>564</v>
      </c>
      <c r="E55" s="18" t="n">
        <v>0.57</v>
      </c>
      <c r="F55" s="18" t="n">
        <f aca="false">SUMPRODUCT(MAX((Estaciones!$A$5:$A$1064=A55)*ABS(Estaciones!$D$5:$D$1064)))</f>
        <v>0</v>
      </c>
      <c r="G55" s="18" t="n">
        <f aca="false">_xlfn.MAXIFS(Estaciones!$T$5:$T$1064,Estaciones!$A$5:$A$1064,A55)</f>
        <v>0.02</v>
      </c>
      <c r="H55" s="18" t="n">
        <f aca="false">_xlfn.MAXIFS(Estaciones!$R$5:$R$1064,Estaciones!$A$5:$A$1064,A55)</f>
        <v>0.09</v>
      </c>
      <c r="I55" s="18" t="n">
        <f aca="false">SUMPRODUCT(MAX((Estaciones!$A$5:$A$1064=A55)*ABS(Estaciones!$K$5:$K$1064)))</f>
        <v>0</v>
      </c>
      <c r="J55" s="18" t="n">
        <f aca="false">_xlfn.MAXIFS(Estaciones!$U$5:$U$1064,Estaciones!$A$5:$A$1064,A55)</f>
        <v>0.02</v>
      </c>
      <c r="K55" s="18" t="n">
        <f aca="false">_xlfn.MAXIFS(Estaciones!$S$5:$S$1064,Estaciones!$A$5:$A$1064,A55)</f>
        <v>0.08</v>
      </c>
      <c r="L55" s="13" t="n">
        <f aca="false">H55/Resumen!$B$10</f>
        <v>0.0592885375494071</v>
      </c>
      <c r="M55" s="13" t="n">
        <f aca="false">K55/Resumen!$B$10</f>
        <v>0.0527009222661397</v>
      </c>
      <c r="N55" s="22" t="n">
        <f aca="false">M55-L55</f>
        <v>-0.00658761528326746</v>
      </c>
      <c r="O55" s="13" t="n">
        <f aca="false">G55/Resumen!$B$11</f>
        <v>0.0197628458498024</v>
      </c>
      <c r="P55" s="13" t="n">
        <f aca="false">J55/Resumen!$B$11</f>
        <v>0.0197628458498024</v>
      </c>
      <c r="Q55" s="4" t="str">
        <f aca="false">IF(S55&gt;=Resumen!$B$8,"AUMENTA",IF(S55&lt;=-Resumen!$B$8,"DISMINUYE","SIN CAMBIO"))</f>
        <v>SIN CAMBIO</v>
      </c>
      <c r="R55" s="4" t="str">
        <f aca="false">IF(AND(M55&lt;=1,P55&lt;=1),"CUMPLE","NO CUMPLE")</f>
        <v>CUMPLE</v>
      </c>
      <c r="S55" s="23" t="n">
        <f aca="false">K55-H55</f>
        <v>-0.01</v>
      </c>
      <c r="T55" s="12" t="n">
        <f aca="false">IF(H55&lt;0.005,"-",K55/H55-1)</f>
        <v>-0.111111111111111</v>
      </c>
    </row>
    <row r="56" customFormat="false" ht="15" hidden="false" customHeight="false" outlineLevel="0" collapsed="false">
      <c r="A56" s="4" t="n">
        <v>298</v>
      </c>
      <c r="B56" s="4" t="n">
        <v>75</v>
      </c>
      <c r="C56" s="4" t="s">
        <v>81</v>
      </c>
      <c r="D56" s="4" t="s">
        <v>564</v>
      </c>
      <c r="E56" s="18" t="n">
        <v>0.14</v>
      </c>
      <c r="F56" s="18" t="n">
        <f aca="false">SUMPRODUCT(MAX((Estaciones!$A$5:$A$1064=A56)*ABS(Estaciones!$D$5:$D$1064)))</f>
        <v>0</v>
      </c>
      <c r="G56" s="18" t="n">
        <f aca="false">_xlfn.MAXIFS(Estaciones!$T$5:$T$1064,Estaciones!$A$5:$A$1064,A56)</f>
        <v>0.02</v>
      </c>
      <c r="H56" s="18" t="n">
        <f aca="false">_xlfn.MAXIFS(Estaciones!$R$5:$R$1064,Estaciones!$A$5:$A$1064,A56)</f>
        <v>0.1</v>
      </c>
      <c r="I56" s="18" t="n">
        <f aca="false">SUMPRODUCT(MAX((Estaciones!$A$5:$A$1064=A56)*ABS(Estaciones!$K$5:$K$1064)))</f>
        <v>0</v>
      </c>
      <c r="J56" s="18" t="n">
        <f aca="false">_xlfn.MAXIFS(Estaciones!$U$5:$U$1064,Estaciones!$A$5:$A$1064,A56)</f>
        <v>0.01</v>
      </c>
      <c r="K56" s="18" t="n">
        <f aca="false">_xlfn.MAXIFS(Estaciones!$S$5:$S$1064,Estaciones!$A$5:$A$1064,A56)</f>
        <v>0.1</v>
      </c>
      <c r="L56" s="13" t="n">
        <f aca="false">H56/Resumen!$B$10</f>
        <v>0.0658761528326746</v>
      </c>
      <c r="M56" s="13" t="n">
        <f aca="false">K56/Resumen!$B$10</f>
        <v>0.0658761528326746</v>
      </c>
      <c r="N56" s="22" t="n">
        <f aca="false">M56-L56</f>
        <v>0</v>
      </c>
      <c r="O56" s="13" t="n">
        <f aca="false">G56/Resumen!$B$11</f>
        <v>0.0197628458498024</v>
      </c>
      <c r="P56" s="13" t="n">
        <f aca="false">J56/Resumen!$B$11</f>
        <v>0.00988142292490119</v>
      </c>
      <c r="Q56" s="4" t="str">
        <f aca="false">IF(S56&gt;=Resumen!$B$8,"AUMENTA",IF(S56&lt;=-Resumen!$B$8,"DISMINUYE","SIN CAMBIO"))</f>
        <v>SIN CAMBIO</v>
      </c>
      <c r="R56" s="4" t="str">
        <f aca="false">IF(AND(M56&lt;=1,P56&lt;=1),"CUMPLE","NO CUMPLE")</f>
        <v>CUMPLE</v>
      </c>
      <c r="S56" s="23" t="n">
        <f aca="false">K56-H56</f>
        <v>0</v>
      </c>
      <c r="T56" s="12" t="n">
        <f aca="false">IF(H56&lt;0.005,"-",K56/H56-1)</f>
        <v>0</v>
      </c>
    </row>
    <row r="57" customFormat="false" ht="15" hidden="false" customHeight="false" outlineLevel="0" collapsed="false">
      <c r="A57" s="4" t="n">
        <v>299</v>
      </c>
      <c r="B57" s="4" t="n">
        <v>76</v>
      </c>
      <c r="C57" s="4" t="s">
        <v>81</v>
      </c>
      <c r="D57" s="4" t="s">
        <v>564</v>
      </c>
      <c r="E57" s="18" t="n">
        <v>1.12</v>
      </c>
      <c r="F57" s="18" t="n">
        <f aca="false">SUMPRODUCT(MAX((Estaciones!$A$5:$A$1064=A57)*ABS(Estaciones!$D$5:$D$1064)))</f>
        <v>0</v>
      </c>
      <c r="G57" s="18" t="n">
        <f aca="false">_xlfn.MAXIFS(Estaciones!$T$5:$T$1064,Estaciones!$A$5:$A$1064,A57)</f>
        <v>0.02</v>
      </c>
      <c r="H57" s="18" t="n">
        <f aca="false">_xlfn.MAXIFS(Estaciones!$R$5:$R$1064,Estaciones!$A$5:$A$1064,A57)</f>
        <v>0.15</v>
      </c>
      <c r="I57" s="18" t="n">
        <f aca="false">SUMPRODUCT(MAX((Estaciones!$A$5:$A$1064=A57)*ABS(Estaciones!$K$5:$K$1064)))</f>
        <v>0</v>
      </c>
      <c r="J57" s="18" t="n">
        <f aca="false">_xlfn.MAXIFS(Estaciones!$U$5:$U$1064,Estaciones!$A$5:$A$1064,A57)</f>
        <v>0.02</v>
      </c>
      <c r="K57" s="18" t="n">
        <f aca="false">_xlfn.MAXIFS(Estaciones!$S$5:$S$1064,Estaciones!$A$5:$A$1064,A57)</f>
        <v>0.15</v>
      </c>
      <c r="L57" s="13" t="n">
        <f aca="false">H57/Resumen!$B$10</f>
        <v>0.0988142292490119</v>
      </c>
      <c r="M57" s="13" t="n">
        <f aca="false">K57/Resumen!$B$10</f>
        <v>0.0988142292490119</v>
      </c>
      <c r="N57" s="22" t="n">
        <f aca="false">M57-L57</f>
        <v>0</v>
      </c>
      <c r="O57" s="13" t="n">
        <f aca="false">G57/Resumen!$B$11</f>
        <v>0.0197628458498024</v>
      </c>
      <c r="P57" s="13" t="n">
        <f aca="false">J57/Resumen!$B$11</f>
        <v>0.0197628458498024</v>
      </c>
      <c r="Q57" s="4" t="str">
        <f aca="false">IF(S57&gt;=Resumen!$B$8,"AUMENTA",IF(S57&lt;=-Resumen!$B$8,"DISMINUYE","SIN CAMBIO"))</f>
        <v>SIN CAMBIO</v>
      </c>
      <c r="R57" s="4" t="str">
        <f aca="false">IF(AND(M57&lt;=1,P57&lt;=1),"CUMPLE","NO CUMPLE")</f>
        <v>CUMPLE</v>
      </c>
      <c r="S57" s="23" t="n">
        <f aca="false">K57-H57</f>
        <v>0</v>
      </c>
      <c r="T57" s="12" t="n">
        <f aca="false">IF(H57&lt;0.005,"-",K57/H57-1)</f>
        <v>0</v>
      </c>
    </row>
    <row r="58" customFormat="false" ht="15" hidden="false" customHeight="false" outlineLevel="0" collapsed="false">
      <c r="A58" s="4" t="n">
        <v>300</v>
      </c>
      <c r="B58" s="4" t="n">
        <v>77</v>
      </c>
      <c r="C58" s="4" t="s">
        <v>81</v>
      </c>
      <c r="D58" s="4" t="s">
        <v>564</v>
      </c>
      <c r="E58" s="18" t="n">
        <v>0.14</v>
      </c>
      <c r="F58" s="18" t="n">
        <f aca="false">SUMPRODUCT(MAX((Estaciones!$A$5:$A$1064=A58)*ABS(Estaciones!$D$5:$D$1064)))</f>
        <v>0</v>
      </c>
      <c r="G58" s="18" t="n">
        <f aca="false">_xlfn.MAXIFS(Estaciones!$T$5:$T$1064,Estaciones!$A$5:$A$1064,A58)</f>
        <v>0.03</v>
      </c>
      <c r="H58" s="18" t="n">
        <f aca="false">_xlfn.MAXIFS(Estaciones!$R$5:$R$1064,Estaciones!$A$5:$A$1064,A58)</f>
        <v>0.06</v>
      </c>
      <c r="I58" s="18" t="n">
        <f aca="false">SUMPRODUCT(MAX((Estaciones!$A$5:$A$1064=A58)*ABS(Estaciones!$K$5:$K$1064)))</f>
        <v>0</v>
      </c>
      <c r="J58" s="18" t="n">
        <f aca="false">_xlfn.MAXIFS(Estaciones!$U$5:$U$1064,Estaciones!$A$5:$A$1064,A58)</f>
        <v>0.03</v>
      </c>
      <c r="K58" s="18" t="n">
        <f aca="false">_xlfn.MAXIFS(Estaciones!$S$5:$S$1064,Estaciones!$A$5:$A$1064,A58)</f>
        <v>0.07</v>
      </c>
      <c r="L58" s="13" t="n">
        <f aca="false">H58/Resumen!$B$10</f>
        <v>0.0395256916996047</v>
      </c>
      <c r="M58" s="13" t="n">
        <f aca="false">K58/Resumen!$B$10</f>
        <v>0.0461133069828722</v>
      </c>
      <c r="N58" s="22" t="n">
        <f aca="false">M58-L58</f>
        <v>0.00658761528326747</v>
      </c>
      <c r="O58" s="13" t="n">
        <f aca="false">G58/Resumen!$B$11</f>
        <v>0.0296442687747036</v>
      </c>
      <c r="P58" s="13" t="n">
        <f aca="false">J58/Resumen!$B$11</f>
        <v>0.0296442687747036</v>
      </c>
      <c r="Q58" s="4" t="str">
        <f aca="false">IF(S58&gt;=Resumen!$B$8,"AUMENTA",IF(S58&lt;=-Resumen!$B$8,"DISMINUYE","SIN CAMBIO"))</f>
        <v>SIN CAMBIO</v>
      </c>
      <c r="R58" s="4" t="str">
        <f aca="false">IF(AND(M58&lt;=1,P58&lt;=1),"CUMPLE","NO CUMPLE")</f>
        <v>CUMPLE</v>
      </c>
      <c r="S58" s="23" t="n">
        <f aca="false">K58-H58</f>
        <v>0.01</v>
      </c>
      <c r="T58" s="12" t="n">
        <f aca="false">IF(H58&lt;0.005,"-",K58/H58-1)</f>
        <v>0.166666666666667</v>
      </c>
    </row>
    <row r="59" customFormat="false" ht="15" hidden="false" customHeight="false" outlineLevel="0" collapsed="false">
      <c r="A59" s="4" t="n">
        <v>301</v>
      </c>
      <c r="B59" s="4" t="n">
        <v>78</v>
      </c>
      <c r="C59" s="4" t="s">
        <v>81</v>
      </c>
      <c r="D59" s="4" t="s">
        <v>564</v>
      </c>
      <c r="E59" s="18" t="n">
        <v>0.57</v>
      </c>
      <c r="F59" s="18" t="n">
        <f aca="false">SUMPRODUCT(MAX((Estaciones!$A$5:$A$1064=A59)*ABS(Estaciones!$D$5:$D$1064)))</f>
        <v>0</v>
      </c>
      <c r="G59" s="18" t="n">
        <f aca="false">_xlfn.MAXIFS(Estaciones!$T$5:$T$1064,Estaciones!$A$5:$A$1064,A59)</f>
        <v>0.03</v>
      </c>
      <c r="H59" s="18" t="n">
        <f aca="false">_xlfn.MAXIFS(Estaciones!$R$5:$R$1064,Estaciones!$A$5:$A$1064,A59)</f>
        <v>0.1</v>
      </c>
      <c r="I59" s="18" t="n">
        <f aca="false">SUMPRODUCT(MAX((Estaciones!$A$5:$A$1064=A59)*ABS(Estaciones!$K$5:$K$1064)))</f>
        <v>0</v>
      </c>
      <c r="J59" s="18" t="n">
        <f aca="false">_xlfn.MAXIFS(Estaciones!$U$5:$U$1064,Estaciones!$A$5:$A$1064,A59)</f>
        <v>0.04</v>
      </c>
      <c r="K59" s="18" t="n">
        <f aca="false">_xlfn.MAXIFS(Estaciones!$S$5:$S$1064,Estaciones!$A$5:$A$1064,A59)</f>
        <v>0.14</v>
      </c>
      <c r="L59" s="13" t="n">
        <f aca="false">H59/Resumen!$B$10</f>
        <v>0.0658761528326746</v>
      </c>
      <c r="M59" s="13" t="n">
        <f aca="false">K59/Resumen!$B$10</f>
        <v>0.0922266139657444</v>
      </c>
      <c r="N59" s="22" t="n">
        <f aca="false">M59-L59</f>
        <v>0.0263504611330698</v>
      </c>
      <c r="O59" s="13" t="n">
        <f aca="false">G59/Resumen!$B$11</f>
        <v>0.0296442687747036</v>
      </c>
      <c r="P59" s="13" t="n">
        <f aca="false">J59/Resumen!$B$11</f>
        <v>0.0395256916996047</v>
      </c>
      <c r="Q59" s="4" t="str">
        <f aca="false">IF(S59&gt;=Resumen!$B$8,"AUMENTA",IF(S59&lt;=-Resumen!$B$8,"DISMINUYE","SIN CAMBIO"))</f>
        <v>AUMENTA</v>
      </c>
      <c r="R59" s="4" t="str">
        <f aca="false">IF(AND(M59&lt;=1,P59&lt;=1),"CUMPLE","NO CUMPLE")</f>
        <v>CUMPLE</v>
      </c>
      <c r="S59" s="23" t="n">
        <f aca="false">K59-H59</f>
        <v>0.04</v>
      </c>
      <c r="T59" s="12" t="n">
        <f aca="false">IF(H59&lt;0.005,"-",K59/H59-1)</f>
        <v>0.4</v>
      </c>
    </row>
    <row r="60" customFormat="false" ht="15" hidden="false" customHeight="false" outlineLevel="0" collapsed="false">
      <c r="A60" s="4" t="n">
        <v>302</v>
      </c>
      <c r="B60" s="4" t="n">
        <v>79</v>
      </c>
      <c r="C60" s="4" t="s">
        <v>81</v>
      </c>
      <c r="D60" s="4" t="s">
        <v>564</v>
      </c>
      <c r="E60" s="18" t="n">
        <v>0.14</v>
      </c>
      <c r="F60" s="18" t="n">
        <f aca="false">SUMPRODUCT(MAX((Estaciones!$A$5:$A$1064=A60)*ABS(Estaciones!$D$5:$D$1064)))</f>
        <v>0</v>
      </c>
      <c r="G60" s="18" t="n">
        <f aca="false">_xlfn.MAXIFS(Estaciones!$T$5:$T$1064,Estaciones!$A$5:$A$1064,A60)</f>
        <v>0.01</v>
      </c>
      <c r="H60" s="18" t="n">
        <f aca="false">_xlfn.MAXIFS(Estaciones!$R$5:$R$1064,Estaciones!$A$5:$A$1064,A60)</f>
        <v>0.11</v>
      </c>
      <c r="I60" s="18" t="n">
        <f aca="false">SUMPRODUCT(MAX((Estaciones!$A$5:$A$1064=A60)*ABS(Estaciones!$K$5:$K$1064)))</f>
        <v>0</v>
      </c>
      <c r="J60" s="18" t="n">
        <f aca="false">_xlfn.MAXIFS(Estaciones!$U$5:$U$1064,Estaciones!$A$5:$A$1064,A60)</f>
        <v>0.01</v>
      </c>
      <c r="K60" s="18" t="n">
        <f aca="false">_xlfn.MAXIFS(Estaciones!$S$5:$S$1064,Estaciones!$A$5:$A$1064,A60)</f>
        <v>0.1</v>
      </c>
      <c r="L60" s="13" t="n">
        <f aca="false">H60/Resumen!$B$10</f>
        <v>0.0724637681159421</v>
      </c>
      <c r="M60" s="13" t="n">
        <f aca="false">K60/Resumen!$B$10</f>
        <v>0.0658761528326746</v>
      </c>
      <c r="N60" s="22" t="n">
        <f aca="false">M60-L60</f>
        <v>-0.00658761528326746</v>
      </c>
      <c r="O60" s="13" t="n">
        <f aca="false">G60/Resumen!$B$11</f>
        <v>0.00988142292490119</v>
      </c>
      <c r="P60" s="13" t="n">
        <f aca="false">J60/Resumen!$B$11</f>
        <v>0.00988142292490119</v>
      </c>
      <c r="Q60" s="4" t="str">
        <f aca="false">IF(S60&gt;=Resumen!$B$8,"AUMENTA",IF(S60&lt;=-Resumen!$B$8,"DISMINUYE","SIN CAMBIO"))</f>
        <v>SIN CAMBIO</v>
      </c>
      <c r="R60" s="4" t="str">
        <f aca="false">IF(AND(M60&lt;=1,P60&lt;=1),"CUMPLE","NO CUMPLE")</f>
        <v>CUMPLE</v>
      </c>
      <c r="S60" s="23" t="n">
        <f aca="false">K60-H60</f>
        <v>-0.01</v>
      </c>
      <c r="T60" s="12" t="n">
        <f aca="false">IF(H60&lt;0.005,"-",K60/H60-1)</f>
        <v>-0.0909090909090908</v>
      </c>
    </row>
    <row r="61" customFormat="false" ht="15" hidden="false" customHeight="false" outlineLevel="0" collapsed="false">
      <c r="A61" s="4" t="n">
        <v>323</v>
      </c>
      <c r="B61" s="4" t="n">
        <v>100</v>
      </c>
      <c r="C61" s="4" t="s">
        <v>81</v>
      </c>
      <c r="D61" s="4" t="s">
        <v>564</v>
      </c>
      <c r="E61" s="18" t="n">
        <v>0.14</v>
      </c>
      <c r="F61" s="18" t="n">
        <f aca="false">SUMPRODUCT(MAX((Estaciones!$A$5:$A$1064=A61)*ABS(Estaciones!$D$5:$D$1064)))</f>
        <v>0</v>
      </c>
      <c r="G61" s="18" t="n">
        <f aca="false">_xlfn.MAXIFS(Estaciones!$T$5:$T$1064,Estaciones!$A$5:$A$1064,A61)</f>
        <v>0.01</v>
      </c>
      <c r="H61" s="18" t="n">
        <f aca="false">_xlfn.MAXIFS(Estaciones!$R$5:$R$1064,Estaciones!$A$5:$A$1064,A61)</f>
        <v>0.01</v>
      </c>
      <c r="I61" s="18" t="n">
        <f aca="false">SUMPRODUCT(MAX((Estaciones!$A$5:$A$1064=A61)*ABS(Estaciones!$K$5:$K$1064)))</f>
        <v>0</v>
      </c>
      <c r="J61" s="18" t="n">
        <f aca="false">_xlfn.MAXIFS(Estaciones!$U$5:$U$1064,Estaciones!$A$5:$A$1064,A61)</f>
        <v>0.01</v>
      </c>
      <c r="K61" s="18" t="n">
        <f aca="false">_xlfn.MAXIFS(Estaciones!$S$5:$S$1064,Estaciones!$A$5:$A$1064,A61)</f>
        <v>0.01</v>
      </c>
      <c r="L61" s="13" t="n">
        <f aca="false">H61/Resumen!$B$10</f>
        <v>0.00658761528326746</v>
      </c>
      <c r="M61" s="13" t="n">
        <f aca="false">K61/Resumen!$B$10</f>
        <v>0.00658761528326746</v>
      </c>
      <c r="N61" s="22" t="n">
        <f aca="false">M61-L61</f>
        <v>0</v>
      </c>
      <c r="O61" s="13" t="n">
        <f aca="false">G61/Resumen!$B$11</f>
        <v>0.00988142292490119</v>
      </c>
      <c r="P61" s="13" t="n">
        <f aca="false">J61/Resumen!$B$11</f>
        <v>0.00988142292490119</v>
      </c>
      <c r="Q61" s="4" t="str">
        <f aca="false">IF(S61&gt;=Resumen!$B$8,"AUMENTA",IF(S61&lt;=-Resumen!$B$8,"DISMINUYE","SIN CAMBIO"))</f>
        <v>SIN CAMBIO</v>
      </c>
      <c r="R61" s="4" t="str">
        <f aca="false">IF(AND(M61&lt;=1,P61&lt;=1),"CUMPLE","NO CUMPLE")</f>
        <v>CUMPLE</v>
      </c>
      <c r="S61" s="23" t="n">
        <f aca="false">K61-H61</f>
        <v>0</v>
      </c>
      <c r="T61" s="12" t="n">
        <f aca="false">IF(H61&lt;0.005,"-",K61/H61-1)</f>
        <v>0</v>
      </c>
    </row>
    <row r="62" customFormat="false" ht="15" hidden="false" customHeight="false" outlineLevel="0" collapsed="false">
      <c r="A62" s="4" t="n">
        <v>342</v>
      </c>
      <c r="B62" s="4" t="n">
        <v>119</v>
      </c>
      <c r="C62" s="4" t="s">
        <v>81</v>
      </c>
      <c r="D62" s="4" t="s">
        <v>564</v>
      </c>
      <c r="E62" s="18" t="n">
        <v>0.57</v>
      </c>
      <c r="F62" s="18" t="n">
        <f aca="false">SUMPRODUCT(MAX((Estaciones!$A$5:$A$1064=A62)*ABS(Estaciones!$D$5:$D$1064)))</f>
        <v>0</v>
      </c>
      <c r="G62" s="18" t="n">
        <f aca="false">_xlfn.MAXIFS(Estaciones!$T$5:$T$1064,Estaciones!$A$5:$A$1064,A62)</f>
        <v>0.03</v>
      </c>
      <c r="H62" s="18" t="n">
        <f aca="false">_xlfn.MAXIFS(Estaciones!$R$5:$R$1064,Estaciones!$A$5:$A$1064,A62)</f>
        <v>0.11</v>
      </c>
      <c r="I62" s="18" t="n">
        <f aca="false">SUMPRODUCT(MAX((Estaciones!$A$5:$A$1064=A62)*ABS(Estaciones!$K$5:$K$1064)))</f>
        <v>0</v>
      </c>
      <c r="J62" s="18" t="n">
        <f aca="false">_xlfn.MAXIFS(Estaciones!$U$5:$U$1064,Estaciones!$A$5:$A$1064,A62)</f>
        <v>0.04</v>
      </c>
      <c r="K62" s="18" t="n">
        <f aca="false">_xlfn.MAXIFS(Estaciones!$S$5:$S$1064,Estaciones!$A$5:$A$1064,A62)</f>
        <v>0.15</v>
      </c>
      <c r="L62" s="13" t="n">
        <f aca="false">H62/Resumen!$B$10</f>
        <v>0.0724637681159421</v>
      </c>
      <c r="M62" s="13" t="n">
        <f aca="false">K62/Resumen!$B$10</f>
        <v>0.0988142292490119</v>
      </c>
      <c r="N62" s="22" t="n">
        <f aca="false">M62-L62</f>
        <v>0.0263504611330698</v>
      </c>
      <c r="O62" s="13" t="n">
        <f aca="false">G62/Resumen!$B$11</f>
        <v>0.0296442687747036</v>
      </c>
      <c r="P62" s="13" t="n">
        <f aca="false">J62/Resumen!$B$11</f>
        <v>0.0395256916996047</v>
      </c>
      <c r="Q62" s="4" t="str">
        <f aca="false">IF(S62&gt;=Resumen!$B$8,"AUMENTA",IF(S62&lt;=-Resumen!$B$8,"DISMINUYE","SIN CAMBIO"))</f>
        <v>AUMENTA</v>
      </c>
      <c r="R62" s="4" t="str">
        <f aca="false">IF(AND(M62&lt;=1,P62&lt;=1),"CUMPLE","NO CUMPLE")</f>
        <v>CUMPLE</v>
      </c>
      <c r="S62" s="23" t="n">
        <f aca="false">K62-H62</f>
        <v>0.04</v>
      </c>
      <c r="T62" s="12" t="n">
        <f aca="false">IF(H62&lt;0.005,"-",K62/H62-1)</f>
        <v>0.363636363636364</v>
      </c>
    </row>
    <row r="63" customFormat="false" ht="15" hidden="false" customHeight="false" outlineLevel="0" collapsed="false">
      <c r="A63" s="4" t="n">
        <v>343</v>
      </c>
      <c r="B63" s="4" t="n">
        <v>120</v>
      </c>
      <c r="C63" s="4" t="s">
        <v>81</v>
      </c>
      <c r="D63" s="4" t="s">
        <v>564</v>
      </c>
      <c r="E63" s="18" t="n">
        <v>0.14</v>
      </c>
      <c r="F63" s="18" t="n">
        <f aca="false">SUMPRODUCT(MAX((Estaciones!$A$5:$A$1064=A63)*ABS(Estaciones!$D$5:$D$1064)))</f>
        <v>0</v>
      </c>
      <c r="G63" s="18" t="n">
        <f aca="false">_xlfn.MAXIFS(Estaciones!$T$5:$T$1064,Estaciones!$A$5:$A$1064,A63)</f>
        <v>0.01</v>
      </c>
      <c r="H63" s="18" t="n">
        <f aca="false">_xlfn.MAXIFS(Estaciones!$R$5:$R$1064,Estaciones!$A$5:$A$1064,A63)</f>
        <v>0.11</v>
      </c>
      <c r="I63" s="18" t="n">
        <f aca="false">SUMPRODUCT(MAX((Estaciones!$A$5:$A$1064=A63)*ABS(Estaciones!$K$5:$K$1064)))</f>
        <v>0</v>
      </c>
      <c r="J63" s="18" t="n">
        <f aca="false">_xlfn.MAXIFS(Estaciones!$U$5:$U$1064,Estaciones!$A$5:$A$1064,A63)</f>
        <v>0.02</v>
      </c>
      <c r="K63" s="18" t="n">
        <f aca="false">_xlfn.MAXIFS(Estaciones!$S$5:$S$1064,Estaciones!$A$5:$A$1064,A63)</f>
        <v>0.11</v>
      </c>
      <c r="L63" s="13" t="n">
        <f aca="false">H63/Resumen!$B$10</f>
        <v>0.0724637681159421</v>
      </c>
      <c r="M63" s="13" t="n">
        <f aca="false">K63/Resumen!$B$10</f>
        <v>0.0724637681159421</v>
      </c>
      <c r="N63" s="22" t="n">
        <f aca="false">M63-L63</f>
        <v>0</v>
      </c>
      <c r="O63" s="13" t="n">
        <f aca="false">G63/Resumen!$B$11</f>
        <v>0.00988142292490119</v>
      </c>
      <c r="P63" s="13" t="n">
        <f aca="false">J63/Resumen!$B$11</f>
        <v>0.0197628458498024</v>
      </c>
      <c r="Q63" s="4" t="str">
        <f aca="false">IF(S63&gt;=Resumen!$B$8,"AUMENTA",IF(S63&lt;=-Resumen!$B$8,"DISMINUYE","SIN CAMBIO"))</f>
        <v>SIN CAMBIO</v>
      </c>
      <c r="R63" s="4" t="str">
        <f aca="false">IF(AND(M63&lt;=1,P63&lt;=1),"CUMPLE","NO CUMPLE")</f>
        <v>CUMPLE</v>
      </c>
      <c r="S63" s="23" t="n">
        <f aca="false">K63-H63</f>
        <v>0</v>
      </c>
      <c r="T63" s="12" t="n">
        <f aca="false">IF(H63&lt;0.005,"-",K63/H63-1)</f>
        <v>0</v>
      </c>
    </row>
    <row r="64" customFormat="false" ht="15" hidden="false" customHeight="false" outlineLevel="0" collapsed="false">
      <c r="A64" s="4" t="n">
        <v>344</v>
      </c>
      <c r="B64" s="4" t="n">
        <v>121</v>
      </c>
      <c r="C64" s="4" t="s">
        <v>81</v>
      </c>
      <c r="D64" s="4" t="s">
        <v>564</v>
      </c>
      <c r="E64" s="18" t="n">
        <v>1.12</v>
      </c>
      <c r="F64" s="18" t="n">
        <f aca="false">SUMPRODUCT(MAX((Estaciones!$A$5:$A$1064=A64)*ABS(Estaciones!$D$5:$D$1064)))</f>
        <v>0</v>
      </c>
      <c r="G64" s="18" t="n">
        <f aca="false">_xlfn.MAXIFS(Estaciones!$T$5:$T$1064,Estaciones!$A$5:$A$1064,A64)</f>
        <v>0.02</v>
      </c>
      <c r="H64" s="18" t="n">
        <f aca="false">_xlfn.MAXIFS(Estaciones!$R$5:$R$1064,Estaciones!$A$5:$A$1064,A64)</f>
        <v>0.14</v>
      </c>
      <c r="I64" s="18" t="n">
        <f aca="false">SUMPRODUCT(MAX((Estaciones!$A$5:$A$1064=A64)*ABS(Estaciones!$K$5:$K$1064)))</f>
        <v>0</v>
      </c>
      <c r="J64" s="18" t="n">
        <f aca="false">_xlfn.MAXIFS(Estaciones!$U$5:$U$1064,Estaciones!$A$5:$A$1064,A64)</f>
        <v>0.03</v>
      </c>
      <c r="K64" s="18" t="n">
        <f aca="false">_xlfn.MAXIFS(Estaciones!$S$5:$S$1064,Estaciones!$A$5:$A$1064,A64)</f>
        <v>0.14</v>
      </c>
      <c r="L64" s="13" t="n">
        <f aca="false">H64/Resumen!$B$10</f>
        <v>0.0922266139657444</v>
      </c>
      <c r="M64" s="13" t="n">
        <f aca="false">K64/Resumen!$B$10</f>
        <v>0.0922266139657444</v>
      </c>
      <c r="N64" s="22" t="n">
        <f aca="false">M64-L64</f>
        <v>0</v>
      </c>
      <c r="O64" s="13" t="n">
        <f aca="false">G64/Resumen!$B$11</f>
        <v>0.0197628458498024</v>
      </c>
      <c r="P64" s="13" t="n">
        <f aca="false">J64/Resumen!$B$11</f>
        <v>0.0296442687747036</v>
      </c>
      <c r="Q64" s="4" t="str">
        <f aca="false">IF(S64&gt;=Resumen!$B$8,"AUMENTA",IF(S64&lt;=-Resumen!$B$8,"DISMINUYE","SIN CAMBIO"))</f>
        <v>SIN CAMBIO</v>
      </c>
      <c r="R64" s="4" t="str">
        <f aca="false">IF(AND(M64&lt;=1,P64&lt;=1),"CUMPLE","NO CUMPLE")</f>
        <v>CUMPLE</v>
      </c>
      <c r="S64" s="23" t="n">
        <f aca="false">K64-H64</f>
        <v>0</v>
      </c>
      <c r="T64" s="12" t="n">
        <f aca="false">IF(H64&lt;0.005,"-",K64/H64-1)</f>
        <v>0</v>
      </c>
    </row>
    <row r="65" customFormat="false" ht="15" hidden="false" customHeight="false" outlineLevel="0" collapsed="false">
      <c r="A65" s="4" t="n">
        <v>345</v>
      </c>
      <c r="B65" s="4" t="n">
        <v>122</v>
      </c>
      <c r="C65" s="4" t="s">
        <v>81</v>
      </c>
      <c r="D65" s="4" t="s">
        <v>564</v>
      </c>
      <c r="E65" s="18" t="n">
        <v>0.14</v>
      </c>
      <c r="F65" s="18" t="n">
        <f aca="false">SUMPRODUCT(MAX((Estaciones!$A$5:$A$1064=A65)*ABS(Estaciones!$D$5:$D$1064)))</f>
        <v>0</v>
      </c>
      <c r="G65" s="18" t="n">
        <f aca="false">_xlfn.MAXIFS(Estaciones!$T$5:$T$1064,Estaciones!$A$5:$A$1064,A65)</f>
        <v>0.03</v>
      </c>
      <c r="H65" s="18" t="n">
        <f aca="false">_xlfn.MAXIFS(Estaciones!$R$5:$R$1064,Estaciones!$A$5:$A$1064,A65)</f>
        <v>0.05</v>
      </c>
      <c r="I65" s="18" t="n">
        <f aca="false">SUMPRODUCT(MAX((Estaciones!$A$5:$A$1064=A65)*ABS(Estaciones!$K$5:$K$1064)))</f>
        <v>0</v>
      </c>
      <c r="J65" s="18" t="n">
        <f aca="false">_xlfn.MAXIFS(Estaciones!$U$5:$U$1064,Estaciones!$A$5:$A$1064,A65)</f>
        <v>0.03</v>
      </c>
      <c r="K65" s="18" t="n">
        <f aca="false">_xlfn.MAXIFS(Estaciones!$S$5:$S$1064,Estaciones!$A$5:$A$1064,A65)</f>
        <v>0.05</v>
      </c>
      <c r="L65" s="13" t="n">
        <f aca="false">H65/Resumen!$B$10</f>
        <v>0.0329380764163373</v>
      </c>
      <c r="M65" s="13" t="n">
        <f aca="false">K65/Resumen!$B$10</f>
        <v>0.0329380764163373</v>
      </c>
      <c r="N65" s="22" t="n">
        <f aca="false">M65-L65</f>
        <v>0</v>
      </c>
      <c r="O65" s="13" t="n">
        <f aca="false">G65/Resumen!$B$11</f>
        <v>0.0296442687747036</v>
      </c>
      <c r="P65" s="13" t="n">
        <f aca="false">J65/Resumen!$B$11</f>
        <v>0.0296442687747036</v>
      </c>
      <c r="Q65" s="4" t="str">
        <f aca="false">IF(S65&gt;=Resumen!$B$8,"AUMENTA",IF(S65&lt;=-Resumen!$B$8,"DISMINUYE","SIN CAMBIO"))</f>
        <v>SIN CAMBIO</v>
      </c>
      <c r="R65" s="4" t="str">
        <f aca="false">IF(AND(M65&lt;=1,P65&lt;=1),"CUMPLE","NO CUMPLE")</f>
        <v>CUMPLE</v>
      </c>
      <c r="S65" s="23" t="n">
        <f aca="false">K65-H65</f>
        <v>0</v>
      </c>
      <c r="T65" s="12" t="n">
        <f aca="false">IF(H65&lt;0.005,"-",K65/H65-1)</f>
        <v>0</v>
      </c>
    </row>
    <row r="66" customFormat="false" ht="15" hidden="false" customHeight="false" outlineLevel="0" collapsed="false">
      <c r="A66" s="4" t="n">
        <v>346</v>
      </c>
      <c r="B66" s="4" t="n">
        <v>123</v>
      </c>
      <c r="C66" s="4" t="s">
        <v>81</v>
      </c>
      <c r="D66" s="4" t="s">
        <v>564</v>
      </c>
      <c r="E66" s="18" t="n">
        <v>0.57</v>
      </c>
      <c r="F66" s="18" t="n">
        <f aca="false">SUMPRODUCT(MAX((Estaciones!$A$5:$A$1064=A66)*ABS(Estaciones!$D$5:$D$1064)))</f>
        <v>0</v>
      </c>
      <c r="G66" s="18" t="n">
        <f aca="false">_xlfn.MAXIFS(Estaciones!$T$5:$T$1064,Estaciones!$A$5:$A$1064,A66)</f>
        <v>0.02</v>
      </c>
      <c r="H66" s="18" t="n">
        <f aca="false">_xlfn.MAXIFS(Estaciones!$R$5:$R$1064,Estaciones!$A$5:$A$1064,A66)</f>
        <v>0.07</v>
      </c>
      <c r="I66" s="18" t="n">
        <f aca="false">SUMPRODUCT(MAX((Estaciones!$A$5:$A$1064=A66)*ABS(Estaciones!$K$5:$K$1064)))</f>
        <v>0</v>
      </c>
      <c r="J66" s="18" t="n">
        <f aca="false">_xlfn.MAXIFS(Estaciones!$U$5:$U$1064,Estaciones!$A$5:$A$1064,A66)</f>
        <v>0.02</v>
      </c>
      <c r="K66" s="18" t="n">
        <f aca="false">_xlfn.MAXIFS(Estaciones!$S$5:$S$1064,Estaciones!$A$5:$A$1064,A66)</f>
        <v>0.06</v>
      </c>
      <c r="L66" s="13" t="n">
        <f aca="false">H66/Resumen!$B$10</f>
        <v>0.0461133069828722</v>
      </c>
      <c r="M66" s="13" t="n">
        <f aca="false">K66/Resumen!$B$10</f>
        <v>0.0395256916996047</v>
      </c>
      <c r="N66" s="22" t="n">
        <f aca="false">M66-L66</f>
        <v>-0.00658761528326747</v>
      </c>
      <c r="O66" s="13" t="n">
        <f aca="false">G66/Resumen!$B$11</f>
        <v>0.0197628458498024</v>
      </c>
      <c r="P66" s="13" t="n">
        <f aca="false">J66/Resumen!$B$11</f>
        <v>0.0197628458498024</v>
      </c>
      <c r="Q66" s="4" t="str">
        <f aca="false">IF(S66&gt;=Resumen!$B$8,"AUMENTA",IF(S66&lt;=-Resumen!$B$8,"DISMINUYE","SIN CAMBIO"))</f>
        <v>SIN CAMBIO</v>
      </c>
      <c r="R66" s="4" t="str">
        <f aca="false">IF(AND(M66&lt;=1,P66&lt;=1),"CUMPLE","NO CUMPLE")</f>
        <v>CUMPLE</v>
      </c>
      <c r="S66" s="23" t="n">
        <f aca="false">K66-H66</f>
        <v>-0.01</v>
      </c>
      <c r="T66" s="12" t="n">
        <f aca="false">IF(H66&lt;0.005,"-",K66/H66-1)</f>
        <v>-0.142857142857143</v>
      </c>
    </row>
    <row r="67" customFormat="false" ht="15" hidden="false" customHeight="false" outlineLevel="0" collapsed="false">
      <c r="A67" s="4" t="n">
        <v>347</v>
      </c>
      <c r="B67" s="4" t="n">
        <v>124</v>
      </c>
      <c r="C67" s="4" t="s">
        <v>81</v>
      </c>
      <c r="D67" s="4" t="s">
        <v>564</v>
      </c>
      <c r="E67" s="18" t="n">
        <v>0.14</v>
      </c>
      <c r="F67" s="18" t="n">
        <f aca="false">SUMPRODUCT(MAX((Estaciones!$A$5:$A$1064=A67)*ABS(Estaciones!$D$5:$D$1064)))</f>
        <v>0</v>
      </c>
      <c r="G67" s="18" t="n">
        <f aca="false">_xlfn.MAXIFS(Estaciones!$T$5:$T$1064,Estaciones!$A$5:$A$1064,A67)</f>
        <v>0.03</v>
      </c>
      <c r="H67" s="18" t="n">
        <f aca="false">_xlfn.MAXIFS(Estaciones!$R$5:$R$1064,Estaciones!$A$5:$A$1064,A67)</f>
        <v>0.08</v>
      </c>
      <c r="I67" s="18" t="n">
        <f aca="false">SUMPRODUCT(MAX((Estaciones!$A$5:$A$1064=A67)*ABS(Estaciones!$K$5:$K$1064)))</f>
        <v>0</v>
      </c>
      <c r="J67" s="18" t="n">
        <f aca="false">_xlfn.MAXIFS(Estaciones!$U$5:$U$1064,Estaciones!$A$5:$A$1064,A67)</f>
        <v>0.03</v>
      </c>
      <c r="K67" s="18" t="n">
        <f aca="false">_xlfn.MAXIFS(Estaciones!$S$5:$S$1064,Estaciones!$A$5:$A$1064,A67)</f>
        <v>0.06</v>
      </c>
      <c r="L67" s="13" t="n">
        <f aca="false">H67/Resumen!$B$10</f>
        <v>0.0527009222661397</v>
      </c>
      <c r="M67" s="13" t="n">
        <f aca="false">K67/Resumen!$B$10</f>
        <v>0.0395256916996048</v>
      </c>
      <c r="N67" s="22" t="n">
        <f aca="false">M67-L67</f>
        <v>-0.0131752305665349</v>
      </c>
      <c r="O67" s="13" t="n">
        <f aca="false">G67/Resumen!$B$11</f>
        <v>0.0296442687747036</v>
      </c>
      <c r="P67" s="13" t="n">
        <f aca="false">J67/Resumen!$B$11</f>
        <v>0.0296442687747036</v>
      </c>
      <c r="Q67" s="4" t="str">
        <f aca="false">IF(S67&gt;=Resumen!$B$8,"AUMENTA",IF(S67&lt;=-Resumen!$B$8,"DISMINUYE","SIN CAMBIO"))</f>
        <v>DISMINUYE</v>
      </c>
      <c r="R67" s="4" t="str">
        <f aca="false">IF(AND(M67&lt;=1,P67&lt;=1),"CUMPLE","NO CUMPLE")</f>
        <v>CUMPLE</v>
      </c>
      <c r="S67" s="23" t="n">
        <f aca="false">K67-H67</f>
        <v>-0.02</v>
      </c>
      <c r="T67" s="12" t="n">
        <f aca="false">IF(H67&lt;0.005,"-",K67/H67-1)</f>
        <v>-0.25</v>
      </c>
    </row>
    <row r="68" customFormat="false" ht="15" hidden="false" customHeight="false" outlineLevel="0" collapsed="false">
      <c r="A68" s="4" t="n">
        <v>399</v>
      </c>
      <c r="B68" s="4" t="n">
        <v>187</v>
      </c>
      <c r="C68" s="4" t="s">
        <v>81</v>
      </c>
      <c r="D68" s="4" t="s">
        <v>564</v>
      </c>
      <c r="E68" s="18" t="n">
        <v>0.14</v>
      </c>
      <c r="F68" s="18" t="n">
        <f aca="false">SUMPRODUCT(MAX((Estaciones!$A$5:$A$1064=A68)*ABS(Estaciones!$D$5:$D$1064)))</f>
        <v>0</v>
      </c>
      <c r="G68" s="18" t="n">
        <f aca="false">_xlfn.MAXIFS(Estaciones!$T$5:$T$1064,Estaciones!$A$5:$A$1064,A68)</f>
        <v>0.02</v>
      </c>
      <c r="H68" s="18" t="n">
        <f aca="false">_xlfn.MAXIFS(Estaciones!$R$5:$R$1064,Estaciones!$A$5:$A$1064,A68)</f>
        <v>0.15</v>
      </c>
      <c r="I68" s="18" t="n">
        <f aca="false">SUMPRODUCT(MAX((Estaciones!$A$5:$A$1064=A68)*ABS(Estaciones!$K$5:$K$1064)))</f>
        <v>0</v>
      </c>
      <c r="J68" s="18" t="n">
        <f aca="false">_xlfn.MAXIFS(Estaciones!$U$5:$U$1064,Estaciones!$A$5:$A$1064,A68)</f>
        <v>0.01</v>
      </c>
      <c r="K68" s="18" t="n">
        <f aca="false">_xlfn.MAXIFS(Estaciones!$S$5:$S$1064,Estaciones!$A$5:$A$1064,A68)</f>
        <v>0.12</v>
      </c>
      <c r="L68" s="13" t="n">
        <f aca="false">H68/Resumen!$B$10</f>
        <v>0.0988142292490119</v>
      </c>
      <c r="M68" s="13" t="n">
        <f aca="false">K68/Resumen!$B$10</f>
        <v>0.0790513833992095</v>
      </c>
      <c r="N68" s="22" t="n">
        <f aca="false">M68-L68</f>
        <v>-0.0197628458498024</v>
      </c>
      <c r="O68" s="13" t="n">
        <f aca="false">G68/Resumen!$B$11</f>
        <v>0.0197628458498024</v>
      </c>
      <c r="P68" s="13" t="n">
        <f aca="false">J68/Resumen!$B$11</f>
        <v>0.00988142292490119</v>
      </c>
      <c r="Q68" s="4" t="str">
        <f aca="false">IF(S68&gt;=Resumen!$B$8,"AUMENTA",IF(S68&lt;=-Resumen!$B$8,"DISMINUYE","SIN CAMBIO"))</f>
        <v>DISMINUYE</v>
      </c>
      <c r="R68" s="4" t="str">
        <f aca="false">IF(AND(M68&lt;=1,P68&lt;=1),"CUMPLE","NO CUMPLE")</f>
        <v>CUMPLE</v>
      </c>
      <c r="S68" s="23" t="n">
        <f aca="false">K68-H68</f>
        <v>-0.03</v>
      </c>
      <c r="T68" s="12" t="n">
        <f aca="false">IF(H68&lt;0.005,"-",K68/H68-1)</f>
        <v>-0.2</v>
      </c>
    </row>
    <row r="69" customFormat="false" ht="15" hidden="false" customHeight="false" outlineLevel="0" collapsed="false">
      <c r="A69" s="4" t="n">
        <v>400</v>
      </c>
      <c r="B69" s="4" t="n">
        <v>188</v>
      </c>
      <c r="C69" s="4" t="s">
        <v>81</v>
      </c>
      <c r="D69" s="4" t="s">
        <v>564</v>
      </c>
      <c r="E69" s="18" t="n">
        <v>0.14</v>
      </c>
      <c r="F69" s="18" t="n">
        <f aca="false">SUMPRODUCT(MAX((Estaciones!$A$5:$A$1064=A69)*ABS(Estaciones!$D$5:$D$1064)))</f>
        <v>0</v>
      </c>
      <c r="G69" s="18" t="n">
        <f aca="false">_xlfn.MAXIFS(Estaciones!$T$5:$T$1064,Estaciones!$A$5:$A$1064,A69)</f>
        <v>0.02</v>
      </c>
      <c r="H69" s="18" t="n">
        <f aca="false">_xlfn.MAXIFS(Estaciones!$R$5:$R$1064,Estaciones!$A$5:$A$1064,A69)</f>
        <v>0.01</v>
      </c>
      <c r="I69" s="18" t="n">
        <f aca="false">SUMPRODUCT(MAX((Estaciones!$A$5:$A$1064=A69)*ABS(Estaciones!$K$5:$K$1064)))</f>
        <v>0</v>
      </c>
      <c r="J69" s="18" t="n">
        <f aca="false">_xlfn.MAXIFS(Estaciones!$U$5:$U$1064,Estaciones!$A$5:$A$1064,A69)</f>
        <v>0.01</v>
      </c>
      <c r="K69" s="18" t="n">
        <f aca="false">_xlfn.MAXIFS(Estaciones!$S$5:$S$1064,Estaciones!$A$5:$A$1064,A69)</f>
        <v>0.03</v>
      </c>
      <c r="L69" s="13" t="n">
        <f aca="false">H69/Resumen!$B$10</f>
        <v>0.00658761528326746</v>
      </c>
      <c r="M69" s="13" t="n">
        <f aca="false">K69/Resumen!$B$10</f>
        <v>0.0197628458498024</v>
      </c>
      <c r="N69" s="22" t="n">
        <f aca="false">M69-L69</f>
        <v>0.0131752305665349</v>
      </c>
      <c r="O69" s="13" t="n">
        <f aca="false">G69/Resumen!$B$11</f>
        <v>0.0197628458498024</v>
      </c>
      <c r="P69" s="13" t="n">
        <f aca="false">J69/Resumen!$B$11</f>
        <v>0.00988142292490119</v>
      </c>
      <c r="Q69" s="4" t="str">
        <f aca="false">IF(S69&gt;=Resumen!$B$8,"AUMENTA",IF(S69&lt;=-Resumen!$B$8,"DISMINUYE","SIN CAMBIO"))</f>
        <v>AUMENTA</v>
      </c>
      <c r="R69" s="4" t="str">
        <f aca="false">IF(AND(M69&lt;=1,P69&lt;=1),"CUMPLE","NO CUMPLE")</f>
        <v>CUMPLE</v>
      </c>
      <c r="S69" s="23" t="n">
        <f aca="false">K69-H69</f>
        <v>0.02</v>
      </c>
      <c r="T69" s="12" t="n">
        <f aca="false">IF(H69&lt;0.005,"-",K69/H69-1)</f>
        <v>2</v>
      </c>
    </row>
    <row r="70" customFormat="false" ht="15" hidden="false" customHeight="false" outlineLevel="0" collapsed="false">
      <c r="A70" s="4" t="n">
        <v>401</v>
      </c>
      <c r="B70" s="4" t="n">
        <v>189</v>
      </c>
      <c r="C70" s="4" t="s">
        <v>81</v>
      </c>
      <c r="D70" s="4" t="s">
        <v>564</v>
      </c>
      <c r="E70" s="18" t="n">
        <v>0.14</v>
      </c>
      <c r="F70" s="18" t="n">
        <f aca="false">SUMPRODUCT(MAX((Estaciones!$A$5:$A$1064=A70)*ABS(Estaciones!$D$5:$D$1064)))</f>
        <v>0</v>
      </c>
      <c r="G70" s="18" t="n">
        <f aca="false">_xlfn.MAXIFS(Estaciones!$T$5:$T$1064,Estaciones!$A$5:$A$1064,A70)</f>
        <v>0.05</v>
      </c>
      <c r="H70" s="18" t="n">
        <f aca="false">_xlfn.MAXIFS(Estaciones!$R$5:$R$1064,Estaciones!$A$5:$A$1064,A70)</f>
        <v>0.18</v>
      </c>
      <c r="I70" s="18" t="n">
        <f aca="false">SUMPRODUCT(MAX((Estaciones!$A$5:$A$1064=A70)*ABS(Estaciones!$K$5:$K$1064)))</f>
        <v>0</v>
      </c>
      <c r="J70" s="18" t="n">
        <f aca="false">_xlfn.MAXIFS(Estaciones!$U$5:$U$1064,Estaciones!$A$5:$A$1064,A70)</f>
        <v>0.05</v>
      </c>
      <c r="K70" s="18" t="n">
        <f aca="false">_xlfn.MAXIFS(Estaciones!$S$5:$S$1064,Estaciones!$A$5:$A$1064,A70)</f>
        <v>0.2</v>
      </c>
      <c r="L70" s="13" t="n">
        <f aca="false">H70/Resumen!$B$10</f>
        <v>0.118577075098814</v>
      </c>
      <c r="M70" s="13" t="n">
        <f aca="false">K70/Resumen!$B$10</f>
        <v>0.131752305665349</v>
      </c>
      <c r="N70" s="22" t="n">
        <f aca="false">M70-L70</f>
        <v>0.0131752305665349</v>
      </c>
      <c r="O70" s="13" t="n">
        <f aca="false">G70/Resumen!$B$11</f>
        <v>0.0494071146245059</v>
      </c>
      <c r="P70" s="13" t="n">
        <f aca="false">J70/Resumen!$B$11</f>
        <v>0.0494071146245059</v>
      </c>
      <c r="Q70" s="4" t="str">
        <f aca="false">IF(S70&gt;=Resumen!$B$8,"AUMENTA",IF(S70&lt;=-Resumen!$B$8,"DISMINUYE","SIN CAMBIO"))</f>
        <v>AUMENTA</v>
      </c>
      <c r="R70" s="4" t="str">
        <f aca="false">IF(AND(M70&lt;=1,P70&lt;=1),"CUMPLE","NO CUMPLE")</f>
        <v>CUMPLE</v>
      </c>
      <c r="S70" s="23" t="n">
        <f aca="false">K70-H70</f>
        <v>0.02</v>
      </c>
      <c r="T70" s="12" t="n">
        <f aca="false">IF(H70&lt;0.005,"-",K70/H70-1)</f>
        <v>0.111111111111111</v>
      </c>
    </row>
    <row r="71" customFormat="false" ht="15" hidden="false" customHeight="false" outlineLevel="0" collapsed="false">
      <c r="A71" s="4" t="n">
        <v>402</v>
      </c>
      <c r="B71" s="4" t="n">
        <v>190</v>
      </c>
      <c r="C71" s="4" t="s">
        <v>81</v>
      </c>
      <c r="D71" s="4" t="s">
        <v>564</v>
      </c>
      <c r="E71" s="18" t="n">
        <v>0.14</v>
      </c>
      <c r="F71" s="18" t="n">
        <f aca="false">SUMPRODUCT(MAX((Estaciones!$A$5:$A$1064=A71)*ABS(Estaciones!$D$5:$D$1064)))</f>
        <v>0</v>
      </c>
      <c r="G71" s="18" t="n">
        <f aca="false">_xlfn.MAXIFS(Estaciones!$T$5:$T$1064,Estaciones!$A$5:$A$1064,A71)</f>
        <v>0.03</v>
      </c>
      <c r="H71" s="18" t="n">
        <f aca="false">_xlfn.MAXIFS(Estaciones!$R$5:$R$1064,Estaciones!$A$5:$A$1064,A71)</f>
        <v>0.07</v>
      </c>
      <c r="I71" s="18" t="n">
        <f aca="false">SUMPRODUCT(MAX((Estaciones!$A$5:$A$1064=A71)*ABS(Estaciones!$K$5:$K$1064)))</f>
        <v>0</v>
      </c>
      <c r="J71" s="18" t="n">
        <f aca="false">_xlfn.MAXIFS(Estaciones!$U$5:$U$1064,Estaciones!$A$5:$A$1064,A71)</f>
        <v>0.03</v>
      </c>
      <c r="K71" s="18" t="n">
        <f aca="false">_xlfn.MAXIFS(Estaciones!$S$5:$S$1064,Estaciones!$A$5:$A$1064,A71)</f>
        <v>0.11</v>
      </c>
      <c r="L71" s="13" t="n">
        <f aca="false">H71/Resumen!$B$10</f>
        <v>0.0461133069828722</v>
      </c>
      <c r="M71" s="13" t="n">
        <f aca="false">K71/Resumen!$B$10</f>
        <v>0.0724637681159421</v>
      </c>
      <c r="N71" s="22" t="n">
        <f aca="false">M71-L71</f>
        <v>0.0263504611330698</v>
      </c>
      <c r="O71" s="13" t="n">
        <f aca="false">G71/Resumen!$B$11</f>
        <v>0.0296442687747036</v>
      </c>
      <c r="P71" s="13" t="n">
        <f aca="false">J71/Resumen!$B$11</f>
        <v>0.0296442687747036</v>
      </c>
      <c r="Q71" s="4" t="str">
        <f aca="false">IF(S71&gt;=Resumen!$B$8,"AUMENTA",IF(S71&lt;=-Resumen!$B$8,"DISMINUYE","SIN CAMBIO"))</f>
        <v>AUMENTA</v>
      </c>
      <c r="R71" s="4" t="str">
        <f aca="false">IF(AND(M71&lt;=1,P71&lt;=1),"CUMPLE","NO CUMPLE")</f>
        <v>CUMPLE</v>
      </c>
      <c r="S71" s="23" t="n">
        <f aca="false">K71-H71</f>
        <v>0.04</v>
      </c>
      <c r="T71" s="12" t="n">
        <f aca="false">IF(H71&lt;0.005,"-",K71/H71-1)</f>
        <v>0.571428571428572</v>
      </c>
    </row>
    <row r="72" customFormat="false" ht="15" hidden="false" customHeight="false" outlineLevel="0" collapsed="false">
      <c r="A72" s="4" t="n">
        <v>403</v>
      </c>
      <c r="B72" s="4" t="n">
        <v>191</v>
      </c>
      <c r="C72" s="4" t="s">
        <v>81</v>
      </c>
      <c r="D72" s="4" t="s">
        <v>564</v>
      </c>
      <c r="E72" s="18" t="n">
        <v>0.14</v>
      </c>
      <c r="F72" s="18" t="n">
        <f aca="false">SUMPRODUCT(MAX((Estaciones!$A$5:$A$1064=A72)*ABS(Estaciones!$D$5:$D$1064)))</f>
        <v>0</v>
      </c>
      <c r="G72" s="18" t="n">
        <f aca="false">_xlfn.MAXIFS(Estaciones!$T$5:$T$1064,Estaciones!$A$5:$A$1064,A72)</f>
        <v>0.03</v>
      </c>
      <c r="H72" s="18" t="n">
        <f aca="false">_xlfn.MAXIFS(Estaciones!$R$5:$R$1064,Estaciones!$A$5:$A$1064,A72)</f>
        <v>0.09</v>
      </c>
      <c r="I72" s="18" t="n">
        <f aca="false">SUMPRODUCT(MAX((Estaciones!$A$5:$A$1064=A72)*ABS(Estaciones!$K$5:$K$1064)))</f>
        <v>0</v>
      </c>
      <c r="J72" s="18" t="n">
        <f aca="false">_xlfn.MAXIFS(Estaciones!$U$5:$U$1064,Estaciones!$A$5:$A$1064,A72)</f>
        <v>0.03</v>
      </c>
      <c r="K72" s="18" t="n">
        <f aca="false">_xlfn.MAXIFS(Estaciones!$S$5:$S$1064,Estaciones!$A$5:$A$1064,A72)</f>
        <v>0.06</v>
      </c>
      <c r="L72" s="13" t="n">
        <f aca="false">H72/Resumen!$B$10</f>
        <v>0.0592885375494071</v>
      </c>
      <c r="M72" s="13" t="n">
        <f aca="false">K72/Resumen!$B$10</f>
        <v>0.0395256916996048</v>
      </c>
      <c r="N72" s="22" t="n">
        <f aca="false">M72-L72</f>
        <v>-0.0197628458498024</v>
      </c>
      <c r="O72" s="13" t="n">
        <f aca="false">G72/Resumen!$B$11</f>
        <v>0.0296442687747036</v>
      </c>
      <c r="P72" s="13" t="n">
        <f aca="false">J72/Resumen!$B$11</f>
        <v>0.0296442687747036</v>
      </c>
      <c r="Q72" s="4" t="str">
        <f aca="false">IF(S72&gt;=Resumen!$B$8,"AUMENTA",IF(S72&lt;=-Resumen!$B$8,"DISMINUYE","SIN CAMBIO"))</f>
        <v>DISMINUYE</v>
      </c>
      <c r="R72" s="4" t="str">
        <f aca="false">IF(AND(M72&lt;=1,P72&lt;=1),"CUMPLE","NO CUMPLE")</f>
        <v>CUMPLE</v>
      </c>
      <c r="S72" s="23" t="n">
        <f aca="false">K72-H72</f>
        <v>-0.03</v>
      </c>
      <c r="T72" s="12" t="n">
        <f aca="false">IF(H72&lt;0.005,"-",K72/H72-1)</f>
        <v>-0.333333333333333</v>
      </c>
    </row>
    <row r="73" customFormat="false" ht="15" hidden="false" customHeight="false" outlineLevel="0" collapsed="false">
      <c r="A73" s="4" t="n">
        <v>404</v>
      </c>
      <c r="B73" s="4" t="n">
        <v>192</v>
      </c>
      <c r="C73" s="4" t="s">
        <v>81</v>
      </c>
      <c r="D73" s="4" t="s">
        <v>564</v>
      </c>
      <c r="E73" s="18" t="n">
        <v>0.14</v>
      </c>
      <c r="F73" s="18" t="n">
        <f aca="false">SUMPRODUCT(MAX((Estaciones!$A$5:$A$1064=A73)*ABS(Estaciones!$D$5:$D$1064)))</f>
        <v>0</v>
      </c>
      <c r="G73" s="18" t="n">
        <f aca="false">_xlfn.MAXIFS(Estaciones!$T$5:$T$1064,Estaciones!$A$5:$A$1064,A73)</f>
        <v>0.03</v>
      </c>
      <c r="H73" s="18" t="n">
        <f aca="false">_xlfn.MAXIFS(Estaciones!$R$5:$R$1064,Estaciones!$A$5:$A$1064,A73)</f>
        <v>0.06</v>
      </c>
      <c r="I73" s="18" t="n">
        <f aca="false">SUMPRODUCT(MAX((Estaciones!$A$5:$A$1064=A73)*ABS(Estaciones!$K$5:$K$1064)))</f>
        <v>0</v>
      </c>
      <c r="J73" s="18" t="n">
        <f aca="false">_xlfn.MAXIFS(Estaciones!$U$5:$U$1064,Estaciones!$A$5:$A$1064,A73)</f>
        <v>0.03</v>
      </c>
      <c r="K73" s="18" t="n">
        <f aca="false">_xlfn.MAXIFS(Estaciones!$S$5:$S$1064,Estaciones!$A$5:$A$1064,A73)</f>
        <v>0.07</v>
      </c>
      <c r="L73" s="13" t="n">
        <f aca="false">H73/Resumen!$B$10</f>
        <v>0.0395256916996047</v>
      </c>
      <c r="M73" s="13" t="n">
        <f aca="false">K73/Resumen!$B$10</f>
        <v>0.0461133069828722</v>
      </c>
      <c r="N73" s="22" t="n">
        <f aca="false">M73-L73</f>
        <v>0.00658761528326747</v>
      </c>
      <c r="O73" s="13" t="n">
        <f aca="false">G73/Resumen!$B$11</f>
        <v>0.0296442687747036</v>
      </c>
      <c r="P73" s="13" t="n">
        <f aca="false">J73/Resumen!$B$11</f>
        <v>0.0296442687747036</v>
      </c>
      <c r="Q73" s="4" t="str">
        <f aca="false">IF(S73&gt;=Resumen!$B$8,"AUMENTA",IF(S73&lt;=-Resumen!$B$8,"DISMINUYE","SIN CAMBIO"))</f>
        <v>SIN CAMBIO</v>
      </c>
      <c r="R73" s="4" t="str">
        <f aca="false">IF(AND(M73&lt;=1,P73&lt;=1),"CUMPLE","NO CUMPLE")</f>
        <v>CUMPLE</v>
      </c>
      <c r="S73" s="23" t="n">
        <f aca="false">K73-H73</f>
        <v>0.01</v>
      </c>
      <c r="T73" s="12" t="n">
        <f aca="false">IF(H73&lt;0.005,"-",K73/H73-1)</f>
        <v>0.166666666666667</v>
      </c>
    </row>
    <row r="74" customFormat="false" ht="15" hidden="false" customHeight="false" outlineLevel="0" collapsed="false">
      <c r="A74" s="4" t="n">
        <v>405</v>
      </c>
      <c r="B74" s="4" t="n">
        <v>193</v>
      </c>
      <c r="C74" s="4" t="s">
        <v>81</v>
      </c>
      <c r="D74" s="4" t="s">
        <v>564</v>
      </c>
      <c r="E74" s="18" t="n">
        <v>0.14</v>
      </c>
      <c r="F74" s="18" t="n">
        <f aca="false">SUMPRODUCT(MAX((Estaciones!$A$5:$A$1064=A74)*ABS(Estaciones!$D$5:$D$1064)))</f>
        <v>0</v>
      </c>
      <c r="G74" s="18" t="n">
        <f aca="false">_xlfn.MAXIFS(Estaciones!$T$5:$T$1064,Estaciones!$A$5:$A$1064,A74)</f>
        <v>0.02</v>
      </c>
      <c r="H74" s="18" t="n">
        <f aca="false">_xlfn.MAXIFS(Estaciones!$R$5:$R$1064,Estaciones!$A$5:$A$1064,A74)</f>
        <v>0.12</v>
      </c>
      <c r="I74" s="18" t="n">
        <f aca="false">SUMPRODUCT(MAX((Estaciones!$A$5:$A$1064=A74)*ABS(Estaciones!$K$5:$K$1064)))</f>
        <v>0</v>
      </c>
      <c r="J74" s="18" t="n">
        <f aca="false">_xlfn.MAXIFS(Estaciones!$U$5:$U$1064,Estaciones!$A$5:$A$1064,A74)</f>
        <v>0.02</v>
      </c>
      <c r="K74" s="18" t="n">
        <f aca="false">_xlfn.MAXIFS(Estaciones!$S$5:$S$1064,Estaciones!$A$5:$A$1064,A74)</f>
        <v>0.13</v>
      </c>
      <c r="L74" s="13" t="n">
        <f aca="false">H74/Resumen!$B$10</f>
        <v>0.0790513833992095</v>
      </c>
      <c r="M74" s="13" t="n">
        <f aca="false">K74/Resumen!$B$10</f>
        <v>0.085638998682477</v>
      </c>
      <c r="N74" s="22" t="n">
        <f aca="false">M74-L74</f>
        <v>0.00658761528326747</v>
      </c>
      <c r="O74" s="13" t="n">
        <f aca="false">G74/Resumen!$B$11</f>
        <v>0.0197628458498024</v>
      </c>
      <c r="P74" s="13" t="n">
        <f aca="false">J74/Resumen!$B$11</f>
        <v>0.0197628458498024</v>
      </c>
      <c r="Q74" s="4" t="str">
        <f aca="false">IF(S74&gt;=Resumen!$B$8,"AUMENTA",IF(S74&lt;=-Resumen!$B$8,"DISMINUYE","SIN CAMBIO"))</f>
        <v>SIN CAMBIO</v>
      </c>
      <c r="R74" s="4" t="str">
        <f aca="false">IF(AND(M74&lt;=1,P74&lt;=1),"CUMPLE","NO CUMPLE")</f>
        <v>CUMPLE</v>
      </c>
      <c r="S74" s="23" t="n">
        <f aca="false">K74-H74</f>
        <v>0.01</v>
      </c>
      <c r="T74" s="12" t="n">
        <f aca="false">IF(H74&lt;0.005,"-",K74/H74-1)</f>
        <v>0.0833333333333335</v>
      </c>
    </row>
    <row r="75" customFormat="false" ht="15" hidden="false" customHeight="false" outlineLevel="0" collapsed="false">
      <c r="A75" s="4" t="n">
        <v>406</v>
      </c>
      <c r="B75" s="4" t="n">
        <v>194</v>
      </c>
      <c r="C75" s="4" t="s">
        <v>81</v>
      </c>
      <c r="D75" s="4" t="s">
        <v>564</v>
      </c>
      <c r="E75" s="18" t="n">
        <v>0.14</v>
      </c>
      <c r="F75" s="18" t="n">
        <f aca="false">SUMPRODUCT(MAX((Estaciones!$A$5:$A$1064=A75)*ABS(Estaciones!$D$5:$D$1064)))</f>
        <v>0</v>
      </c>
      <c r="G75" s="18" t="n">
        <f aca="false">_xlfn.MAXIFS(Estaciones!$T$5:$T$1064,Estaciones!$A$5:$A$1064,A75)</f>
        <v>0.01</v>
      </c>
      <c r="H75" s="18" t="n">
        <f aca="false">_xlfn.MAXIFS(Estaciones!$R$5:$R$1064,Estaciones!$A$5:$A$1064,A75)</f>
        <v>0.02</v>
      </c>
      <c r="I75" s="18" t="n">
        <f aca="false">SUMPRODUCT(MAX((Estaciones!$A$5:$A$1064=A75)*ABS(Estaciones!$K$5:$K$1064)))</f>
        <v>0</v>
      </c>
      <c r="J75" s="18" t="n">
        <f aca="false">_xlfn.MAXIFS(Estaciones!$U$5:$U$1064,Estaciones!$A$5:$A$1064,A75)</f>
        <v>0.01</v>
      </c>
      <c r="K75" s="18" t="n">
        <f aca="false">_xlfn.MAXIFS(Estaciones!$S$5:$S$1064,Estaciones!$A$5:$A$1064,A75)</f>
        <v>0.01</v>
      </c>
      <c r="L75" s="13" t="n">
        <f aca="false">H75/Resumen!$B$10</f>
        <v>0.0131752305665349</v>
      </c>
      <c r="M75" s="13" t="n">
        <f aca="false">K75/Resumen!$B$10</f>
        <v>0.00658761528326746</v>
      </c>
      <c r="N75" s="22" t="n">
        <f aca="false">M75-L75</f>
        <v>-0.00658761528326746</v>
      </c>
      <c r="O75" s="13" t="n">
        <f aca="false">G75/Resumen!$B$11</f>
        <v>0.00988142292490119</v>
      </c>
      <c r="P75" s="13" t="n">
        <f aca="false">J75/Resumen!$B$11</f>
        <v>0.00988142292490119</v>
      </c>
      <c r="Q75" s="4" t="str">
        <f aca="false">IF(S75&gt;=Resumen!$B$8,"AUMENTA",IF(S75&lt;=-Resumen!$B$8,"DISMINUYE","SIN CAMBIO"))</f>
        <v>SIN CAMBIO</v>
      </c>
      <c r="R75" s="4" t="str">
        <f aca="false">IF(AND(M75&lt;=1,P75&lt;=1),"CUMPLE","NO CUMPLE")</f>
        <v>CUMPLE</v>
      </c>
      <c r="S75" s="23" t="n">
        <f aca="false">K75-H75</f>
        <v>-0.01</v>
      </c>
      <c r="T75" s="12" t="n">
        <f aca="false">IF(H75&lt;0.005,"-",K75/H75-1)</f>
        <v>-0.5</v>
      </c>
    </row>
    <row r="76" customFormat="false" ht="15" hidden="false" customHeight="false" outlineLevel="0" collapsed="false">
      <c r="A76" s="4" t="n">
        <v>407</v>
      </c>
      <c r="B76" s="4" t="n">
        <v>195</v>
      </c>
      <c r="C76" s="4" t="s">
        <v>81</v>
      </c>
      <c r="D76" s="4" t="s">
        <v>564</v>
      </c>
      <c r="E76" s="18" t="n">
        <v>0.14</v>
      </c>
      <c r="F76" s="18" t="n">
        <f aca="false">SUMPRODUCT(MAX((Estaciones!$A$5:$A$1064=A76)*ABS(Estaciones!$D$5:$D$1064)))</f>
        <v>0</v>
      </c>
      <c r="G76" s="18" t="n">
        <f aca="false">_xlfn.MAXIFS(Estaciones!$T$5:$T$1064,Estaciones!$A$5:$A$1064,A76)</f>
        <v>0.01</v>
      </c>
      <c r="H76" s="18" t="n">
        <f aca="false">_xlfn.MAXIFS(Estaciones!$R$5:$R$1064,Estaciones!$A$5:$A$1064,A76)</f>
        <v>0.11</v>
      </c>
      <c r="I76" s="18" t="n">
        <f aca="false">SUMPRODUCT(MAX((Estaciones!$A$5:$A$1064=A76)*ABS(Estaciones!$K$5:$K$1064)))</f>
        <v>0</v>
      </c>
      <c r="J76" s="18" t="n">
        <f aca="false">_xlfn.MAXIFS(Estaciones!$U$5:$U$1064,Estaciones!$A$5:$A$1064,A76)</f>
        <v>0.01</v>
      </c>
      <c r="K76" s="18" t="n">
        <f aca="false">_xlfn.MAXIFS(Estaciones!$S$5:$S$1064,Estaciones!$A$5:$A$1064,A76)</f>
        <v>0.1</v>
      </c>
      <c r="L76" s="13" t="n">
        <f aca="false">H76/Resumen!$B$10</f>
        <v>0.0724637681159421</v>
      </c>
      <c r="M76" s="13" t="n">
        <f aca="false">K76/Resumen!$B$10</f>
        <v>0.0658761528326746</v>
      </c>
      <c r="N76" s="22" t="n">
        <f aca="false">M76-L76</f>
        <v>-0.00658761528326746</v>
      </c>
      <c r="O76" s="13" t="n">
        <f aca="false">G76/Resumen!$B$11</f>
        <v>0.00988142292490119</v>
      </c>
      <c r="P76" s="13" t="n">
        <f aca="false">J76/Resumen!$B$11</f>
        <v>0.00988142292490119</v>
      </c>
      <c r="Q76" s="4" t="str">
        <f aca="false">IF(S76&gt;=Resumen!$B$8,"AUMENTA",IF(S76&lt;=-Resumen!$B$8,"DISMINUYE","SIN CAMBIO"))</f>
        <v>SIN CAMBIO</v>
      </c>
      <c r="R76" s="4" t="str">
        <f aca="false">IF(AND(M76&lt;=1,P76&lt;=1),"CUMPLE","NO CUMPLE")</f>
        <v>CUMPLE</v>
      </c>
      <c r="S76" s="23" t="n">
        <f aca="false">K76-H76</f>
        <v>-0.01</v>
      </c>
      <c r="T76" s="12" t="n">
        <f aca="false">IF(H76&lt;0.005,"-",K76/H76-1)</f>
        <v>-0.0909090909090908</v>
      </c>
    </row>
    <row r="77" customFormat="false" ht="15" hidden="false" customHeight="false" outlineLevel="0" collapsed="false">
      <c r="A77" s="4" t="n">
        <v>408</v>
      </c>
      <c r="B77" s="4" t="n">
        <v>196</v>
      </c>
      <c r="C77" s="4" t="s">
        <v>81</v>
      </c>
      <c r="D77" s="4" t="s">
        <v>564</v>
      </c>
      <c r="E77" s="18" t="n">
        <v>0.14</v>
      </c>
      <c r="F77" s="18" t="n">
        <f aca="false">SUMPRODUCT(MAX((Estaciones!$A$5:$A$1064=A77)*ABS(Estaciones!$D$5:$D$1064)))</f>
        <v>0</v>
      </c>
      <c r="G77" s="18" t="n">
        <f aca="false">_xlfn.MAXIFS(Estaciones!$T$5:$T$1064,Estaciones!$A$5:$A$1064,A77)</f>
        <v>0.02</v>
      </c>
      <c r="H77" s="18" t="n">
        <f aca="false">_xlfn.MAXIFS(Estaciones!$R$5:$R$1064,Estaciones!$A$5:$A$1064,A77)</f>
        <v>0.04</v>
      </c>
      <c r="I77" s="18" t="n">
        <f aca="false">SUMPRODUCT(MAX((Estaciones!$A$5:$A$1064=A77)*ABS(Estaciones!$K$5:$K$1064)))</f>
        <v>0</v>
      </c>
      <c r="J77" s="18" t="n">
        <f aca="false">_xlfn.MAXIFS(Estaciones!$U$5:$U$1064,Estaciones!$A$5:$A$1064,A77)</f>
        <v>0.02</v>
      </c>
      <c r="K77" s="18" t="n">
        <f aca="false">_xlfn.MAXIFS(Estaciones!$S$5:$S$1064,Estaciones!$A$5:$A$1064,A77)</f>
        <v>0.05</v>
      </c>
      <c r="L77" s="13" t="n">
        <f aca="false">H77/Resumen!$B$10</f>
        <v>0.0263504611330698</v>
      </c>
      <c r="M77" s="13" t="n">
        <f aca="false">K77/Resumen!$B$10</f>
        <v>0.0329380764163373</v>
      </c>
      <c r="N77" s="22" t="n">
        <f aca="false">M77-L77</f>
        <v>0.00658761528326746</v>
      </c>
      <c r="O77" s="13" t="n">
        <f aca="false">G77/Resumen!$B$11</f>
        <v>0.0197628458498024</v>
      </c>
      <c r="P77" s="13" t="n">
        <f aca="false">J77/Resumen!$B$11</f>
        <v>0.0197628458498024</v>
      </c>
      <c r="Q77" s="4" t="str">
        <f aca="false">IF(S77&gt;=Resumen!$B$8,"AUMENTA",IF(S77&lt;=-Resumen!$B$8,"DISMINUYE","SIN CAMBIO"))</f>
        <v>SIN CAMBIO</v>
      </c>
      <c r="R77" s="4" t="str">
        <f aca="false">IF(AND(M77&lt;=1,P77&lt;=1),"CUMPLE","NO CUMPLE")</f>
        <v>CUMPLE</v>
      </c>
      <c r="S77" s="23" t="n">
        <f aca="false">K77-H77</f>
        <v>0.01</v>
      </c>
      <c r="T77" s="12" t="n">
        <f aca="false">IF(H77&lt;0.005,"-",K77/H77-1)</f>
        <v>0.25</v>
      </c>
    </row>
    <row r="78" customFormat="false" ht="15" hidden="false" customHeight="false" outlineLevel="0" collapsed="false">
      <c r="A78" s="4" t="n">
        <v>409</v>
      </c>
      <c r="B78" s="4" t="n">
        <v>197</v>
      </c>
      <c r="C78" s="4" t="s">
        <v>81</v>
      </c>
      <c r="D78" s="4" t="s">
        <v>564</v>
      </c>
      <c r="E78" s="18" t="n">
        <v>0.14</v>
      </c>
      <c r="F78" s="18" t="n">
        <f aca="false">SUMPRODUCT(MAX((Estaciones!$A$5:$A$1064=A78)*ABS(Estaciones!$D$5:$D$1064)))</f>
        <v>0</v>
      </c>
      <c r="G78" s="18" t="n">
        <f aca="false">_xlfn.MAXIFS(Estaciones!$T$5:$T$1064,Estaciones!$A$5:$A$1064,A78)</f>
        <v>0.02</v>
      </c>
      <c r="H78" s="18" t="n">
        <f aca="false">_xlfn.MAXIFS(Estaciones!$R$5:$R$1064,Estaciones!$A$5:$A$1064,A78)</f>
        <v>0.09</v>
      </c>
      <c r="I78" s="18" t="n">
        <f aca="false">SUMPRODUCT(MAX((Estaciones!$A$5:$A$1064=A78)*ABS(Estaciones!$K$5:$K$1064)))</f>
        <v>0</v>
      </c>
      <c r="J78" s="18" t="n">
        <f aca="false">_xlfn.MAXIFS(Estaciones!$U$5:$U$1064,Estaciones!$A$5:$A$1064,A78)</f>
        <v>0.02</v>
      </c>
      <c r="K78" s="18" t="n">
        <f aca="false">_xlfn.MAXIFS(Estaciones!$S$5:$S$1064,Estaciones!$A$5:$A$1064,A78)</f>
        <v>0.1</v>
      </c>
      <c r="L78" s="13" t="n">
        <f aca="false">H78/Resumen!$B$10</f>
        <v>0.0592885375494071</v>
      </c>
      <c r="M78" s="13" t="n">
        <f aca="false">K78/Resumen!$B$10</f>
        <v>0.0658761528326746</v>
      </c>
      <c r="N78" s="22" t="n">
        <f aca="false">M78-L78</f>
        <v>0.00658761528326746</v>
      </c>
      <c r="O78" s="13" t="n">
        <f aca="false">G78/Resumen!$B$11</f>
        <v>0.0197628458498024</v>
      </c>
      <c r="P78" s="13" t="n">
        <f aca="false">J78/Resumen!$B$11</f>
        <v>0.0197628458498024</v>
      </c>
      <c r="Q78" s="4" t="str">
        <f aca="false">IF(S78&gt;=Resumen!$B$8,"AUMENTA",IF(S78&lt;=-Resumen!$B$8,"DISMINUYE","SIN CAMBIO"))</f>
        <v>SIN CAMBIO</v>
      </c>
      <c r="R78" s="4" t="str">
        <f aca="false">IF(AND(M78&lt;=1,P78&lt;=1),"CUMPLE","NO CUMPLE")</f>
        <v>CUMPLE</v>
      </c>
      <c r="S78" s="23" t="n">
        <f aca="false">K78-H78</f>
        <v>0.01</v>
      </c>
      <c r="T78" s="12" t="n">
        <f aca="false">IF(H78&lt;0.005,"-",K78/H78-1)</f>
        <v>0.111111111111111</v>
      </c>
    </row>
    <row r="79" customFormat="false" ht="15" hidden="false" customHeight="false" outlineLevel="0" collapsed="false">
      <c r="A79" s="4" t="n">
        <v>410</v>
      </c>
      <c r="B79" s="4" t="n">
        <v>198</v>
      </c>
      <c r="C79" s="4" t="s">
        <v>81</v>
      </c>
      <c r="D79" s="4" t="s">
        <v>564</v>
      </c>
      <c r="E79" s="18" t="n">
        <v>0.14</v>
      </c>
      <c r="F79" s="18" t="n">
        <f aca="false">SUMPRODUCT(MAX((Estaciones!$A$5:$A$1064=A79)*ABS(Estaciones!$D$5:$D$1064)))</f>
        <v>0</v>
      </c>
      <c r="G79" s="18" t="n">
        <f aca="false">_xlfn.MAXIFS(Estaciones!$T$5:$T$1064,Estaciones!$A$5:$A$1064,A79)</f>
        <v>0.03</v>
      </c>
      <c r="H79" s="18" t="n">
        <f aca="false">_xlfn.MAXIFS(Estaciones!$R$5:$R$1064,Estaciones!$A$5:$A$1064,A79)</f>
        <v>0.06</v>
      </c>
      <c r="I79" s="18" t="n">
        <f aca="false">SUMPRODUCT(MAX((Estaciones!$A$5:$A$1064=A79)*ABS(Estaciones!$K$5:$K$1064)))</f>
        <v>0</v>
      </c>
      <c r="J79" s="18" t="n">
        <f aca="false">_xlfn.MAXIFS(Estaciones!$U$5:$U$1064,Estaciones!$A$5:$A$1064,A79)</f>
        <v>0.02</v>
      </c>
      <c r="K79" s="18" t="n">
        <f aca="false">_xlfn.MAXIFS(Estaciones!$S$5:$S$1064,Estaciones!$A$5:$A$1064,A79)</f>
        <v>0.08</v>
      </c>
      <c r="L79" s="13" t="n">
        <f aca="false">H79/Resumen!$B$10</f>
        <v>0.0395256916996048</v>
      </c>
      <c r="M79" s="13" t="n">
        <f aca="false">K79/Resumen!$B$10</f>
        <v>0.0527009222661397</v>
      </c>
      <c r="N79" s="22" t="n">
        <f aca="false">M79-L79</f>
        <v>0.0131752305665349</v>
      </c>
      <c r="O79" s="13" t="n">
        <f aca="false">G79/Resumen!$B$11</f>
        <v>0.0296442687747036</v>
      </c>
      <c r="P79" s="13" t="n">
        <f aca="false">J79/Resumen!$B$11</f>
        <v>0.0197628458498024</v>
      </c>
      <c r="Q79" s="4" t="str">
        <f aca="false">IF(S79&gt;=Resumen!$B$8,"AUMENTA",IF(S79&lt;=-Resumen!$B$8,"DISMINUYE","SIN CAMBIO"))</f>
        <v>AUMENTA</v>
      </c>
      <c r="R79" s="4" t="str">
        <f aca="false">IF(AND(M79&lt;=1,P79&lt;=1),"CUMPLE","NO CUMPLE")</f>
        <v>CUMPLE</v>
      </c>
      <c r="S79" s="23" t="n">
        <f aca="false">K79-H79</f>
        <v>0.02</v>
      </c>
      <c r="T79" s="12" t="n">
        <f aca="false">IF(H79&lt;0.005,"-",K79/H79-1)</f>
        <v>0.333333333333333</v>
      </c>
    </row>
    <row r="80" customFormat="false" ht="15" hidden="false" customHeight="false" outlineLevel="0" collapsed="false">
      <c r="A80" s="4" t="n">
        <v>360</v>
      </c>
      <c r="B80" s="4" t="n">
        <v>137</v>
      </c>
      <c r="C80" s="4" t="s">
        <v>338</v>
      </c>
      <c r="D80" s="4" t="s">
        <v>565</v>
      </c>
      <c r="E80" s="18" t="n">
        <v>3</v>
      </c>
      <c r="F80" s="18" t="n">
        <f aca="false">SUMPRODUCT(MAX((Estaciones!$A$5:$A$1064=A80)*ABS(Estaciones!$D$5:$D$1064)))</f>
        <v>0</v>
      </c>
      <c r="G80" s="18" t="n">
        <f aca="false">_xlfn.MAXIFS(Estaciones!$T$5:$T$1064,Estaciones!$A$5:$A$1064,A80)</f>
        <v>0</v>
      </c>
      <c r="H80" s="18" t="n">
        <f aca="false">_xlfn.MAXIFS(Estaciones!$R$5:$R$1064,Estaciones!$A$5:$A$1064,A80)</f>
        <v>0.01</v>
      </c>
      <c r="I80" s="18" t="n">
        <f aca="false">SUMPRODUCT(MAX((Estaciones!$A$5:$A$1064=A80)*ABS(Estaciones!$K$5:$K$1064)))</f>
        <v>0</v>
      </c>
      <c r="J80" s="18" t="n">
        <f aca="false">_xlfn.MAXIFS(Estaciones!$U$5:$U$1064,Estaciones!$A$5:$A$1064,A80)</f>
        <v>0</v>
      </c>
      <c r="K80" s="18" t="n">
        <f aca="false">_xlfn.MAXIFS(Estaciones!$S$5:$S$1064,Estaciones!$A$5:$A$1064,A80)</f>
        <v>0.01</v>
      </c>
      <c r="L80" s="13" t="n">
        <f aca="false">H80/Resumen!$B$10</f>
        <v>0.00658761528326746</v>
      </c>
      <c r="M80" s="13" t="n">
        <f aca="false">K80/Resumen!$B$10</f>
        <v>0.00658761528326746</v>
      </c>
      <c r="N80" s="22" t="n">
        <f aca="false">M80-L80</f>
        <v>0</v>
      </c>
      <c r="O80" s="13" t="n">
        <f aca="false">G80/Resumen!$B$11</f>
        <v>0</v>
      </c>
      <c r="P80" s="13" t="n">
        <f aca="false">J80/Resumen!$B$11</f>
        <v>0</v>
      </c>
      <c r="Q80" s="4" t="str">
        <f aca="false">IF(S80&gt;=Resumen!$B$8,"AUMENTA",IF(S80&lt;=-Resumen!$B$8,"DISMINUYE","SIN CAMBIO"))</f>
        <v>SIN CAMBIO</v>
      </c>
      <c r="R80" s="4" t="str">
        <f aca="false">IF(AND(M80&lt;=1,P80&lt;=1),"CUMPLE","NO CUMPLE")</f>
        <v>CUMPLE</v>
      </c>
      <c r="S80" s="23" t="n">
        <f aca="false">K80-H80</f>
        <v>0</v>
      </c>
      <c r="T80" s="12" t="n">
        <f aca="false">IF(H80&lt;0.005,"-",K80/H80-1)</f>
        <v>0</v>
      </c>
    </row>
    <row r="81" customFormat="false" ht="15" hidden="false" customHeight="false" outlineLevel="0" collapsed="false">
      <c r="A81" s="4" t="n">
        <v>361</v>
      </c>
      <c r="B81" s="4" t="n">
        <v>138</v>
      </c>
      <c r="C81" s="4" t="s">
        <v>338</v>
      </c>
      <c r="D81" s="4" t="s">
        <v>565</v>
      </c>
      <c r="E81" s="18" t="n">
        <v>3</v>
      </c>
      <c r="F81" s="18" t="n">
        <f aca="false">SUMPRODUCT(MAX((Estaciones!$A$5:$A$1064=A81)*ABS(Estaciones!$D$5:$D$1064)))</f>
        <v>0</v>
      </c>
      <c r="G81" s="18" t="n">
        <f aca="false">_xlfn.MAXIFS(Estaciones!$T$5:$T$1064,Estaciones!$A$5:$A$1064,A81)</f>
        <v>0</v>
      </c>
      <c r="H81" s="18" t="n">
        <f aca="false">_xlfn.MAXIFS(Estaciones!$R$5:$R$1064,Estaciones!$A$5:$A$1064,A81)</f>
        <v>0.01</v>
      </c>
      <c r="I81" s="18" t="n">
        <f aca="false">SUMPRODUCT(MAX((Estaciones!$A$5:$A$1064=A81)*ABS(Estaciones!$K$5:$K$1064)))</f>
        <v>0</v>
      </c>
      <c r="J81" s="18" t="n">
        <f aca="false">_xlfn.MAXIFS(Estaciones!$U$5:$U$1064,Estaciones!$A$5:$A$1064,A81)</f>
        <v>0</v>
      </c>
      <c r="K81" s="18" t="n">
        <f aca="false">_xlfn.MAXIFS(Estaciones!$S$5:$S$1064,Estaciones!$A$5:$A$1064,A81)</f>
        <v>0.01</v>
      </c>
      <c r="L81" s="13" t="n">
        <f aca="false">H81/Resumen!$B$10</f>
        <v>0.00658761528326746</v>
      </c>
      <c r="M81" s="13" t="n">
        <f aca="false">K81/Resumen!$B$10</f>
        <v>0.00658761528326746</v>
      </c>
      <c r="N81" s="22" t="n">
        <f aca="false">M81-L81</f>
        <v>0</v>
      </c>
      <c r="O81" s="13" t="n">
        <f aca="false">G81/Resumen!$B$11</f>
        <v>0</v>
      </c>
      <c r="P81" s="13" t="n">
        <f aca="false">J81/Resumen!$B$11</f>
        <v>0</v>
      </c>
      <c r="Q81" s="4" t="str">
        <f aca="false">IF(S81&gt;=Resumen!$B$8,"AUMENTA",IF(S81&lt;=-Resumen!$B$8,"DISMINUYE","SIN CAMBIO"))</f>
        <v>SIN CAMBIO</v>
      </c>
      <c r="R81" s="4" t="str">
        <f aca="false">IF(AND(M81&lt;=1,P81&lt;=1),"CUMPLE","NO CUMPLE")</f>
        <v>CUMPLE</v>
      </c>
      <c r="S81" s="23" t="n">
        <f aca="false">K81-H81</f>
        <v>0</v>
      </c>
      <c r="T81" s="12" t="n">
        <f aca="false">IF(H81&lt;0.005,"-",K81/H81-1)</f>
        <v>0</v>
      </c>
    </row>
    <row r="82" customFormat="false" ht="15" hidden="false" customHeight="false" outlineLevel="0" collapsed="false">
      <c r="A82" s="4" t="n">
        <v>362</v>
      </c>
      <c r="B82" s="4" t="n">
        <v>139</v>
      </c>
      <c r="C82" s="4" t="s">
        <v>338</v>
      </c>
      <c r="D82" s="4" t="s">
        <v>565</v>
      </c>
      <c r="E82" s="18" t="n">
        <v>3</v>
      </c>
      <c r="F82" s="18" t="n">
        <f aca="false">SUMPRODUCT(MAX((Estaciones!$A$5:$A$1064=A82)*ABS(Estaciones!$D$5:$D$1064)))</f>
        <v>0</v>
      </c>
      <c r="G82" s="18" t="n">
        <f aca="false">_xlfn.MAXIFS(Estaciones!$T$5:$T$1064,Estaciones!$A$5:$A$1064,A82)</f>
        <v>0</v>
      </c>
      <c r="H82" s="18" t="n">
        <f aca="false">_xlfn.MAXIFS(Estaciones!$R$5:$R$1064,Estaciones!$A$5:$A$1064,A82)</f>
        <v>0.01</v>
      </c>
      <c r="I82" s="18" t="n">
        <f aca="false">SUMPRODUCT(MAX((Estaciones!$A$5:$A$1064=A82)*ABS(Estaciones!$K$5:$K$1064)))</f>
        <v>0</v>
      </c>
      <c r="J82" s="18" t="n">
        <f aca="false">_xlfn.MAXIFS(Estaciones!$U$5:$U$1064,Estaciones!$A$5:$A$1064,A82)</f>
        <v>0</v>
      </c>
      <c r="K82" s="18" t="n">
        <f aca="false">_xlfn.MAXIFS(Estaciones!$S$5:$S$1064,Estaciones!$A$5:$A$1064,A82)</f>
        <v>0.01</v>
      </c>
      <c r="L82" s="13" t="n">
        <f aca="false">H82/Resumen!$B$10</f>
        <v>0.00658761528326746</v>
      </c>
      <c r="M82" s="13" t="n">
        <f aca="false">K82/Resumen!$B$10</f>
        <v>0.00658761528326746</v>
      </c>
      <c r="N82" s="22" t="n">
        <f aca="false">M82-L82</f>
        <v>0</v>
      </c>
      <c r="O82" s="13" t="n">
        <f aca="false">G82/Resumen!$B$11</f>
        <v>0</v>
      </c>
      <c r="P82" s="13" t="n">
        <f aca="false">J82/Resumen!$B$11</f>
        <v>0</v>
      </c>
      <c r="Q82" s="4" t="str">
        <f aca="false">IF(S82&gt;=Resumen!$B$8,"AUMENTA",IF(S82&lt;=-Resumen!$B$8,"DISMINUYE","SIN CAMBIO"))</f>
        <v>SIN CAMBIO</v>
      </c>
      <c r="R82" s="4" t="str">
        <f aca="false">IF(AND(M82&lt;=1,P82&lt;=1),"CUMPLE","NO CUMPLE")</f>
        <v>CUMPLE</v>
      </c>
      <c r="S82" s="23" t="n">
        <f aca="false">K82-H82</f>
        <v>0</v>
      </c>
      <c r="T82" s="12" t="n">
        <f aca="false">IF(H82&lt;0.005,"-",K82/H82-1)</f>
        <v>0</v>
      </c>
    </row>
    <row r="83" customFormat="false" ht="15" hidden="false" customHeight="false" outlineLevel="0" collapsed="false">
      <c r="A83" s="4" t="n">
        <v>363</v>
      </c>
      <c r="B83" s="4" t="n">
        <v>140</v>
      </c>
      <c r="C83" s="4" t="s">
        <v>338</v>
      </c>
      <c r="D83" s="4" t="s">
        <v>565</v>
      </c>
      <c r="E83" s="18" t="n">
        <v>3</v>
      </c>
      <c r="F83" s="18" t="n">
        <f aca="false">SUMPRODUCT(MAX((Estaciones!$A$5:$A$1064=A83)*ABS(Estaciones!$D$5:$D$1064)))</f>
        <v>0</v>
      </c>
      <c r="G83" s="18" t="n">
        <f aca="false">_xlfn.MAXIFS(Estaciones!$T$5:$T$1064,Estaciones!$A$5:$A$1064,A83)</f>
        <v>0</v>
      </c>
      <c r="H83" s="18" t="n">
        <f aca="false">_xlfn.MAXIFS(Estaciones!$R$5:$R$1064,Estaciones!$A$5:$A$1064,A83)</f>
        <v>0.01</v>
      </c>
      <c r="I83" s="18" t="n">
        <f aca="false">SUMPRODUCT(MAX((Estaciones!$A$5:$A$1064=A83)*ABS(Estaciones!$K$5:$K$1064)))</f>
        <v>0</v>
      </c>
      <c r="J83" s="18" t="n">
        <f aca="false">_xlfn.MAXIFS(Estaciones!$U$5:$U$1064,Estaciones!$A$5:$A$1064,A83)</f>
        <v>0</v>
      </c>
      <c r="K83" s="18" t="n">
        <f aca="false">_xlfn.MAXIFS(Estaciones!$S$5:$S$1064,Estaciones!$A$5:$A$1064,A83)</f>
        <v>0.01</v>
      </c>
      <c r="L83" s="13" t="n">
        <f aca="false">H83/Resumen!$B$10</f>
        <v>0.00658761528326746</v>
      </c>
      <c r="M83" s="13" t="n">
        <f aca="false">K83/Resumen!$B$10</f>
        <v>0.00658761528326746</v>
      </c>
      <c r="N83" s="22" t="n">
        <f aca="false">M83-L83</f>
        <v>0</v>
      </c>
      <c r="O83" s="13" t="n">
        <f aca="false">G83/Resumen!$B$11</f>
        <v>0</v>
      </c>
      <c r="P83" s="13" t="n">
        <f aca="false">J83/Resumen!$B$11</f>
        <v>0</v>
      </c>
      <c r="Q83" s="4" t="str">
        <f aca="false">IF(S83&gt;=Resumen!$B$8,"AUMENTA",IF(S83&lt;=-Resumen!$B$8,"DISMINUYE","SIN CAMBIO"))</f>
        <v>SIN CAMBIO</v>
      </c>
      <c r="R83" s="4" t="str">
        <f aca="false">IF(AND(M83&lt;=1,P83&lt;=1),"CUMPLE","NO CUMPLE")</f>
        <v>CUMPLE</v>
      </c>
      <c r="S83" s="23" t="n">
        <f aca="false">K83-H83</f>
        <v>0</v>
      </c>
      <c r="T83" s="12" t="n">
        <f aca="false">IF(H83&lt;0.005,"-",K83/H83-1)</f>
        <v>0</v>
      </c>
    </row>
    <row r="84" customFormat="false" ht="15" hidden="false" customHeight="false" outlineLevel="0" collapsed="false">
      <c r="A84" s="4" t="n">
        <v>386</v>
      </c>
      <c r="B84" s="4" t="n">
        <v>173</v>
      </c>
      <c r="C84" s="4" t="s">
        <v>396</v>
      </c>
      <c r="D84" s="4" t="s">
        <v>564</v>
      </c>
      <c r="E84" s="18" t="n">
        <v>3</v>
      </c>
      <c r="F84" s="18" t="n">
        <f aca="false">SUMPRODUCT(MAX((Estaciones!$A$5:$A$1064=A84)*ABS(Estaciones!$D$5:$D$1064)))</f>
        <v>0</v>
      </c>
      <c r="G84" s="18" t="n">
        <f aca="false">_xlfn.MAXIFS(Estaciones!$T$5:$T$1064,Estaciones!$A$5:$A$1064,A84)</f>
        <v>0.01</v>
      </c>
      <c r="H84" s="18" t="n">
        <f aca="false">_xlfn.MAXIFS(Estaciones!$R$5:$R$1064,Estaciones!$A$5:$A$1064,A84)</f>
        <v>0.12</v>
      </c>
      <c r="I84" s="18" t="n">
        <f aca="false">SUMPRODUCT(MAX((Estaciones!$A$5:$A$1064=A84)*ABS(Estaciones!$K$5:$K$1064)))</f>
        <v>0</v>
      </c>
      <c r="J84" s="18" t="n">
        <f aca="false">_xlfn.MAXIFS(Estaciones!$U$5:$U$1064,Estaciones!$A$5:$A$1064,A84)</f>
        <v>0.01</v>
      </c>
      <c r="K84" s="18" t="n">
        <f aca="false">_xlfn.MAXIFS(Estaciones!$S$5:$S$1064,Estaciones!$A$5:$A$1064,A84)</f>
        <v>0.12</v>
      </c>
      <c r="L84" s="13" t="n">
        <f aca="false">H84/Resumen!$B$10</f>
        <v>0.0790513833992095</v>
      </c>
      <c r="M84" s="13" t="n">
        <f aca="false">K84/Resumen!$B$10</f>
        <v>0.0790513833992095</v>
      </c>
      <c r="N84" s="22" t="n">
        <f aca="false">M84-L84</f>
        <v>0</v>
      </c>
      <c r="O84" s="13" t="n">
        <f aca="false">G84/Resumen!$B$11</f>
        <v>0.00988142292490119</v>
      </c>
      <c r="P84" s="13" t="n">
        <f aca="false">J84/Resumen!$B$11</f>
        <v>0.00988142292490119</v>
      </c>
      <c r="Q84" s="4" t="str">
        <f aca="false">IF(S84&gt;=Resumen!$B$8,"AUMENTA",IF(S84&lt;=-Resumen!$B$8,"DISMINUYE","SIN CAMBIO"))</f>
        <v>SIN CAMBIO</v>
      </c>
      <c r="R84" s="4" t="str">
        <f aca="false">IF(AND(M84&lt;=1,P84&lt;=1),"CUMPLE","NO CUMPLE")</f>
        <v>CUMPLE</v>
      </c>
      <c r="S84" s="23" t="n">
        <f aca="false">K84-H84</f>
        <v>0</v>
      </c>
      <c r="T84" s="12" t="n">
        <f aca="false">IF(H84&lt;0.005,"-",K84/H84-1)</f>
        <v>0</v>
      </c>
    </row>
    <row r="85" customFormat="false" ht="15" hidden="false" customHeight="false" outlineLevel="0" collapsed="false">
      <c r="A85" s="4" t="n">
        <v>387</v>
      </c>
      <c r="B85" s="4" t="n">
        <v>174</v>
      </c>
      <c r="C85" s="4" t="s">
        <v>396</v>
      </c>
      <c r="D85" s="4" t="s">
        <v>564</v>
      </c>
      <c r="E85" s="18" t="n">
        <v>3</v>
      </c>
      <c r="F85" s="18" t="n">
        <f aca="false">SUMPRODUCT(MAX((Estaciones!$A$5:$A$1064=A85)*ABS(Estaciones!$D$5:$D$1064)))</f>
        <v>0.01</v>
      </c>
      <c r="G85" s="18" t="n">
        <f aca="false">_xlfn.MAXIFS(Estaciones!$T$5:$T$1064,Estaciones!$A$5:$A$1064,A85)</f>
        <v>0</v>
      </c>
      <c r="H85" s="18" t="n">
        <f aca="false">_xlfn.MAXIFS(Estaciones!$R$5:$R$1064,Estaciones!$A$5:$A$1064,A85)</f>
        <v>0.1</v>
      </c>
      <c r="I85" s="18" t="n">
        <f aca="false">SUMPRODUCT(MAX((Estaciones!$A$5:$A$1064=A85)*ABS(Estaciones!$K$5:$K$1064)))</f>
        <v>0.01</v>
      </c>
      <c r="J85" s="18" t="n">
        <f aca="false">_xlfn.MAXIFS(Estaciones!$U$5:$U$1064,Estaciones!$A$5:$A$1064,A85)</f>
        <v>0</v>
      </c>
      <c r="K85" s="18" t="n">
        <f aca="false">_xlfn.MAXIFS(Estaciones!$S$5:$S$1064,Estaciones!$A$5:$A$1064,A85)</f>
        <v>0.1</v>
      </c>
      <c r="L85" s="13" t="n">
        <f aca="false">H85/Resumen!$B$10</f>
        <v>0.0658761528326746</v>
      </c>
      <c r="M85" s="13" t="n">
        <f aca="false">K85/Resumen!$B$10</f>
        <v>0.0658761528326746</v>
      </c>
      <c r="N85" s="22" t="n">
        <f aca="false">M85-L85</f>
        <v>0</v>
      </c>
      <c r="O85" s="13" t="n">
        <f aca="false">G85/Resumen!$B$11</f>
        <v>0</v>
      </c>
      <c r="P85" s="13" t="n">
        <f aca="false">J85/Resumen!$B$11</f>
        <v>0</v>
      </c>
      <c r="Q85" s="4" t="str">
        <f aca="false">IF(S85&gt;=Resumen!$B$8,"AUMENTA",IF(S85&lt;=-Resumen!$B$8,"DISMINUYE","SIN CAMBIO"))</f>
        <v>SIN CAMBIO</v>
      </c>
      <c r="R85" s="4" t="str">
        <f aca="false">IF(AND(M85&lt;=1,P85&lt;=1),"CUMPLE","NO CUMPLE")</f>
        <v>CUMPLE</v>
      </c>
      <c r="S85" s="23" t="n">
        <f aca="false">K85-H85</f>
        <v>0</v>
      </c>
      <c r="T85" s="12" t="n">
        <f aca="false">IF(H85&lt;0.005,"-",K85/H85-1)</f>
        <v>0</v>
      </c>
    </row>
    <row r="86" customFormat="false" ht="15" hidden="false" customHeight="false" outlineLevel="0" collapsed="false">
      <c r="A86" s="4" t="n">
        <v>388</v>
      </c>
      <c r="B86" s="4" t="n">
        <v>175</v>
      </c>
      <c r="C86" s="4" t="s">
        <v>396</v>
      </c>
      <c r="D86" s="4" t="s">
        <v>564</v>
      </c>
      <c r="E86" s="18" t="n">
        <v>3</v>
      </c>
      <c r="F86" s="18" t="n">
        <f aca="false">SUMPRODUCT(MAX((Estaciones!$A$5:$A$1064=A86)*ABS(Estaciones!$D$5:$D$1064)))</f>
        <v>0.01</v>
      </c>
      <c r="G86" s="18" t="n">
        <f aca="false">_xlfn.MAXIFS(Estaciones!$T$5:$T$1064,Estaciones!$A$5:$A$1064,A86)</f>
        <v>0</v>
      </c>
      <c r="H86" s="18" t="n">
        <f aca="false">_xlfn.MAXIFS(Estaciones!$R$5:$R$1064,Estaciones!$A$5:$A$1064,A86)</f>
        <v>0.11</v>
      </c>
      <c r="I86" s="18" t="n">
        <f aca="false">SUMPRODUCT(MAX((Estaciones!$A$5:$A$1064=A86)*ABS(Estaciones!$K$5:$K$1064)))</f>
        <v>0</v>
      </c>
      <c r="J86" s="18" t="n">
        <f aca="false">_xlfn.MAXIFS(Estaciones!$U$5:$U$1064,Estaciones!$A$5:$A$1064,A86)</f>
        <v>0</v>
      </c>
      <c r="K86" s="18" t="n">
        <f aca="false">_xlfn.MAXIFS(Estaciones!$S$5:$S$1064,Estaciones!$A$5:$A$1064,A86)</f>
        <v>0.1</v>
      </c>
      <c r="L86" s="13" t="n">
        <f aca="false">H86/Resumen!$B$10</f>
        <v>0.0724637681159421</v>
      </c>
      <c r="M86" s="13" t="n">
        <f aca="false">K86/Resumen!$B$10</f>
        <v>0.0658761528326746</v>
      </c>
      <c r="N86" s="22" t="n">
        <f aca="false">M86-L86</f>
        <v>-0.00658761528326746</v>
      </c>
      <c r="O86" s="13" t="n">
        <f aca="false">G86/Resumen!$B$11</f>
        <v>0</v>
      </c>
      <c r="P86" s="13" t="n">
        <f aca="false">J86/Resumen!$B$11</f>
        <v>0</v>
      </c>
      <c r="Q86" s="4" t="str">
        <f aca="false">IF(S86&gt;=Resumen!$B$8,"AUMENTA",IF(S86&lt;=-Resumen!$B$8,"DISMINUYE","SIN CAMBIO"))</f>
        <v>SIN CAMBIO</v>
      </c>
      <c r="R86" s="4" t="str">
        <f aca="false">IF(AND(M86&lt;=1,P86&lt;=1),"CUMPLE","NO CUMPLE")</f>
        <v>CUMPLE</v>
      </c>
      <c r="S86" s="23" t="n">
        <f aca="false">K86-H86</f>
        <v>-0.01</v>
      </c>
      <c r="T86" s="12" t="n">
        <f aca="false">IF(H86&lt;0.005,"-",K86/H86-1)</f>
        <v>-0.0909090909090908</v>
      </c>
    </row>
    <row r="87" customFormat="false" ht="15" hidden="false" customHeight="false" outlineLevel="0" collapsed="false">
      <c r="A87" s="4" t="n">
        <v>389</v>
      </c>
      <c r="B87" s="4" t="n">
        <v>176</v>
      </c>
      <c r="C87" s="4" t="s">
        <v>396</v>
      </c>
      <c r="D87" s="4" t="s">
        <v>564</v>
      </c>
      <c r="E87" s="18" t="n">
        <v>3</v>
      </c>
      <c r="F87" s="18" t="n">
        <f aca="false">SUMPRODUCT(MAX((Estaciones!$A$5:$A$1064=A87)*ABS(Estaciones!$D$5:$D$1064)))</f>
        <v>0.01</v>
      </c>
      <c r="G87" s="18" t="n">
        <f aca="false">_xlfn.MAXIFS(Estaciones!$T$5:$T$1064,Estaciones!$A$5:$A$1064,A87)</f>
        <v>0</v>
      </c>
      <c r="H87" s="18" t="n">
        <f aca="false">_xlfn.MAXIFS(Estaciones!$R$5:$R$1064,Estaciones!$A$5:$A$1064,A87)</f>
        <v>0.11</v>
      </c>
      <c r="I87" s="18" t="n">
        <f aca="false">SUMPRODUCT(MAX((Estaciones!$A$5:$A$1064=A87)*ABS(Estaciones!$K$5:$K$1064)))</f>
        <v>0.01</v>
      </c>
      <c r="J87" s="18" t="n">
        <f aca="false">_xlfn.MAXIFS(Estaciones!$U$5:$U$1064,Estaciones!$A$5:$A$1064,A87)</f>
        <v>0</v>
      </c>
      <c r="K87" s="18" t="n">
        <f aca="false">_xlfn.MAXIFS(Estaciones!$S$5:$S$1064,Estaciones!$A$5:$A$1064,A87)</f>
        <v>0.1</v>
      </c>
      <c r="L87" s="13" t="n">
        <f aca="false">H87/Resumen!$B$10</f>
        <v>0.0724637681159421</v>
      </c>
      <c r="M87" s="13" t="n">
        <f aca="false">K87/Resumen!$B$10</f>
        <v>0.0658761528326746</v>
      </c>
      <c r="N87" s="22" t="n">
        <f aca="false">M87-L87</f>
        <v>-0.00658761528326747</v>
      </c>
      <c r="O87" s="13" t="n">
        <f aca="false">G87/Resumen!$B$11</f>
        <v>0</v>
      </c>
      <c r="P87" s="13" t="n">
        <f aca="false">J87/Resumen!$B$11</f>
        <v>0</v>
      </c>
      <c r="Q87" s="4" t="str">
        <f aca="false">IF(S87&gt;=Resumen!$B$8,"AUMENTA",IF(S87&lt;=-Resumen!$B$8,"DISMINUYE","SIN CAMBIO"))</f>
        <v>SIN CAMBIO</v>
      </c>
      <c r="R87" s="4" t="str">
        <f aca="false">IF(AND(M87&lt;=1,P87&lt;=1),"CUMPLE","NO CUMPLE")</f>
        <v>CUMPLE</v>
      </c>
      <c r="S87" s="23" t="n">
        <f aca="false">K87-H87</f>
        <v>-0.01</v>
      </c>
      <c r="T87" s="12" t="n">
        <f aca="false">IF(H87&lt;0.005,"-",K87/H87-1)</f>
        <v>-0.0909090909090909</v>
      </c>
    </row>
    <row r="88" customFormat="false" ht="15" hidden="false" customHeight="false" outlineLevel="0" collapsed="false">
      <c r="A88" s="4" t="n">
        <v>411</v>
      </c>
      <c r="B88" s="4" t="n">
        <v>199</v>
      </c>
      <c r="C88" s="4" t="s">
        <v>396</v>
      </c>
      <c r="D88" s="4" t="s">
        <v>564</v>
      </c>
      <c r="E88" s="18" t="n">
        <v>3</v>
      </c>
      <c r="F88" s="18" t="n">
        <f aca="false">SUMPRODUCT(MAX((Estaciones!$A$5:$A$1064=A88)*ABS(Estaciones!$D$5:$D$1064)))</f>
        <v>0.01</v>
      </c>
      <c r="G88" s="18" t="n">
        <f aca="false">_xlfn.MAXIFS(Estaciones!$T$5:$T$1064,Estaciones!$A$5:$A$1064,A88)</f>
        <v>0</v>
      </c>
      <c r="H88" s="18" t="n">
        <f aca="false">_xlfn.MAXIFS(Estaciones!$R$5:$R$1064,Estaciones!$A$5:$A$1064,A88)</f>
        <v>0.11</v>
      </c>
      <c r="I88" s="18" t="n">
        <f aca="false">SUMPRODUCT(MAX((Estaciones!$A$5:$A$1064=A88)*ABS(Estaciones!$K$5:$K$1064)))</f>
        <v>0.01</v>
      </c>
      <c r="J88" s="18" t="n">
        <f aca="false">_xlfn.MAXIFS(Estaciones!$U$5:$U$1064,Estaciones!$A$5:$A$1064,A88)</f>
        <v>0</v>
      </c>
      <c r="K88" s="18" t="n">
        <f aca="false">_xlfn.MAXIFS(Estaciones!$S$5:$S$1064,Estaciones!$A$5:$A$1064,A88)</f>
        <v>0.1</v>
      </c>
      <c r="L88" s="13" t="n">
        <f aca="false">H88/Resumen!$B$10</f>
        <v>0.0724637681159421</v>
      </c>
      <c r="M88" s="13" t="n">
        <f aca="false">K88/Resumen!$B$10</f>
        <v>0.0658761528326746</v>
      </c>
      <c r="N88" s="22" t="n">
        <f aca="false">M88-L88</f>
        <v>-0.00658761528326747</v>
      </c>
      <c r="O88" s="13" t="n">
        <f aca="false">G88/Resumen!$B$11</f>
        <v>0</v>
      </c>
      <c r="P88" s="13" t="n">
        <f aca="false">J88/Resumen!$B$11</f>
        <v>0</v>
      </c>
      <c r="Q88" s="4" t="str">
        <f aca="false">IF(S88&gt;=Resumen!$B$8,"AUMENTA",IF(S88&lt;=-Resumen!$B$8,"DISMINUYE","SIN CAMBIO"))</f>
        <v>SIN CAMBIO</v>
      </c>
      <c r="R88" s="4" t="str">
        <f aca="false">IF(AND(M88&lt;=1,P88&lt;=1),"CUMPLE","NO CUMPLE")</f>
        <v>CUMPLE</v>
      </c>
      <c r="S88" s="23" t="n">
        <f aca="false">K88-H88</f>
        <v>-0.01</v>
      </c>
      <c r="T88" s="12" t="n">
        <f aca="false">IF(H88&lt;0.005,"-",K88/H88-1)</f>
        <v>-0.0909090909090909</v>
      </c>
    </row>
    <row r="89" customFormat="false" ht="15" hidden="false" customHeight="false" outlineLevel="0" collapsed="false">
      <c r="A89" s="4" t="n">
        <v>412</v>
      </c>
      <c r="B89" s="4" t="n">
        <v>200</v>
      </c>
      <c r="C89" s="4" t="s">
        <v>396</v>
      </c>
      <c r="D89" s="4" t="s">
        <v>564</v>
      </c>
      <c r="E89" s="18" t="n">
        <v>3</v>
      </c>
      <c r="F89" s="18" t="n">
        <f aca="false">SUMPRODUCT(MAX((Estaciones!$A$5:$A$1064=A89)*ABS(Estaciones!$D$5:$D$1064)))</f>
        <v>0.01</v>
      </c>
      <c r="G89" s="18" t="n">
        <f aca="false">_xlfn.MAXIFS(Estaciones!$T$5:$T$1064,Estaciones!$A$5:$A$1064,A89)</f>
        <v>0</v>
      </c>
      <c r="H89" s="18" t="n">
        <f aca="false">_xlfn.MAXIFS(Estaciones!$R$5:$R$1064,Estaciones!$A$5:$A$1064,A89)</f>
        <v>0.11</v>
      </c>
      <c r="I89" s="18" t="n">
        <f aca="false">SUMPRODUCT(MAX((Estaciones!$A$5:$A$1064=A89)*ABS(Estaciones!$K$5:$K$1064)))</f>
        <v>0.01</v>
      </c>
      <c r="J89" s="18" t="n">
        <f aca="false">_xlfn.MAXIFS(Estaciones!$U$5:$U$1064,Estaciones!$A$5:$A$1064,A89)</f>
        <v>0</v>
      </c>
      <c r="K89" s="18" t="n">
        <f aca="false">_xlfn.MAXIFS(Estaciones!$S$5:$S$1064,Estaciones!$A$5:$A$1064,A89)</f>
        <v>0.11</v>
      </c>
      <c r="L89" s="13" t="n">
        <f aca="false">H89/Resumen!$B$10</f>
        <v>0.0724637681159421</v>
      </c>
      <c r="M89" s="13" t="n">
        <f aca="false">K89/Resumen!$B$10</f>
        <v>0.0724637681159421</v>
      </c>
      <c r="N89" s="22" t="n">
        <f aca="false">M89-L89</f>
        <v>0</v>
      </c>
      <c r="O89" s="13" t="n">
        <f aca="false">G89/Resumen!$B$11</f>
        <v>0</v>
      </c>
      <c r="P89" s="13" t="n">
        <f aca="false">J89/Resumen!$B$11</f>
        <v>0</v>
      </c>
      <c r="Q89" s="4" t="str">
        <f aca="false">IF(S89&gt;=Resumen!$B$8,"AUMENTA",IF(S89&lt;=-Resumen!$B$8,"DISMINUYE","SIN CAMBIO"))</f>
        <v>SIN CAMBIO</v>
      </c>
      <c r="R89" s="4" t="str">
        <f aca="false">IF(AND(M89&lt;=1,P89&lt;=1),"CUMPLE","NO CUMPLE")</f>
        <v>CUMPLE</v>
      </c>
      <c r="S89" s="23" t="n">
        <f aca="false">K89-H89</f>
        <v>0</v>
      </c>
      <c r="T89" s="12" t="n">
        <f aca="false">IF(H89&lt;0.005,"-",K89/H89-1)</f>
        <v>0</v>
      </c>
    </row>
    <row r="90" customFormat="false" ht="15" hidden="false" customHeight="false" outlineLevel="0" collapsed="false">
      <c r="A90" s="4" t="n">
        <v>413</v>
      </c>
      <c r="B90" s="4" t="n">
        <v>201</v>
      </c>
      <c r="C90" s="4" t="s">
        <v>396</v>
      </c>
      <c r="D90" s="4" t="s">
        <v>564</v>
      </c>
      <c r="E90" s="18" t="n">
        <v>3</v>
      </c>
      <c r="F90" s="18" t="n">
        <f aca="false">SUMPRODUCT(MAX((Estaciones!$A$5:$A$1064=A90)*ABS(Estaciones!$D$5:$D$1064)))</f>
        <v>0.01</v>
      </c>
      <c r="G90" s="18" t="n">
        <f aca="false">_xlfn.MAXIFS(Estaciones!$T$5:$T$1064,Estaciones!$A$5:$A$1064,A90)</f>
        <v>0</v>
      </c>
      <c r="H90" s="18" t="n">
        <f aca="false">_xlfn.MAXIFS(Estaciones!$R$5:$R$1064,Estaciones!$A$5:$A$1064,A90)</f>
        <v>0.1</v>
      </c>
      <c r="I90" s="18" t="n">
        <f aca="false">SUMPRODUCT(MAX((Estaciones!$A$5:$A$1064=A90)*ABS(Estaciones!$K$5:$K$1064)))</f>
        <v>0.01</v>
      </c>
      <c r="J90" s="18" t="n">
        <f aca="false">_xlfn.MAXIFS(Estaciones!$U$5:$U$1064,Estaciones!$A$5:$A$1064,A90)</f>
        <v>0</v>
      </c>
      <c r="K90" s="18" t="n">
        <f aca="false">_xlfn.MAXIFS(Estaciones!$S$5:$S$1064,Estaciones!$A$5:$A$1064,A90)</f>
        <v>0.1</v>
      </c>
      <c r="L90" s="13" t="n">
        <f aca="false">H90/Resumen!$B$10</f>
        <v>0.0658761528326746</v>
      </c>
      <c r="M90" s="13" t="n">
        <f aca="false">K90/Resumen!$B$10</f>
        <v>0.0658761528326746</v>
      </c>
      <c r="N90" s="22" t="n">
        <f aca="false">M90-L90</f>
        <v>0</v>
      </c>
      <c r="O90" s="13" t="n">
        <f aca="false">G90/Resumen!$B$11</f>
        <v>0</v>
      </c>
      <c r="P90" s="13" t="n">
        <f aca="false">J90/Resumen!$B$11</f>
        <v>0</v>
      </c>
      <c r="Q90" s="4" t="str">
        <f aca="false">IF(S90&gt;=Resumen!$B$8,"AUMENTA",IF(S90&lt;=-Resumen!$B$8,"DISMINUYE","SIN CAMBIO"))</f>
        <v>SIN CAMBIO</v>
      </c>
      <c r="R90" s="4" t="str">
        <f aca="false">IF(AND(M90&lt;=1,P90&lt;=1),"CUMPLE","NO CUMPLE")</f>
        <v>CUMPLE</v>
      </c>
      <c r="S90" s="23" t="n">
        <f aca="false">K90-H90</f>
        <v>0</v>
      </c>
      <c r="T90" s="12" t="n">
        <f aca="false">IF(H90&lt;0.005,"-",K90/H90-1)</f>
        <v>0</v>
      </c>
    </row>
    <row r="91" customFormat="false" ht="15" hidden="false" customHeight="false" outlineLevel="0" collapsed="false">
      <c r="A91" s="4" t="n">
        <v>414</v>
      </c>
      <c r="B91" s="4" t="n">
        <v>202</v>
      </c>
      <c r="C91" s="4" t="s">
        <v>396</v>
      </c>
      <c r="D91" s="4" t="s">
        <v>564</v>
      </c>
      <c r="E91" s="18" t="n">
        <v>3</v>
      </c>
      <c r="F91" s="18" t="n">
        <f aca="false">SUMPRODUCT(MAX((Estaciones!$A$5:$A$1064=A91)*ABS(Estaciones!$D$5:$D$1064)))</f>
        <v>0</v>
      </c>
      <c r="G91" s="18" t="n">
        <f aca="false">_xlfn.MAXIFS(Estaciones!$T$5:$T$1064,Estaciones!$A$5:$A$1064,A91)</f>
        <v>0.01</v>
      </c>
      <c r="H91" s="18" t="n">
        <f aca="false">_xlfn.MAXIFS(Estaciones!$R$5:$R$1064,Estaciones!$A$5:$A$1064,A91)</f>
        <v>0.12</v>
      </c>
      <c r="I91" s="18" t="n">
        <f aca="false">SUMPRODUCT(MAX((Estaciones!$A$5:$A$1064=A91)*ABS(Estaciones!$K$5:$K$1064)))</f>
        <v>0</v>
      </c>
      <c r="J91" s="18" t="n">
        <f aca="false">_xlfn.MAXIFS(Estaciones!$U$5:$U$1064,Estaciones!$A$5:$A$1064,A91)</f>
        <v>0.01</v>
      </c>
      <c r="K91" s="18" t="n">
        <f aca="false">_xlfn.MAXIFS(Estaciones!$S$5:$S$1064,Estaciones!$A$5:$A$1064,A91)</f>
        <v>0.12</v>
      </c>
      <c r="L91" s="13" t="n">
        <f aca="false">H91/Resumen!$B$10</f>
        <v>0.0790513833992095</v>
      </c>
      <c r="M91" s="13" t="n">
        <f aca="false">K91/Resumen!$B$10</f>
        <v>0.0790513833992095</v>
      </c>
      <c r="N91" s="22" t="n">
        <f aca="false">M91-L91</f>
        <v>0</v>
      </c>
      <c r="O91" s="13" t="n">
        <f aca="false">G91/Resumen!$B$11</f>
        <v>0.00988142292490119</v>
      </c>
      <c r="P91" s="13" t="n">
        <f aca="false">J91/Resumen!$B$11</f>
        <v>0.00988142292490119</v>
      </c>
      <c r="Q91" s="4" t="str">
        <f aca="false">IF(S91&gt;=Resumen!$B$8,"AUMENTA",IF(S91&lt;=-Resumen!$B$8,"DISMINUYE","SIN CAMBIO"))</f>
        <v>SIN CAMBIO</v>
      </c>
      <c r="R91" s="4" t="str">
        <f aca="false">IF(AND(M91&lt;=1,P91&lt;=1),"CUMPLE","NO CUMPLE")</f>
        <v>CUMPLE</v>
      </c>
      <c r="S91" s="23" t="n">
        <f aca="false">K91-H91</f>
        <v>0</v>
      </c>
      <c r="T91" s="12" t="n">
        <f aca="false">IF(H91&lt;0.005,"-",K91/H91-1)</f>
        <v>0</v>
      </c>
    </row>
    <row r="92" customFormat="false" ht="15" hidden="false" customHeight="false" outlineLevel="0" collapsed="false">
      <c r="A92" s="4" t="n">
        <v>398</v>
      </c>
      <c r="B92" s="4" t="n">
        <v>186</v>
      </c>
      <c r="C92" s="4" t="s">
        <v>422</v>
      </c>
      <c r="D92" s="4" t="s">
        <v>566</v>
      </c>
      <c r="E92" s="18" t="n">
        <v>0.28</v>
      </c>
      <c r="F92" s="18" t="n">
        <f aca="false">SUMPRODUCT(MAX((Estaciones!$A$5:$A$1064=A92)*ABS(Estaciones!$D$5:$D$1064)))</f>
        <v>0</v>
      </c>
      <c r="G92" s="18" t="n">
        <f aca="false">_xlfn.MAXIFS(Estaciones!$T$5:$T$1064,Estaciones!$A$5:$A$1064,A92)</f>
        <v>0</v>
      </c>
      <c r="H92" s="18" t="n">
        <f aca="false">_xlfn.MAXIFS(Estaciones!$R$5:$R$1064,Estaciones!$A$5:$A$1064,A92)</f>
        <v>0</v>
      </c>
      <c r="I92" s="18" t="n">
        <f aca="false">SUMPRODUCT(MAX((Estaciones!$A$5:$A$1064=A92)*ABS(Estaciones!$K$5:$K$1064)))</f>
        <v>0</v>
      </c>
      <c r="J92" s="18" t="n">
        <f aca="false">_xlfn.MAXIFS(Estaciones!$U$5:$U$1064,Estaciones!$A$5:$A$1064,A92)</f>
        <v>0.01</v>
      </c>
      <c r="K92" s="18" t="n">
        <f aca="false">_xlfn.MAXIFS(Estaciones!$S$5:$S$1064,Estaciones!$A$5:$A$1064,A92)</f>
        <v>0</v>
      </c>
      <c r="L92" s="13" t="n">
        <f aca="false">H92/Resumen!$B$10</f>
        <v>0</v>
      </c>
      <c r="M92" s="13" t="n">
        <f aca="false">K92/Resumen!$B$10</f>
        <v>0</v>
      </c>
      <c r="N92" s="22" t="n">
        <f aca="false">M92-L92</f>
        <v>0</v>
      </c>
      <c r="O92" s="13" t="n">
        <f aca="false">G92/Resumen!$B$11</f>
        <v>0</v>
      </c>
      <c r="P92" s="13" t="n">
        <f aca="false">J92/Resumen!$B$11</f>
        <v>0.00988142292490119</v>
      </c>
      <c r="Q92" s="4" t="str">
        <f aca="false">IF(S92&gt;=Resumen!$B$8,"AUMENTA",IF(S92&lt;=-Resumen!$B$8,"DISMINUYE","SIN CAMBIO"))</f>
        <v>SIN CAMBIO</v>
      </c>
      <c r="R92" s="4" t="str">
        <f aca="false">IF(AND(M92&lt;=1,P92&lt;=1),"CUMPLE","NO CUMPLE")</f>
        <v>CUMPLE</v>
      </c>
      <c r="S92" s="23" t="n">
        <f aca="false">K92-H92</f>
        <v>0</v>
      </c>
      <c r="T92" s="12" t="str">
        <f aca="false">IF(H92&lt;0.005,"-",K92/H92-1)</f>
        <v>-</v>
      </c>
    </row>
    <row r="93" customFormat="false" ht="15" hidden="false" customHeight="false" outlineLevel="0" collapsed="false">
      <c r="A93" s="4" t="n">
        <v>415</v>
      </c>
      <c r="B93" s="4" t="n">
        <v>203</v>
      </c>
      <c r="C93" s="4" t="s">
        <v>422</v>
      </c>
      <c r="D93" s="4" t="s">
        <v>566</v>
      </c>
      <c r="E93" s="18" t="n">
        <v>0.57</v>
      </c>
      <c r="F93" s="18" t="n">
        <f aca="false">SUMPRODUCT(MAX((Estaciones!$A$5:$A$1064=A93)*ABS(Estaciones!$D$5:$D$1064)))</f>
        <v>0</v>
      </c>
      <c r="G93" s="18" t="n">
        <f aca="false">_xlfn.MAXIFS(Estaciones!$T$5:$T$1064,Estaciones!$A$5:$A$1064,A93)</f>
        <v>0</v>
      </c>
      <c r="H93" s="18" t="n">
        <f aca="false">_xlfn.MAXIFS(Estaciones!$R$5:$R$1064,Estaciones!$A$5:$A$1064,A93)</f>
        <v>0</v>
      </c>
      <c r="I93" s="18" t="n">
        <f aca="false">SUMPRODUCT(MAX((Estaciones!$A$5:$A$1064=A93)*ABS(Estaciones!$K$5:$K$1064)))</f>
        <v>0</v>
      </c>
      <c r="J93" s="18" t="n">
        <f aca="false">_xlfn.MAXIFS(Estaciones!$U$5:$U$1064,Estaciones!$A$5:$A$1064,A93)</f>
        <v>0</v>
      </c>
      <c r="K93" s="18" t="n">
        <f aca="false">_xlfn.MAXIFS(Estaciones!$S$5:$S$1064,Estaciones!$A$5:$A$1064,A93)</f>
        <v>0</v>
      </c>
      <c r="L93" s="13" t="n">
        <f aca="false">H93/Resumen!$B$10</f>
        <v>0</v>
      </c>
      <c r="M93" s="13" t="n">
        <f aca="false">K93/Resumen!$B$10</f>
        <v>0</v>
      </c>
      <c r="N93" s="22" t="n">
        <f aca="false">M93-L93</f>
        <v>0</v>
      </c>
      <c r="O93" s="13" t="n">
        <f aca="false">G93/Resumen!$B$11</f>
        <v>0</v>
      </c>
      <c r="P93" s="13" t="n">
        <f aca="false">J93/Resumen!$B$11</f>
        <v>0</v>
      </c>
      <c r="Q93" s="4" t="str">
        <f aca="false">IF(S93&gt;=Resumen!$B$8,"AUMENTA",IF(S93&lt;=-Resumen!$B$8,"DISMINUYE","SIN CAMBIO"))</f>
        <v>SIN CAMBIO</v>
      </c>
      <c r="R93" s="4" t="str">
        <f aca="false">IF(AND(M93&lt;=1,P93&lt;=1),"CUMPLE","NO CUMPLE")</f>
        <v>CUMPLE</v>
      </c>
      <c r="S93" s="23" t="n">
        <f aca="false">K93-H93</f>
        <v>0</v>
      </c>
      <c r="T93" s="12" t="str">
        <f aca="false">IF(H93&lt;0.005,"-",K93/H93-1)</f>
        <v>-</v>
      </c>
    </row>
    <row r="94" customFormat="false" ht="15" hidden="false" customHeight="false" outlineLevel="0" collapsed="false">
      <c r="A94" s="4" t="n">
        <v>416</v>
      </c>
      <c r="B94" s="4" t="n">
        <v>204</v>
      </c>
      <c r="C94" s="4" t="s">
        <v>422</v>
      </c>
      <c r="D94" s="4" t="s">
        <v>566</v>
      </c>
      <c r="E94" s="18" t="n">
        <v>0.28</v>
      </c>
      <c r="F94" s="18" t="n">
        <f aca="false">SUMPRODUCT(MAX((Estaciones!$A$5:$A$1064=A94)*ABS(Estaciones!$D$5:$D$1064)))</f>
        <v>0</v>
      </c>
      <c r="G94" s="18" t="n">
        <f aca="false">_xlfn.MAXIFS(Estaciones!$T$5:$T$1064,Estaciones!$A$5:$A$1064,A94)</f>
        <v>0</v>
      </c>
      <c r="H94" s="18" t="n">
        <f aca="false">_xlfn.MAXIFS(Estaciones!$R$5:$R$1064,Estaciones!$A$5:$A$1064,A94)</f>
        <v>0</v>
      </c>
      <c r="I94" s="18" t="n">
        <f aca="false">SUMPRODUCT(MAX((Estaciones!$A$5:$A$1064=A94)*ABS(Estaciones!$K$5:$K$1064)))</f>
        <v>0</v>
      </c>
      <c r="J94" s="18" t="n">
        <f aca="false">_xlfn.MAXIFS(Estaciones!$U$5:$U$1064,Estaciones!$A$5:$A$1064,A94)</f>
        <v>0</v>
      </c>
      <c r="K94" s="18" t="n">
        <f aca="false">_xlfn.MAXIFS(Estaciones!$S$5:$S$1064,Estaciones!$A$5:$A$1064,A94)</f>
        <v>0.01</v>
      </c>
      <c r="L94" s="13" t="n">
        <f aca="false">H94/Resumen!$B$10</f>
        <v>0</v>
      </c>
      <c r="M94" s="13" t="n">
        <f aca="false">K94/Resumen!$B$10</f>
        <v>0.00658761528326746</v>
      </c>
      <c r="N94" s="22" t="n">
        <f aca="false">M94-L94</f>
        <v>0.00658761528326746</v>
      </c>
      <c r="O94" s="13" t="n">
        <f aca="false">G94/Resumen!$B$11</f>
        <v>0</v>
      </c>
      <c r="P94" s="13" t="n">
        <f aca="false">J94/Resumen!$B$11</f>
        <v>0</v>
      </c>
      <c r="Q94" s="4" t="str">
        <f aca="false">IF(S94&gt;=Resumen!$B$8,"AUMENTA",IF(S94&lt;=-Resumen!$B$8,"DISMINUYE","SIN CAMBIO"))</f>
        <v>SIN CAMBIO</v>
      </c>
      <c r="R94" s="4" t="str">
        <f aca="false">IF(AND(M94&lt;=1,P94&lt;=1),"CUMPLE","NO CUMPLE")</f>
        <v>CUMPLE</v>
      </c>
      <c r="S94" s="23" t="n">
        <f aca="false">K94-H94</f>
        <v>0.01</v>
      </c>
      <c r="T94" s="12" t="str">
        <f aca="false">IF(H94&lt;0.005,"-",K94/H94-1)</f>
        <v>-</v>
      </c>
    </row>
    <row r="95" customFormat="false" ht="15" hidden="false" customHeight="false" outlineLevel="0" collapsed="false">
      <c r="A95" s="4" t="n">
        <v>417</v>
      </c>
      <c r="B95" s="4" t="n">
        <v>205</v>
      </c>
      <c r="C95" s="4" t="s">
        <v>422</v>
      </c>
      <c r="D95" s="4" t="s">
        <v>566</v>
      </c>
      <c r="E95" s="18" t="n">
        <v>1.12</v>
      </c>
      <c r="F95" s="18" t="n">
        <f aca="false">SUMPRODUCT(MAX((Estaciones!$A$5:$A$1064=A95)*ABS(Estaciones!$D$5:$D$1064)))</f>
        <v>0</v>
      </c>
      <c r="G95" s="18" t="n">
        <f aca="false">_xlfn.MAXIFS(Estaciones!$T$5:$T$1064,Estaciones!$A$5:$A$1064,A95)</f>
        <v>0</v>
      </c>
      <c r="H95" s="18" t="n">
        <f aca="false">_xlfn.MAXIFS(Estaciones!$R$5:$R$1064,Estaciones!$A$5:$A$1064,A95)</f>
        <v>0</v>
      </c>
      <c r="I95" s="18" t="n">
        <f aca="false">SUMPRODUCT(MAX((Estaciones!$A$5:$A$1064=A95)*ABS(Estaciones!$K$5:$K$1064)))</f>
        <v>0</v>
      </c>
      <c r="J95" s="18" t="n">
        <f aca="false">_xlfn.MAXIFS(Estaciones!$U$5:$U$1064,Estaciones!$A$5:$A$1064,A95)</f>
        <v>0</v>
      </c>
      <c r="K95" s="18" t="n">
        <f aca="false">_xlfn.MAXIFS(Estaciones!$S$5:$S$1064,Estaciones!$A$5:$A$1064,A95)</f>
        <v>0</v>
      </c>
      <c r="L95" s="13" t="n">
        <f aca="false">H95/Resumen!$B$10</f>
        <v>0</v>
      </c>
      <c r="M95" s="13" t="n">
        <f aca="false">K95/Resumen!$B$10</f>
        <v>0</v>
      </c>
      <c r="N95" s="22" t="n">
        <f aca="false">M95-L95</f>
        <v>0</v>
      </c>
      <c r="O95" s="13" t="n">
        <f aca="false">G95/Resumen!$B$11</f>
        <v>0</v>
      </c>
      <c r="P95" s="13" t="n">
        <f aca="false">J95/Resumen!$B$11</f>
        <v>0</v>
      </c>
      <c r="Q95" s="4" t="str">
        <f aca="false">IF(S95&gt;=Resumen!$B$8,"AUMENTA",IF(S95&lt;=-Resumen!$B$8,"DISMINUYE","SIN CAMBIO"))</f>
        <v>SIN CAMBIO</v>
      </c>
      <c r="R95" s="4" t="str">
        <f aca="false">IF(AND(M95&lt;=1,P95&lt;=1),"CUMPLE","NO CUMPLE")</f>
        <v>CUMPLE</v>
      </c>
      <c r="S95" s="23" t="n">
        <f aca="false">K95-H95</f>
        <v>0</v>
      </c>
      <c r="T95" s="12" t="str">
        <f aca="false">IF(H95&lt;0.005,"-",K95/H95-1)</f>
        <v>-</v>
      </c>
    </row>
    <row r="96" customFormat="false" ht="15" hidden="false" customHeight="false" outlineLevel="0" collapsed="false">
      <c r="A96" s="4" t="n">
        <v>418</v>
      </c>
      <c r="B96" s="4" t="n">
        <v>206</v>
      </c>
      <c r="C96" s="4" t="s">
        <v>422</v>
      </c>
      <c r="D96" s="4" t="s">
        <v>566</v>
      </c>
      <c r="E96" s="18" t="n">
        <v>0.28</v>
      </c>
      <c r="F96" s="18" t="n">
        <f aca="false">SUMPRODUCT(MAX((Estaciones!$A$5:$A$1064=A96)*ABS(Estaciones!$D$5:$D$1064)))</f>
        <v>0</v>
      </c>
      <c r="G96" s="18" t="n">
        <f aca="false">_xlfn.MAXIFS(Estaciones!$T$5:$T$1064,Estaciones!$A$5:$A$1064,A96)</f>
        <v>0</v>
      </c>
      <c r="H96" s="18" t="n">
        <f aca="false">_xlfn.MAXIFS(Estaciones!$R$5:$R$1064,Estaciones!$A$5:$A$1064,A96)</f>
        <v>0</v>
      </c>
      <c r="I96" s="18" t="n">
        <f aca="false">SUMPRODUCT(MAX((Estaciones!$A$5:$A$1064=A96)*ABS(Estaciones!$K$5:$K$1064)))</f>
        <v>0</v>
      </c>
      <c r="J96" s="18" t="n">
        <f aca="false">_xlfn.MAXIFS(Estaciones!$U$5:$U$1064,Estaciones!$A$5:$A$1064,A96)</f>
        <v>0</v>
      </c>
      <c r="K96" s="18" t="n">
        <f aca="false">_xlfn.MAXIFS(Estaciones!$S$5:$S$1064,Estaciones!$A$5:$A$1064,A96)</f>
        <v>0.01</v>
      </c>
      <c r="L96" s="13" t="n">
        <f aca="false">H96/Resumen!$B$10</f>
        <v>0</v>
      </c>
      <c r="M96" s="13" t="n">
        <f aca="false">K96/Resumen!$B$10</f>
        <v>0.00658761528326746</v>
      </c>
      <c r="N96" s="22" t="n">
        <f aca="false">M96-L96</f>
        <v>0.00658761528326746</v>
      </c>
      <c r="O96" s="13" t="n">
        <f aca="false">G96/Resumen!$B$11</f>
        <v>0</v>
      </c>
      <c r="P96" s="13" t="n">
        <f aca="false">J96/Resumen!$B$11</f>
        <v>0</v>
      </c>
      <c r="Q96" s="4" t="str">
        <f aca="false">IF(S96&gt;=Resumen!$B$8,"AUMENTA",IF(S96&lt;=-Resumen!$B$8,"DISMINUYE","SIN CAMBIO"))</f>
        <v>SIN CAMBIO</v>
      </c>
      <c r="R96" s="4" t="str">
        <f aca="false">IF(AND(M96&lt;=1,P96&lt;=1),"CUMPLE","NO CUMPLE")</f>
        <v>CUMPLE</v>
      </c>
      <c r="S96" s="23" t="n">
        <f aca="false">K96-H96</f>
        <v>0.01</v>
      </c>
      <c r="T96" s="12" t="str">
        <f aca="false">IF(H96&lt;0.005,"-",K96/H96-1)</f>
        <v>-</v>
      </c>
    </row>
    <row r="97" customFormat="false" ht="15" hidden="false" customHeight="false" outlineLevel="0" collapsed="false">
      <c r="A97" s="4" t="n">
        <v>419</v>
      </c>
      <c r="B97" s="4" t="n">
        <v>207</v>
      </c>
      <c r="C97" s="4" t="s">
        <v>422</v>
      </c>
      <c r="D97" s="4" t="s">
        <v>566</v>
      </c>
      <c r="E97" s="18" t="n">
        <v>0.57</v>
      </c>
      <c r="F97" s="18" t="n">
        <f aca="false">SUMPRODUCT(MAX((Estaciones!$A$5:$A$1064=A97)*ABS(Estaciones!$D$5:$D$1064)))</f>
        <v>0</v>
      </c>
      <c r="G97" s="18" t="n">
        <f aca="false">_xlfn.MAXIFS(Estaciones!$T$5:$T$1064,Estaciones!$A$5:$A$1064,A97)</f>
        <v>0</v>
      </c>
      <c r="H97" s="18" t="n">
        <f aca="false">_xlfn.MAXIFS(Estaciones!$R$5:$R$1064,Estaciones!$A$5:$A$1064,A97)</f>
        <v>0</v>
      </c>
      <c r="I97" s="18" t="n">
        <f aca="false">SUMPRODUCT(MAX((Estaciones!$A$5:$A$1064=A97)*ABS(Estaciones!$K$5:$K$1064)))</f>
        <v>0</v>
      </c>
      <c r="J97" s="18" t="n">
        <f aca="false">_xlfn.MAXIFS(Estaciones!$U$5:$U$1064,Estaciones!$A$5:$A$1064,A97)</f>
        <v>0</v>
      </c>
      <c r="K97" s="18" t="n">
        <f aca="false">_xlfn.MAXIFS(Estaciones!$S$5:$S$1064,Estaciones!$A$5:$A$1064,A97)</f>
        <v>0</v>
      </c>
      <c r="L97" s="13" t="n">
        <f aca="false">H97/Resumen!$B$10</f>
        <v>0</v>
      </c>
      <c r="M97" s="13" t="n">
        <f aca="false">K97/Resumen!$B$10</f>
        <v>0</v>
      </c>
      <c r="N97" s="22" t="n">
        <f aca="false">M97-L97</f>
        <v>0</v>
      </c>
      <c r="O97" s="13" t="n">
        <f aca="false">G97/Resumen!$B$11</f>
        <v>0</v>
      </c>
      <c r="P97" s="13" t="n">
        <f aca="false">J97/Resumen!$B$11</f>
        <v>0</v>
      </c>
      <c r="Q97" s="4" t="str">
        <f aca="false">IF(S97&gt;=Resumen!$B$8,"AUMENTA",IF(S97&lt;=-Resumen!$B$8,"DISMINUYE","SIN CAMBIO"))</f>
        <v>SIN CAMBIO</v>
      </c>
      <c r="R97" s="4" t="str">
        <f aca="false">IF(AND(M97&lt;=1,P97&lt;=1),"CUMPLE","NO CUMPLE")</f>
        <v>CUMPLE</v>
      </c>
      <c r="S97" s="23" t="n">
        <f aca="false">K97-H97</f>
        <v>0</v>
      </c>
      <c r="T97" s="12" t="str">
        <f aca="false">IF(H97&lt;0.005,"-",K97/H97-1)</f>
        <v>-</v>
      </c>
    </row>
    <row r="98" customFormat="false" ht="15" hidden="false" customHeight="false" outlineLevel="0" collapsed="false">
      <c r="A98" s="4" t="n">
        <v>420</v>
      </c>
      <c r="B98" s="4" t="n">
        <v>208</v>
      </c>
      <c r="C98" s="4" t="s">
        <v>422</v>
      </c>
      <c r="D98" s="4" t="s">
        <v>566</v>
      </c>
      <c r="E98" s="18" t="n">
        <v>0.28</v>
      </c>
      <c r="F98" s="18" t="n">
        <f aca="false">SUMPRODUCT(MAX((Estaciones!$A$5:$A$1064=A98)*ABS(Estaciones!$D$5:$D$1064)))</f>
        <v>0</v>
      </c>
      <c r="G98" s="18" t="n">
        <f aca="false">_xlfn.MAXIFS(Estaciones!$T$5:$T$1064,Estaciones!$A$5:$A$1064,A98)</f>
        <v>0</v>
      </c>
      <c r="H98" s="18" t="n">
        <f aca="false">_xlfn.MAXIFS(Estaciones!$R$5:$R$1064,Estaciones!$A$5:$A$1064,A98)</f>
        <v>0</v>
      </c>
      <c r="I98" s="18" t="n">
        <f aca="false">SUMPRODUCT(MAX((Estaciones!$A$5:$A$1064=A98)*ABS(Estaciones!$K$5:$K$1064)))</f>
        <v>0</v>
      </c>
      <c r="J98" s="18" t="n">
        <f aca="false">_xlfn.MAXIFS(Estaciones!$U$5:$U$1064,Estaciones!$A$5:$A$1064,A98)</f>
        <v>0.01</v>
      </c>
      <c r="K98" s="18" t="n">
        <f aca="false">_xlfn.MAXIFS(Estaciones!$S$5:$S$1064,Estaciones!$A$5:$A$1064,A98)</f>
        <v>0</v>
      </c>
      <c r="L98" s="13" t="n">
        <f aca="false">H98/Resumen!$B$10</f>
        <v>0</v>
      </c>
      <c r="M98" s="13" t="n">
        <f aca="false">K98/Resumen!$B$10</f>
        <v>0</v>
      </c>
      <c r="N98" s="22" t="n">
        <f aca="false">M98-L98</f>
        <v>0</v>
      </c>
      <c r="O98" s="13" t="n">
        <f aca="false">G98/Resumen!$B$11</f>
        <v>0</v>
      </c>
      <c r="P98" s="13" t="n">
        <f aca="false">J98/Resumen!$B$11</f>
        <v>0.00988142292490119</v>
      </c>
      <c r="Q98" s="4" t="str">
        <f aca="false">IF(S98&gt;=Resumen!$B$8,"AUMENTA",IF(S98&lt;=-Resumen!$B$8,"DISMINUYE","SIN CAMBIO"))</f>
        <v>SIN CAMBIO</v>
      </c>
      <c r="R98" s="4" t="str">
        <f aca="false">IF(AND(M98&lt;=1,P98&lt;=1),"CUMPLE","NO CUMPLE")</f>
        <v>CUMPLE</v>
      </c>
      <c r="S98" s="23" t="n">
        <f aca="false">K98-H98</f>
        <v>0</v>
      </c>
      <c r="T98" s="12" t="str">
        <f aca="false">IF(H98&lt;0.005,"-",K98/H98-1)</f>
        <v>-</v>
      </c>
    </row>
    <row r="99" customFormat="false" ht="15" hidden="false" customHeight="false" outlineLevel="0" collapsed="false">
      <c r="A99" s="4" t="n">
        <v>370</v>
      </c>
      <c r="B99" s="4" t="n">
        <v>147</v>
      </c>
      <c r="C99" s="4" t="s">
        <v>362</v>
      </c>
      <c r="D99" s="4" t="s">
        <v>567</v>
      </c>
      <c r="E99" s="18" t="n">
        <v>3.957</v>
      </c>
      <c r="F99" s="18" t="n">
        <f aca="false">SUMPRODUCT(MAX((Estaciones!$A$5:$A$1064=A99)*ABS(Estaciones!$D$5:$D$1064)))</f>
        <v>0.03</v>
      </c>
      <c r="G99" s="18" t="n">
        <f aca="false">_xlfn.MAXIFS(Estaciones!$T$5:$T$1064,Estaciones!$A$5:$A$1064,A99)</f>
        <v>0</v>
      </c>
      <c r="H99" s="18" t="n">
        <f aca="false">_xlfn.MAXIFS(Estaciones!$R$5:$R$1064,Estaciones!$A$5:$A$1064,A99)</f>
        <v>0.05</v>
      </c>
      <c r="I99" s="18" t="n">
        <f aca="false">SUMPRODUCT(MAX((Estaciones!$A$5:$A$1064=A99)*ABS(Estaciones!$K$5:$K$1064)))</f>
        <v>0.03</v>
      </c>
      <c r="J99" s="18" t="n">
        <f aca="false">_xlfn.MAXIFS(Estaciones!$U$5:$U$1064,Estaciones!$A$5:$A$1064,A99)</f>
        <v>0</v>
      </c>
      <c r="K99" s="18" t="n">
        <f aca="false">_xlfn.MAXIFS(Estaciones!$S$5:$S$1064,Estaciones!$A$5:$A$1064,A99)</f>
        <v>0.05</v>
      </c>
      <c r="L99" s="13" t="n">
        <f aca="false">H99/Resumen!$B$10</f>
        <v>0.0329380764163373</v>
      </c>
      <c r="M99" s="13" t="n">
        <f aca="false">K99/Resumen!$B$10</f>
        <v>0.0329380764163373</v>
      </c>
      <c r="N99" s="22" t="n">
        <f aca="false">M99-L99</f>
        <v>0</v>
      </c>
      <c r="O99" s="13" t="n">
        <f aca="false">G99/Resumen!$B$11</f>
        <v>0</v>
      </c>
      <c r="P99" s="13" t="n">
        <f aca="false">J99/Resumen!$B$11</f>
        <v>0</v>
      </c>
      <c r="Q99" s="4" t="str">
        <f aca="false">IF(S99&gt;=Resumen!$B$8,"AUMENTA",IF(S99&lt;=-Resumen!$B$8,"DISMINUYE","SIN CAMBIO"))</f>
        <v>SIN CAMBIO</v>
      </c>
      <c r="R99" s="4" t="str">
        <f aca="false">IF(AND(M99&lt;=1,P99&lt;=1),"CUMPLE","NO CUMPLE")</f>
        <v>CUMPLE</v>
      </c>
      <c r="S99" s="23" t="n">
        <f aca="false">K99-H99</f>
        <v>0</v>
      </c>
      <c r="T99" s="12" t="n">
        <f aca="false">IF(H99&lt;0.005,"-",K99/H99-1)</f>
        <v>0</v>
      </c>
    </row>
    <row r="100" customFormat="false" ht="15" hidden="false" customHeight="false" outlineLevel="0" collapsed="false">
      <c r="A100" s="4" t="n">
        <v>371</v>
      </c>
      <c r="B100" s="4" t="n">
        <v>150</v>
      </c>
      <c r="C100" s="4" t="s">
        <v>362</v>
      </c>
      <c r="D100" s="4" t="s">
        <v>567</v>
      </c>
      <c r="E100" s="18" t="n">
        <v>3.957</v>
      </c>
      <c r="F100" s="18" t="n">
        <f aca="false">SUMPRODUCT(MAX((Estaciones!$A$5:$A$1064=A100)*ABS(Estaciones!$D$5:$D$1064)))</f>
        <v>0.04</v>
      </c>
      <c r="G100" s="18" t="n">
        <f aca="false">_xlfn.MAXIFS(Estaciones!$T$5:$T$1064,Estaciones!$A$5:$A$1064,A100)</f>
        <v>0</v>
      </c>
      <c r="H100" s="18" t="n">
        <f aca="false">_xlfn.MAXIFS(Estaciones!$R$5:$R$1064,Estaciones!$A$5:$A$1064,A100)</f>
        <v>0.06</v>
      </c>
      <c r="I100" s="18" t="n">
        <f aca="false">SUMPRODUCT(MAX((Estaciones!$A$5:$A$1064=A100)*ABS(Estaciones!$K$5:$K$1064)))</f>
        <v>0.04</v>
      </c>
      <c r="J100" s="18" t="n">
        <f aca="false">_xlfn.MAXIFS(Estaciones!$U$5:$U$1064,Estaciones!$A$5:$A$1064,A100)</f>
        <v>0</v>
      </c>
      <c r="K100" s="18" t="n">
        <f aca="false">_xlfn.MAXIFS(Estaciones!$S$5:$S$1064,Estaciones!$A$5:$A$1064,A100)</f>
        <v>0.07</v>
      </c>
      <c r="L100" s="13" t="n">
        <f aca="false">H100/Resumen!$B$10</f>
        <v>0.0395256916996047</v>
      </c>
      <c r="M100" s="13" t="n">
        <f aca="false">K100/Resumen!$B$10</f>
        <v>0.0461133069828722</v>
      </c>
      <c r="N100" s="22" t="n">
        <f aca="false">M100-L100</f>
        <v>0.00658761528326747</v>
      </c>
      <c r="O100" s="13" t="n">
        <f aca="false">G100/Resumen!$B$11</f>
        <v>0</v>
      </c>
      <c r="P100" s="13" t="n">
        <f aca="false">J100/Resumen!$B$11</f>
        <v>0</v>
      </c>
      <c r="Q100" s="4" t="str">
        <f aca="false">IF(S100&gt;=Resumen!$B$8,"AUMENTA",IF(S100&lt;=-Resumen!$B$8,"DISMINUYE","SIN CAMBIO"))</f>
        <v>SIN CAMBIO</v>
      </c>
      <c r="R100" s="4" t="str">
        <f aca="false">IF(AND(M100&lt;=1,P100&lt;=1),"CUMPLE","NO CUMPLE")</f>
        <v>CUMPLE</v>
      </c>
      <c r="S100" s="23" t="n">
        <f aca="false">K100-H100</f>
        <v>0.01</v>
      </c>
      <c r="T100" s="12" t="n">
        <f aca="false">IF(H100&lt;0.005,"-",K100/H100-1)</f>
        <v>0.166666666666667</v>
      </c>
    </row>
    <row r="101" customFormat="false" ht="15" hidden="false" customHeight="false" outlineLevel="0" collapsed="false">
      <c r="A101" s="4" t="n">
        <v>372</v>
      </c>
      <c r="B101" s="4" t="n">
        <v>151</v>
      </c>
      <c r="C101" s="4" t="s">
        <v>362</v>
      </c>
      <c r="D101" s="4" t="s">
        <v>567</v>
      </c>
      <c r="E101" s="18" t="n">
        <v>3.957</v>
      </c>
      <c r="F101" s="18" t="n">
        <f aca="false">SUMPRODUCT(MAX((Estaciones!$A$5:$A$1064=A101)*ABS(Estaciones!$D$5:$D$1064)))</f>
        <v>0.04</v>
      </c>
      <c r="G101" s="18" t="n">
        <f aca="false">_xlfn.MAXIFS(Estaciones!$T$5:$T$1064,Estaciones!$A$5:$A$1064,A101)</f>
        <v>0</v>
      </c>
      <c r="H101" s="18" t="n">
        <f aca="false">_xlfn.MAXIFS(Estaciones!$R$5:$R$1064,Estaciones!$A$5:$A$1064,A101)</f>
        <v>0.08</v>
      </c>
      <c r="I101" s="18" t="n">
        <f aca="false">SUMPRODUCT(MAX((Estaciones!$A$5:$A$1064=A101)*ABS(Estaciones!$K$5:$K$1064)))</f>
        <v>0.04</v>
      </c>
      <c r="J101" s="18" t="n">
        <f aca="false">_xlfn.MAXIFS(Estaciones!$U$5:$U$1064,Estaciones!$A$5:$A$1064,A101)</f>
        <v>0</v>
      </c>
      <c r="K101" s="18" t="n">
        <f aca="false">_xlfn.MAXIFS(Estaciones!$S$5:$S$1064,Estaciones!$A$5:$A$1064,A101)</f>
        <v>0.08</v>
      </c>
      <c r="L101" s="13" t="n">
        <f aca="false">H101/Resumen!$B$10</f>
        <v>0.0527009222661397</v>
      </c>
      <c r="M101" s="13" t="n">
        <f aca="false">K101/Resumen!$B$10</f>
        <v>0.0527009222661397</v>
      </c>
      <c r="N101" s="22" t="n">
        <f aca="false">M101-L101</f>
        <v>0</v>
      </c>
      <c r="O101" s="13" t="n">
        <f aca="false">G101/Resumen!$B$11</f>
        <v>0</v>
      </c>
      <c r="P101" s="13" t="n">
        <f aca="false">J101/Resumen!$B$11</f>
        <v>0</v>
      </c>
      <c r="Q101" s="4" t="str">
        <f aca="false">IF(S101&gt;=Resumen!$B$8,"AUMENTA",IF(S101&lt;=-Resumen!$B$8,"DISMINUYE","SIN CAMBIO"))</f>
        <v>SIN CAMBIO</v>
      </c>
      <c r="R101" s="4" t="str">
        <f aca="false">IF(AND(M101&lt;=1,P101&lt;=1),"CUMPLE","NO CUMPLE")</f>
        <v>CUMPLE</v>
      </c>
      <c r="S101" s="23" t="n">
        <f aca="false">K101-H101</f>
        <v>0</v>
      </c>
      <c r="T101" s="12" t="n">
        <f aca="false">IF(H101&lt;0.005,"-",K101/H101-1)</f>
        <v>0</v>
      </c>
    </row>
    <row r="102" customFormat="false" ht="15" hidden="false" customHeight="false" outlineLevel="0" collapsed="false">
      <c r="A102" s="4" t="n">
        <v>373</v>
      </c>
      <c r="B102" s="4" t="n">
        <v>152</v>
      </c>
      <c r="C102" s="4" t="s">
        <v>362</v>
      </c>
      <c r="D102" s="4" t="s">
        <v>567</v>
      </c>
      <c r="E102" s="18" t="n">
        <v>3.957</v>
      </c>
      <c r="F102" s="18" t="n">
        <f aca="false">SUMPRODUCT(MAX((Estaciones!$A$5:$A$1064=A102)*ABS(Estaciones!$D$5:$D$1064)))</f>
        <v>0.04</v>
      </c>
      <c r="G102" s="18" t="n">
        <f aca="false">_xlfn.MAXIFS(Estaciones!$T$5:$T$1064,Estaciones!$A$5:$A$1064,A102)</f>
        <v>0</v>
      </c>
      <c r="H102" s="18" t="n">
        <f aca="false">_xlfn.MAXIFS(Estaciones!$R$5:$R$1064,Estaciones!$A$5:$A$1064,A102)</f>
        <v>0.09</v>
      </c>
      <c r="I102" s="18" t="n">
        <f aca="false">SUMPRODUCT(MAX((Estaciones!$A$5:$A$1064=A102)*ABS(Estaciones!$K$5:$K$1064)))</f>
        <v>0.04</v>
      </c>
      <c r="J102" s="18" t="n">
        <f aca="false">_xlfn.MAXIFS(Estaciones!$U$5:$U$1064,Estaciones!$A$5:$A$1064,A102)</f>
        <v>0</v>
      </c>
      <c r="K102" s="18" t="n">
        <f aca="false">_xlfn.MAXIFS(Estaciones!$S$5:$S$1064,Estaciones!$A$5:$A$1064,A102)</f>
        <v>0.09</v>
      </c>
      <c r="L102" s="13" t="n">
        <f aca="false">H102/Resumen!$B$10</f>
        <v>0.0592885375494071</v>
      </c>
      <c r="M102" s="13" t="n">
        <f aca="false">K102/Resumen!$B$10</f>
        <v>0.0592885375494071</v>
      </c>
      <c r="N102" s="22" t="n">
        <f aca="false">M102-L102</f>
        <v>0</v>
      </c>
      <c r="O102" s="13" t="n">
        <f aca="false">G102/Resumen!$B$11</f>
        <v>0</v>
      </c>
      <c r="P102" s="13" t="n">
        <f aca="false">J102/Resumen!$B$11</f>
        <v>0</v>
      </c>
      <c r="Q102" s="4" t="str">
        <f aca="false">IF(S102&gt;=Resumen!$B$8,"AUMENTA",IF(S102&lt;=-Resumen!$B$8,"DISMINUYE","SIN CAMBIO"))</f>
        <v>SIN CAMBIO</v>
      </c>
      <c r="R102" s="4" t="str">
        <f aca="false">IF(AND(M102&lt;=1,P102&lt;=1),"CUMPLE","NO CUMPLE")</f>
        <v>CUMPLE</v>
      </c>
      <c r="S102" s="23" t="n">
        <f aca="false">K102-H102</f>
        <v>0</v>
      </c>
      <c r="T102" s="12" t="n">
        <f aca="false">IF(H102&lt;0.005,"-",K102/H102-1)</f>
        <v>0</v>
      </c>
    </row>
    <row r="103" customFormat="false" ht="15" hidden="false" customHeight="false" outlineLevel="0" collapsed="false">
      <c r="A103" s="4" t="n">
        <v>374</v>
      </c>
      <c r="B103" s="4" t="n">
        <v>153</v>
      </c>
      <c r="C103" s="4" t="s">
        <v>362</v>
      </c>
      <c r="D103" s="4" t="s">
        <v>567</v>
      </c>
      <c r="E103" s="18" t="n">
        <v>3.957</v>
      </c>
      <c r="F103" s="18" t="n">
        <f aca="false">SUMPRODUCT(MAX((Estaciones!$A$5:$A$1064=A103)*ABS(Estaciones!$D$5:$D$1064)))</f>
        <v>0.01</v>
      </c>
      <c r="G103" s="18" t="n">
        <f aca="false">_xlfn.MAXIFS(Estaciones!$T$5:$T$1064,Estaciones!$A$5:$A$1064,A103)</f>
        <v>0</v>
      </c>
      <c r="H103" s="18" t="n">
        <f aca="false">_xlfn.MAXIFS(Estaciones!$R$5:$R$1064,Estaciones!$A$5:$A$1064,A103)</f>
        <v>0.05</v>
      </c>
      <c r="I103" s="18" t="n">
        <f aca="false">SUMPRODUCT(MAX((Estaciones!$A$5:$A$1064=A103)*ABS(Estaciones!$K$5:$K$1064)))</f>
        <v>0.01</v>
      </c>
      <c r="J103" s="18" t="n">
        <f aca="false">_xlfn.MAXIFS(Estaciones!$U$5:$U$1064,Estaciones!$A$5:$A$1064,A103)</f>
        <v>0</v>
      </c>
      <c r="K103" s="18" t="n">
        <f aca="false">_xlfn.MAXIFS(Estaciones!$S$5:$S$1064,Estaciones!$A$5:$A$1064,A103)</f>
        <v>0.05</v>
      </c>
      <c r="L103" s="13" t="n">
        <f aca="false">H103/Resumen!$B$10</f>
        <v>0.0329380764163373</v>
      </c>
      <c r="M103" s="13" t="n">
        <f aca="false">K103/Resumen!$B$10</f>
        <v>0.0329380764163373</v>
      </c>
      <c r="N103" s="22" t="n">
        <f aca="false">M103-L103</f>
        <v>0</v>
      </c>
      <c r="O103" s="13" t="n">
        <f aca="false">G103/Resumen!$B$11</f>
        <v>0</v>
      </c>
      <c r="P103" s="13" t="n">
        <f aca="false">J103/Resumen!$B$11</f>
        <v>0</v>
      </c>
      <c r="Q103" s="4" t="str">
        <f aca="false">IF(S103&gt;=Resumen!$B$8,"AUMENTA",IF(S103&lt;=-Resumen!$B$8,"DISMINUYE","SIN CAMBIO"))</f>
        <v>SIN CAMBIO</v>
      </c>
      <c r="R103" s="4" t="str">
        <f aca="false">IF(AND(M103&lt;=1,P103&lt;=1),"CUMPLE","NO CUMPLE")</f>
        <v>CUMPLE</v>
      </c>
      <c r="S103" s="23" t="n">
        <f aca="false">K103-H103</f>
        <v>0</v>
      </c>
      <c r="T103" s="12" t="n">
        <f aca="false">IF(H103&lt;0.005,"-",K103/H103-1)</f>
        <v>0</v>
      </c>
    </row>
    <row r="104" customFormat="false" ht="15" hidden="false" customHeight="false" outlineLevel="0" collapsed="false">
      <c r="A104" s="4" t="n">
        <v>375</v>
      </c>
      <c r="B104" s="4" t="n">
        <v>154</v>
      </c>
      <c r="C104" s="4" t="s">
        <v>362</v>
      </c>
      <c r="D104" s="4" t="s">
        <v>567</v>
      </c>
      <c r="E104" s="18" t="n">
        <v>3.957</v>
      </c>
      <c r="F104" s="18" t="n">
        <f aca="false">SUMPRODUCT(MAX((Estaciones!$A$5:$A$1064=A104)*ABS(Estaciones!$D$5:$D$1064)))</f>
        <v>0.03</v>
      </c>
      <c r="G104" s="18" t="n">
        <f aca="false">_xlfn.MAXIFS(Estaciones!$T$5:$T$1064,Estaciones!$A$5:$A$1064,A104)</f>
        <v>0</v>
      </c>
      <c r="H104" s="18" t="n">
        <f aca="false">_xlfn.MAXIFS(Estaciones!$R$5:$R$1064,Estaciones!$A$5:$A$1064,A104)</f>
        <v>0.06</v>
      </c>
      <c r="I104" s="18" t="n">
        <f aca="false">SUMPRODUCT(MAX((Estaciones!$A$5:$A$1064=A104)*ABS(Estaciones!$K$5:$K$1064)))</f>
        <v>0.03</v>
      </c>
      <c r="J104" s="18" t="n">
        <f aca="false">_xlfn.MAXIFS(Estaciones!$U$5:$U$1064,Estaciones!$A$5:$A$1064,A104)</f>
        <v>0</v>
      </c>
      <c r="K104" s="18" t="n">
        <f aca="false">_xlfn.MAXIFS(Estaciones!$S$5:$S$1064,Estaciones!$A$5:$A$1064,A104)</f>
        <v>0.06</v>
      </c>
      <c r="L104" s="13" t="n">
        <f aca="false">H104/Resumen!$B$10</f>
        <v>0.0395256916996047</v>
      </c>
      <c r="M104" s="13" t="n">
        <f aca="false">K104/Resumen!$B$10</f>
        <v>0.0395256916996047</v>
      </c>
      <c r="N104" s="22" t="n">
        <f aca="false">M104-L104</f>
        <v>0</v>
      </c>
      <c r="O104" s="13" t="n">
        <f aca="false">G104/Resumen!$B$11</f>
        <v>0</v>
      </c>
      <c r="P104" s="13" t="n">
        <f aca="false">J104/Resumen!$B$11</f>
        <v>0</v>
      </c>
      <c r="Q104" s="4" t="str">
        <f aca="false">IF(S104&gt;=Resumen!$B$8,"AUMENTA",IF(S104&lt;=-Resumen!$B$8,"DISMINUYE","SIN CAMBIO"))</f>
        <v>SIN CAMBIO</v>
      </c>
      <c r="R104" s="4" t="str">
        <f aca="false">IF(AND(M104&lt;=1,P104&lt;=1),"CUMPLE","NO CUMPLE")</f>
        <v>CUMPLE</v>
      </c>
      <c r="S104" s="23" t="n">
        <f aca="false">K104-H104</f>
        <v>0</v>
      </c>
      <c r="T104" s="12" t="n">
        <f aca="false">IF(H104&lt;0.005,"-",K104/H104-1)</f>
        <v>0</v>
      </c>
    </row>
    <row r="105" customFormat="false" ht="15" hidden="false" customHeight="false" outlineLevel="0" collapsed="false">
      <c r="A105" s="4" t="n">
        <v>376</v>
      </c>
      <c r="B105" s="4" t="n">
        <v>155</v>
      </c>
      <c r="C105" s="4" t="s">
        <v>362</v>
      </c>
      <c r="D105" s="4" t="s">
        <v>567</v>
      </c>
      <c r="E105" s="18" t="n">
        <v>3.957</v>
      </c>
      <c r="F105" s="18" t="n">
        <f aca="false">SUMPRODUCT(MAX((Estaciones!$A$5:$A$1064=A105)*ABS(Estaciones!$D$5:$D$1064)))</f>
        <v>0.03</v>
      </c>
      <c r="G105" s="18" t="n">
        <f aca="false">_xlfn.MAXIFS(Estaciones!$T$5:$T$1064,Estaciones!$A$5:$A$1064,A105)</f>
        <v>0</v>
      </c>
      <c r="H105" s="18" t="n">
        <f aca="false">_xlfn.MAXIFS(Estaciones!$R$5:$R$1064,Estaciones!$A$5:$A$1064,A105)</f>
        <v>0.07</v>
      </c>
      <c r="I105" s="18" t="n">
        <f aca="false">SUMPRODUCT(MAX((Estaciones!$A$5:$A$1064=A105)*ABS(Estaciones!$K$5:$K$1064)))</f>
        <v>0.03</v>
      </c>
      <c r="J105" s="18" t="n">
        <f aca="false">_xlfn.MAXIFS(Estaciones!$U$5:$U$1064,Estaciones!$A$5:$A$1064,A105)</f>
        <v>0</v>
      </c>
      <c r="K105" s="18" t="n">
        <f aca="false">_xlfn.MAXIFS(Estaciones!$S$5:$S$1064,Estaciones!$A$5:$A$1064,A105)</f>
        <v>0.07</v>
      </c>
      <c r="L105" s="13" t="n">
        <f aca="false">H105/Resumen!$B$10</f>
        <v>0.0461133069828722</v>
      </c>
      <c r="M105" s="13" t="n">
        <f aca="false">K105/Resumen!$B$10</f>
        <v>0.0461133069828722</v>
      </c>
      <c r="N105" s="22" t="n">
        <f aca="false">M105-L105</f>
        <v>0</v>
      </c>
      <c r="O105" s="13" t="n">
        <f aca="false">G105/Resumen!$B$11</f>
        <v>0</v>
      </c>
      <c r="P105" s="13" t="n">
        <f aca="false">J105/Resumen!$B$11</f>
        <v>0</v>
      </c>
      <c r="Q105" s="4" t="str">
        <f aca="false">IF(S105&gt;=Resumen!$B$8,"AUMENTA",IF(S105&lt;=-Resumen!$B$8,"DISMINUYE","SIN CAMBIO"))</f>
        <v>SIN CAMBIO</v>
      </c>
      <c r="R105" s="4" t="str">
        <f aca="false">IF(AND(M105&lt;=1,P105&lt;=1),"CUMPLE","NO CUMPLE")</f>
        <v>CUMPLE</v>
      </c>
      <c r="S105" s="23" t="n">
        <f aca="false">K105-H105</f>
        <v>0</v>
      </c>
      <c r="T105" s="12" t="n">
        <f aca="false">IF(H105&lt;0.005,"-",K105/H105-1)</f>
        <v>0</v>
      </c>
    </row>
    <row r="106" customFormat="false" ht="15" hidden="false" customHeight="false" outlineLevel="0" collapsed="false">
      <c r="A106" s="4" t="n">
        <v>377</v>
      </c>
      <c r="B106" s="4" t="n">
        <v>156</v>
      </c>
      <c r="C106" s="4" t="s">
        <v>362</v>
      </c>
      <c r="D106" s="4" t="s">
        <v>567</v>
      </c>
      <c r="E106" s="18" t="n">
        <v>3.957</v>
      </c>
      <c r="F106" s="18" t="n">
        <f aca="false">SUMPRODUCT(MAX((Estaciones!$A$5:$A$1064=A106)*ABS(Estaciones!$D$5:$D$1064)))</f>
        <v>0.01</v>
      </c>
      <c r="G106" s="18" t="n">
        <f aca="false">_xlfn.MAXIFS(Estaciones!$T$5:$T$1064,Estaciones!$A$5:$A$1064,A106)</f>
        <v>0</v>
      </c>
      <c r="H106" s="18" t="n">
        <f aca="false">_xlfn.MAXIFS(Estaciones!$R$5:$R$1064,Estaciones!$A$5:$A$1064,A106)</f>
        <v>0.05</v>
      </c>
      <c r="I106" s="18" t="n">
        <f aca="false">SUMPRODUCT(MAX((Estaciones!$A$5:$A$1064=A106)*ABS(Estaciones!$K$5:$K$1064)))</f>
        <v>0.01</v>
      </c>
      <c r="J106" s="18" t="n">
        <f aca="false">_xlfn.MAXIFS(Estaciones!$U$5:$U$1064,Estaciones!$A$5:$A$1064,A106)</f>
        <v>0</v>
      </c>
      <c r="K106" s="18" t="n">
        <f aca="false">_xlfn.MAXIFS(Estaciones!$S$5:$S$1064,Estaciones!$A$5:$A$1064,A106)</f>
        <v>0.05</v>
      </c>
      <c r="L106" s="13" t="n">
        <f aca="false">H106/Resumen!$B$10</f>
        <v>0.0329380764163373</v>
      </c>
      <c r="M106" s="13" t="n">
        <f aca="false">K106/Resumen!$B$10</f>
        <v>0.0329380764163373</v>
      </c>
      <c r="N106" s="22" t="n">
        <f aca="false">M106-L106</f>
        <v>0</v>
      </c>
      <c r="O106" s="13" t="n">
        <f aca="false">G106/Resumen!$B$11</f>
        <v>0</v>
      </c>
      <c r="P106" s="13" t="n">
        <f aca="false">J106/Resumen!$B$11</f>
        <v>0</v>
      </c>
      <c r="Q106" s="4" t="str">
        <f aca="false">IF(S106&gt;=Resumen!$B$8,"AUMENTA",IF(S106&lt;=-Resumen!$B$8,"DISMINUYE","SIN CAMBIO"))</f>
        <v>SIN CAMBIO</v>
      </c>
      <c r="R106" s="4" t="str">
        <f aca="false">IF(AND(M106&lt;=1,P106&lt;=1),"CUMPLE","NO CUMPLE")</f>
        <v>CUMPLE</v>
      </c>
      <c r="S106" s="23" t="n">
        <f aca="false">K106-H106</f>
        <v>0</v>
      </c>
      <c r="T106" s="12" t="n">
        <f aca="false">IF(H106&lt;0.005,"-",K106/H106-1)</f>
        <v>0</v>
      </c>
    </row>
    <row r="107" customFormat="false" ht="15" hidden="false" customHeight="false" outlineLevel="0" collapsed="false">
      <c r="A107" s="4" t="n">
        <v>378</v>
      </c>
      <c r="B107" s="4" t="n">
        <v>157</v>
      </c>
      <c r="C107" s="4" t="s">
        <v>362</v>
      </c>
      <c r="D107" s="4" t="s">
        <v>567</v>
      </c>
      <c r="E107" s="18" t="n">
        <v>3.957</v>
      </c>
      <c r="F107" s="18" t="n">
        <f aca="false">SUMPRODUCT(MAX((Estaciones!$A$5:$A$1064=A107)*ABS(Estaciones!$D$5:$D$1064)))</f>
        <v>0</v>
      </c>
      <c r="G107" s="18" t="n">
        <f aca="false">_xlfn.MAXIFS(Estaciones!$T$5:$T$1064,Estaciones!$A$5:$A$1064,A107)</f>
        <v>0</v>
      </c>
      <c r="H107" s="18" t="n">
        <f aca="false">_xlfn.MAXIFS(Estaciones!$R$5:$R$1064,Estaciones!$A$5:$A$1064,A107)</f>
        <v>0.03</v>
      </c>
      <c r="I107" s="18" t="n">
        <f aca="false">SUMPRODUCT(MAX((Estaciones!$A$5:$A$1064=A107)*ABS(Estaciones!$K$5:$K$1064)))</f>
        <v>0</v>
      </c>
      <c r="J107" s="18" t="n">
        <f aca="false">_xlfn.MAXIFS(Estaciones!$U$5:$U$1064,Estaciones!$A$5:$A$1064,A107)</f>
        <v>0</v>
      </c>
      <c r="K107" s="18" t="n">
        <f aca="false">_xlfn.MAXIFS(Estaciones!$S$5:$S$1064,Estaciones!$A$5:$A$1064,A107)</f>
        <v>0.03</v>
      </c>
      <c r="L107" s="13" t="n">
        <f aca="false">H107/Resumen!$B$10</f>
        <v>0.0197628458498024</v>
      </c>
      <c r="M107" s="13" t="n">
        <f aca="false">K107/Resumen!$B$10</f>
        <v>0.0197628458498024</v>
      </c>
      <c r="N107" s="22" t="n">
        <f aca="false">M107-L107</f>
        <v>0</v>
      </c>
      <c r="O107" s="13" t="n">
        <f aca="false">G107/Resumen!$B$11</f>
        <v>0</v>
      </c>
      <c r="P107" s="13" t="n">
        <f aca="false">J107/Resumen!$B$11</f>
        <v>0</v>
      </c>
      <c r="Q107" s="4" t="str">
        <f aca="false">IF(S107&gt;=Resumen!$B$8,"AUMENTA",IF(S107&lt;=-Resumen!$B$8,"DISMINUYE","SIN CAMBIO"))</f>
        <v>SIN CAMBIO</v>
      </c>
      <c r="R107" s="4" t="str">
        <f aca="false">IF(AND(M107&lt;=1,P107&lt;=1),"CUMPLE","NO CUMPLE")</f>
        <v>CUMPLE</v>
      </c>
      <c r="S107" s="23" t="n">
        <f aca="false">K107-H107</f>
        <v>0</v>
      </c>
      <c r="T107" s="12" t="n">
        <f aca="false">IF(H107&lt;0.005,"-",K107/H107-1)</f>
        <v>0</v>
      </c>
    </row>
    <row r="108" customFormat="false" ht="15" hidden="false" customHeight="false" outlineLevel="0" collapsed="false">
      <c r="A108" s="4" t="n">
        <v>379</v>
      </c>
      <c r="B108" s="4" t="n">
        <v>158</v>
      </c>
      <c r="C108" s="4" t="s">
        <v>362</v>
      </c>
      <c r="D108" s="4" t="s">
        <v>567</v>
      </c>
      <c r="E108" s="18" t="n">
        <v>3.957</v>
      </c>
      <c r="F108" s="18" t="n">
        <f aca="false">SUMPRODUCT(MAX((Estaciones!$A$5:$A$1064=A108)*ABS(Estaciones!$D$5:$D$1064)))</f>
        <v>0.04</v>
      </c>
      <c r="G108" s="18" t="n">
        <f aca="false">_xlfn.MAXIFS(Estaciones!$T$5:$T$1064,Estaciones!$A$5:$A$1064,A108)</f>
        <v>0</v>
      </c>
      <c r="H108" s="18" t="n">
        <f aca="false">_xlfn.MAXIFS(Estaciones!$R$5:$R$1064,Estaciones!$A$5:$A$1064,A108)</f>
        <v>0.09</v>
      </c>
      <c r="I108" s="18" t="n">
        <f aca="false">SUMPRODUCT(MAX((Estaciones!$A$5:$A$1064=A108)*ABS(Estaciones!$K$5:$K$1064)))</f>
        <v>0.04</v>
      </c>
      <c r="J108" s="18" t="n">
        <f aca="false">_xlfn.MAXIFS(Estaciones!$U$5:$U$1064,Estaciones!$A$5:$A$1064,A108)</f>
        <v>0</v>
      </c>
      <c r="K108" s="18" t="n">
        <f aca="false">_xlfn.MAXIFS(Estaciones!$S$5:$S$1064,Estaciones!$A$5:$A$1064,A108)</f>
        <v>0.09</v>
      </c>
      <c r="L108" s="13" t="n">
        <f aca="false">H108/Resumen!$B$10</f>
        <v>0.0592885375494071</v>
      </c>
      <c r="M108" s="13" t="n">
        <f aca="false">K108/Resumen!$B$10</f>
        <v>0.0592885375494071</v>
      </c>
      <c r="N108" s="22" t="n">
        <f aca="false">M108-L108</f>
        <v>0</v>
      </c>
      <c r="O108" s="13" t="n">
        <f aca="false">G108/Resumen!$B$11</f>
        <v>0</v>
      </c>
      <c r="P108" s="13" t="n">
        <f aca="false">J108/Resumen!$B$11</f>
        <v>0</v>
      </c>
      <c r="Q108" s="4" t="str">
        <f aca="false">IF(S108&gt;=Resumen!$B$8,"AUMENTA",IF(S108&lt;=-Resumen!$B$8,"DISMINUYE","SIN CAMBIO"))</f>
        <v>SIN CAMBIO</v>
      </c>
      <c r="R108" s="4" t="str">
        <f aca="false">IF(AND(M108&lt;=1,P108&lt;=1),"CUMPLE","NO CUMPLE")</f>
        <v>CUMPLE</v>
      </c>
      <c r="S108" s="23" t="n">
        <f aca="false">K108-H108</f>
        <v>0</v>
      </c>
      <c r="T108" s="12" t="n">
        <f aca="false">IF(H108&lt;0.005,"-",K108/H108-1)</f>
        <v>0</v>
      </c>
    </row>
    <row r="109" customFormat="false" ht="15" hidden="false" customHeight="false" outlineLevel="0" collapsed="false">
      <c r="A109" s="4" t="n">
        <v>380</v>
      </c>
      <c r="B109" s="4" t="n">
        <v>159</v>
      </c>
      <c r="C109" s="4" t="s">
        <v>362</v>
      </c>
      <c r="D109" s="4" t="s">
        <v>567</v>
      </c>
      <c r="E109" s="18" t="n">
        <v>3.957</v>
      </c>
      <c r="F109" s="18" t="n">
        <f aca="false">SUMPRODUCT(MAX((Estaciones!$A$5:$A$1064=A109)*ABS(Estaciones!$D$5:$D$1064)))</f>
        <v>0.02</v>
      </c>
      <c r="G109" s="18" t="n">
        <f aca="false">_xlfn.MAXIFS(Estaciones!$T$5:$T$1064,Estaciones!$A$5:$A$1064,A109)</f>
        <v>0</v>
      </c>
      <c r="H109" s="18" t="n">
        <f aca="false">_xlfn.MAXIFS(Estaciones!$R$5:$R$1064,Estaciones!$A$5:$A$1064,A109)</f>
        <v>0.06</v>
      </c>
      <c r="I109" s="18" t="n">
        <f aca="false">SUMPRODUCT(MAX((Estaciones!$A$5:$A$1064=A109)*ABS(Estaciones!$K$5:$K$1064)))</f>
        <v>0.02</v>
      </c>
      <c r="J109" s="18" t="n">
        <f aca="false">_xlfn.MAXIFS(Estaciones!$U$5:$U$1064,Estaciones!$A$5:$A$1064,A109)</f>
        <v>0</v>
      </c>
      <c r="K109" s="18" t="n">
        <f aca="false">_xlfn.MAXIFS(Estaciones!$S$5:$S$1064,Estaciones!$A$5:$A$1064,A109)</f>
        <v>0.06</v>
      </c>
      <c r="L109" s="13" t="n">
        <f aca="false">H109/Resumen!$B$10</f>
        <v>0.0395256916996047</v>
      </c>
      <c r="M109" s="13" t="n">
        <f aca="false">K109/Resumen!$B$10</f>
        <v>0.0395256916996047</v>
      </c>
      <c r="N109" s="22" t="n">
        <f aca="false">M109-L109</f>
        <v>0</v>
      </c>
      <c r="O109" s="13" t="n">
        <f aca="false">G109/Resumen!$B$11</f>
        <v>0</v>
      </c>
      <c r="P109" s="13" t="n">
        <f aca="false">J109/Resumen!$B$11</f>
        <v>0</v>
      </c>
      <c r="Q109" s="4" t="str">
        <f aca="false">IF(S109&gt;=Resumen!$B$8,"AUMENTA",IF(S109&lt;=-Resumen!$B$8,"DISMINUYE","SIN CAMBIO"))</f>
        <v>SIN CAMBIO</v>
      </c>
      <c r="R109" s="4" t="str">
        <f aca="false">IF(AND(M109&lt;=1,P109&lt;=1),"CUMPLE","NO CUMPLE")</f>
        <v>CUMPLE</v>
      </c>
      <c r="S109" s="23" t="n">
        <f aca="false">K109-H109</f>
        <v>0</v>
      </c>
      <c r="T109" s="12" t="n">
        <f aca="false">IF(H109&lt;0.005,"-",K109/H109-1)</f>
        <v>0</v>
      </c>
    </row>
    <row r="110" customFormat="false" ht="15" hidden="false" customHeight="false" outlineLevel="0" collapsed="false">
      <c r="A110" s="4" t="n">
        <v>381</v>
      </c>
      <c r="B110" s="4" t="n">
        <v>160</v>
      </c>
      <c r="C110" s="4" t="s">
        <v>362</v>
      </c>
      <c r="D110" s="4" t="s">
        <v>567</v>
      </c>
      <c r="E110" s="18" t="n">
        <v>3.957</v>
      </c>
      <c r="F110" s="18" t="n">
        <f aca="false">SUMPRODUCT(MAX((Estaciones!$A$5:$A$1064=A110)*ABS(Estaciones!$D$5:$D$1064)))</f>
        <v>0.02</v>
      </c>
      <c r="G110" s="18" t="n">
        <f aca="false">_xlfn.MAXIFS(Estaciones!$T$5:$T$1064,Estaciones!$A$5:$A$1064,A110)</f>
        <v>0</v>
      </c>
      <c r="H110" s="18" t="n">
        <f aca="false">_xlfn.MAXIFS(Estaciones!$R$5:$R$1064,Estaciones!$A$5:$A$1064,A110)</f>
        <v>0.06</v>
      </c>
      <c r="I110" s="18" t="n">
        <f aca="false">SUMPRODUCT(MAX((Estaciones!$A$5:$A$1064=A110)*ABS(Estaciones!$K$5:$K$1064)))</f>
        <v>0.02</v>
      </c>
      <c r="J110" s="18" t="n">
        <f aca="false">_xlfn.MAXIFS(Estaciones!$U$5:$U$1064,Estaciones!$A$5:$A$1064,A110)</f>
        <v>0</v>
      </c>
      <c r="K110" s="18" t="n">
        <f aca="false">_xlfn.MAXIFS(Estaciones!$S$5:$S$1064,Estaciones!$A$5:$A$1064,A110)</f>
        <v>0.06</v>
      </c>
      <c r="L110" s="13" t="n">
        <f aca="false">H110/Resumen!$B$10</f>
        <v>0.0395256916996047</v>
      </c>
      <c r="M110" s="13" t="n">
        <f aca="false">K110/Resumen!$B$10</f>
        <v>0.0395256916996047</v>
      </c>
      <c r="N110" s="22" t="n">
        <f aca="false">M110-L110</f>
        <v>0</v>
      </c>
      <c r="O110" s="13" t="n">
        <f aca="false">G110/Resumen!$B$11</f>
        <v>0</v>
      </c>
      <c r="P110" s="13" t="n">
        <f aca="false">J110/Resumen!$B$11</f>
        <v>0</v>
      </c>
      <c r="Q110" s="4" t="str">
        <f aca="false">IF(S110&gt;=Resumen!$B$8,"AUMENTA",IF(S110&lt;=-Resumen!$B$8,"DISMINUYE","SIN CAMBIO"))</f>
        <v>SIN CAMBIO</v>
      </c>
      <c r="R110" s="4" t="str">
        <f aca="false">IF(AND(M110&lt;=1,P110&lt;=1),"CUMPLE","NO CUMPLE")</f>
        <v>CUMPLE</v>
      </c>
      <c r="S110" s="23" t="n">
        <f aca="false">K110-H110</f>
        <v>0</v>
      </c>
      <c r="T110" s="12" t="n">
        <f aca="false">IF(H110&lt;0.005,"-",K110/H110-1)</f>
        <v>0</v>
      </c>
    </row>
    <row r="111" customFormat="false" ht="15" hidden="false" customHeight="false" outlineLevel="0" collapsed="false">
      <c r="A111" s="4" t="n">
        <v>382</v>
      </c>
      <c r="B111" s="4" t="n">
        <v>161</v>
      </c>
      <c r="C111" s="4" t="s">
        <v>362</v>
      </c>
      <c r="D111" s="4" t="s">
        <v>567</v>
      </c>
      <c r="E111" s="18" t="n">
        <v>3.957</v>
      </c>
      <c r="F111" s="18" t="n">
        <f aca="false">SUMPRODUCT(MAX((Estaciones!$A$5:$A$1064=A111)*ABS(Estaciones!$D$5:$D$1064)))</f>
        <v>0.03</v>
      </c>
      <c r="G111" s="18" t="n">
        <f aca="false">_xlfn.MAXIFS(Estaciones!$T$5:$T$1064,Estaciones!$A$5:$A$1064,A111)</f>
        <v>0</v>
      </c>
      <c r="H111" s="18" t="n">
        <f aca="false">_xlfn.MAXIFS(Estaciones!$R$5:$R$1064,Estaciones!$A$5:$A$1064,A111)</f>
        <v>0.07</v>
      </c>
      <c r="I111" s="18" t="n">
        <f aca="false">SUMPRODUCT(MAX((Estaciones!$A$5:$A$1064=A111)*ABS(Estaciones!$K$5:$K$1064)))</f>
        <v>0.03</v>
      </c>
      <c r="J111" s="18" t="n">
        <f aca="false">_xlfn.MAXIFS(Estaciones!$U$5:$U$1064,Estaciones!$A$5:$A$1064,A111)</f>
        <v>0</v>
      </c>
      <c r="K111" s="18" t="n">
        <f aca="false">_xlfn.MAXIFS(Estaciones!$S$5:$S$1064,Estaciones!$A$5:$A$1064,A111)</f>
        <v>0.07</v>
      </c>
      <c r="L111" s="13" t="n">
        <f aca="false">H111/Resumen!$B$10</f>
        <v>0.0461133069828722</v>
      </c>
      <c r="M111" s="13" t="n">
        <f aca="false">K111/Resumen!$B$10</f>
        <v>0.0461133069828722</v>
      </c>
      <c r="N111" s="22" t="n">
        <f aca="false">M111-L111</f>
        <v>0</v>
      </c>
      <c r="O111" s="13" t="n">
        <f aca="false">G111/Resumen!$B$11</f>
        <v>0</v>
      </c>
      <c r="P111" s="13" t="n">
        <f aca="false">J111/Resumen!$B$11</f>
        <v>0</v>
      </c>
      <c r="Q111" s="4" t="str">
        <f aca="false">IF(S111&gt;=Resumen!$B$8,"AUMENTA",IF(S111&lt;=-Resumen!$B$8,"DISMINUYE","SIN CAMBIO"))</f>
        <v>SIN CAMBIO</v>
      </c>
      <c r="R111" s="4" t="str">
        <f aca="false">IF(AND(M111&lt;=1,P111&lt;=1),"CUMPLE","NO CUMPLE")</f>
        <v>CUMPLE</v>
      </c>
      <c r="S111" s="23" t="n">
        <f aca="false">K111-H111</f>
        <v>0</v>
      </c>
      <c r="T111" s="12" t="n">
        <f aca="false">IF(H111&lt;0.005,"-",K111/H111-1)</f>
        <v>0</v>
      </c>
    </row>
    <row r="112" customFormat="false" ht="15" hidden="false" customHeight="false" outlineLevel="0" collapsed="false">
      <c r="A112" s="4" t="n">
        <v>383</v>
      </c>
      <c r="B112" s="4" t="n">
        <v>162</v>
      </c>
      <c r="C112" s="4" t="s">
        <v>362</v>
      </c>
      <c r="D112" s="4" t="s">
        <v>567</v>
      </c>
      <c r="E112" s="18" t="n">
        <v>3.957</v>
      </c>
      <c r="F112" s="18" t="n">
        <f aca="false">SUMPRODUCT(MAX((Estaciones!$A$5:$A$1064=A112)*ABS(Estaciones!$D$5:$D$1064)))</f>
        <v>0.04</v>
      </c>
      <c r="G112" s="18" t="n">
        <f aca="false">_xlfn.MAXIFS(Estaciones!$T$5:$T$1064,Estaciones!$A$5:$A$1064,A112)</f>
        <v>0</v>
      </c>
      <c r="H112" s="18" t="n">
        <f aca="false">_xlfn.MAXIFS(Estaciones!$R$5:$R$1064,Estaciones!$A$5:$A$1064,A112)</f>
        <v>0.06</v>
      </c>
      <c r="I112" s="18" t="n">
        <f aca="false">SUMPRODUCT(MAX((Estaciones!$A$5:$A$1064=A112)*ABS(Estaciones!$K$5:$K$1064)))</f>
        <v>0.04</v>
      </c>
      <c r="J112" s="18" t="n">
        <f aca="false">_xlfn.MAXIFS(Estaciones!$U$5:$U$1064,Estaciones!$A$5:$A$1064,A112)</f>
        <v>0</v>
      </c>
      <c r="K112" s="18" t="n">
        <f aca="false">_xlfn.MAXIFS(Estaciones!$S$5:$S$1064,Estaciones!$A$5:$A$1064,A112)</f>
        <v>0.07</v>
      </c>
      <c r="L112" s="13" t="n">
        <f aca="false">H112/Resumen!$B$10</f>
        <v>0.0395256916996047</v>
      </c>
      <c r="M112" s="13" t="n">
        <f aca="false">K112/Resumen!$B$10</f>
        <v>0.0461133069828722</v>
      </c>
      <c r="N112" s="22" t="n">
        <f aca="false">M112-L112</f>
        <v>0.00658761528326747</v>
      </c>
      <c r="O112" s="13" t="n">
        <f aca="false">G112/Resumen!$B$11</f>
        <v>0</v>
      </c>
      <c r="P112" s="13" t="n">
        <f aca="false">J112/Resumen!$B$11</f>
        <v>0</v>
      </c>
      <c r="Q112" s="4" t="str">
        <f aca="false">IF(S112&gt;=Resumen!$B$8,"AUMENTA",IF(S112&lt;=-Resumen!$B$8,"DISMINUYE","SIN CAMBIO"))</f>
        <v>SIN CAMBIO</v>
      </c>
      <c r="R112" s="4" t="str">
        <f aca="false">IF(AND(M112&lt;=1,P112&lt;=1),"CUMPLE","NO CUMPLE")</f>
        <v>CUMPLE</v>
      </c>
      <c r="S112" s="23" t="n">
        <f aca="false">K112-H112</f>
        <v>0.01</v>
      </c>
      <c r="T112" s="12" t="n">
        <f aca="false">IF(H112&lt;0.005,"-",K112/H112-1)</f>
        <v>0.166666666666667</v>
      </c>
    </row>
    <row r="113" customFormat="false" ht="15" hidden="false" customHeight="false" outlineLevel="0" collapsed="false">
      <c r="A113" s="4" t="n">
        <v>384</v>
      </c>
      <c r="B113" s="4" t="n">
        <v>163</v>
      </c>
      <c r="C113" s="4" t="s">
        <v>362</v>
      </c>
      <c r="D113" s="4" t="s">
        <v>567</v>
      </c>
      <c r="E113" s="18" t="n">
        <v>3.957</v>
      </c>
      <c r="F113" s="18" t="n">
        <f aca="false">SUMPRODUCT(MAX((Estaciones!$A$5:$A$1064=A113)*ABS(Estaciones!$D$5:$D$1064)))</f>
        <v>0.04</v>
      </c>
      <c r="G113" s="18" t="n">
        <f aca="false">_xlfn.MAXIFS(Estaciones!$T$5:$T$1064,Estaciones!$A$5:$A$1064,A113)</f>
        <v>0</v>
      </c>
      <c r="H113" s="18" t="n">
        <f aca="false">_xlfn.MAXIFS(Estaciones!$R$5:$R$1064,Estaciones!$A$5:$A$1064,A113)</f>
        <v>0.09</v>
      </c>
      <c r="I113" s="18" t="n">
        <f aca="false">SUMPRODUCT(MAX((Estaciones!$A$5:$A$1064=A113)*ABS(Estaciones!$K$5:$K$1064)))</f>
        <v>0.04</v>
      </c>
      <c r="J113" s="18" t="n">
        <f aca="false">_xlfn.MAXIFS(Estaciones!$U$5:$U$1064,Estaciones!$A$5:$A$1064,A113)</f>
        <v>0</v>
      </c>
      <c r="K113" s="18" t="n">
        <f aca="false">_xlfn.MAXIFS(Estaciones!$S$5:$S$1064,Estaciones!$A$5:$A$1064,A113)</f>
        <v>0.09</v>
      </c>
      <c r="L113" s="13" t="n">
        <f aca="false">H113/Resumen!$B$10</f>
        <v>0.0592885375494071</v>
      </c>
      <c r="M113" s="13" t="n">
        <f aca="false">K113/Resumen!$B$10</f>
        <v>0.0592885375494071</v>
      </c>
      <c r="N113" s="22" t="n">
        <f aca="false">M113-L113</f>
        <v>0</v>
      </c>
      <c r="O113" s="13" t="n">
        <f aca="false">G113/Resumen!$B$11</f>
        <v>0</v>
      </c>
      <c r="P113" s="13" t="n">
        <f aca="false">J113/Resumen!$B$11</f>
        <v>0</v>
      </c>
      <c r="Q113" s="4" t="str">
        <f aca="false">IF(S113&gt;=Resumen!$B$8,"AUMENTA",IF(S113&lt;=-Resumen!$B$8,"DISMINUYE","SIN CAMBIO"))</f>
        <v>SIN CAMBIO</v>
      </c>
      <c r="R113" s="4" t="str">
        <f aca="false">IF(AND(M113&lt;=1,P113&lt;=1),"CUMPLE","NO CUMPLE")</f>
        <v>CUMPLE</v>
      </c>
      <c r="S113" s="23" t="n">
        <f aca="false">K113-H113</f>
        <v>0</v>
      </c>
      <c r="T113" s="12" t="n">
        <f aca="false">IF(H113&lt;0.005,"-",K113/H113-1)</f>
        <v>0</v>
      </c>
    </row>
    <row r="114" customFormat="false" ht="15" hidden="false" customHeight="false" outlineLevel="0" collapsed="false">
      <c r="A114" s="4" t="n">
        <v>385</v>
      </c>
      <c r="B114" s="4" t="n">
        <v>164</v>
      </c>
      <c r="C114" s="4" t="s">
        <v>362</v>
      </c>
      <c r="D114" s="4" t="s">
        <v>567</v>
      </c>
      <c r="E114" s="18" t="n">
        <v>3.957</v>
      </c>
      <c r="F114" s="18" t="n">
        <f aca="false">SUMPRODUCT(MAX((Estaciones!$A$5:$A$1064=A114)*ABS(Estaciones!$D$5:$D$1064)))</f>
        <v>0.03</v>
      </c>
      <c r="G114" s="18" t="n">
        <f aca="false">_xlfn.MAXIFS(Estaciones!$T$5:$T$1064,Estaciones!$A$5:$A$1064,A114)</f>
        <v>0</v>
      </c>
      <c r="H114" s="18" t="n">
        <f aca="false">_xlfn.MAXIFS(Estaciones!$R$5:$R$1064,Estaciones!$A$5:$A$1064,A114)</f>
        <v>0.05</v>
      </c>
      <c r="I114" s="18" t="n">
        <f aca="false">SUMPRODUCT(MAX((Estaciones!$A$5:$A$1064=A114)*ABS(Estaciones!$K$5:$K$1064)))</f>
        <v>0.03</v>
      </c>
      <c r="J114" s="18" t="n">
        <f aca="false">_xlfn.MAXIFS(Estaciones!$U$5:$U$1064,Estaciones!$A$5:$A$1064,A114)</f>
        <v>0</v>
      </c>
      <c r="K114" s="18" t="n">
        <f aca="false">_xlfn.MAXIFS(Estaciones!$S$5:$S$1064,Estaciones!$A$5:$A$1064,A114)</f>
        <v>0.06</v>
      </c>
      <c r="L114" s="13" t="n">
        <f aca="false">H114/Resumen!$B$10</f>
        <v>0.0329380764163373</v>
      </c>
      <c r="M114" s="13" t="n">
        <f aca="false">K114/Resumen!$B$10</f>
        <v>0.0395256916996047</v>
      </c>
      <c r="N114" s="22" t="n">
        <f aca="false">M114-L114</f>
        <v>0.00658761528326745</v>
      </c>
      <c r="O114" s="13" t="n">
        <f aca="false">G114/Resumen!$B$11</f>
        <v>0</v>
      </c>
      <c r="P114" s="13" t="n">
        <f aca="false">J114/Resumen!$B$11</f>
        <v>0</v>
      </c>
      <c r="Q114" s="4" t="str">
        <f aca="false">IF(S114&gt;=Resumen!$B$8,"AUMENTA",IF(S114&lt;=-Resumen!$B$8,"DISMINUYE","SIN CAMBIO"))</f>
        <v>SIN CAMBIO</v>
      </c>
      <c r="R114" s="4" t="str">
        <f aca="false">IF(AND(M114&lt;=1,P114&lt;=1),"CUMPLE","NO CUMPLE")</f>
        <v>CUMPLE</v>
      </c>
      <c r="S114" s="23" t="n">
        <f aca="false">K114-H114</f>
        <v>0.01</v>
      </c>
      <c r="T114" s="12" t="n">
        <f aca="false">IF(H114&lt;0.005,"-",K114/H114-1)</f>
        <v>0.2</v>
      </c>
    </row>
    <row r="115" customFormat="false" ht="15" hidden="false" customHeight="false" outlineLevel="0" collapsed="false">
      <c r="A115" s="4" t="n">
        <v>390</v>
      </c>
      <c r="B115" s="4" t="n">
        <v>177</v>
      </c>
      <c r="C115" s="4" t="s">
        <v>405</v>
      </c>
      <c r="D115" s="4" t="s">
        <v>567</v>
      </c>
      <c r="E115" s="18" t="n">
        <v>1.728</v>
      </c>
      <c r="F115" s="18" t="n">
        <f aca="false">SUMPRODUCT(MAX((Estaciones!$A$5:$A$1064=A115)*ABS(Estaciones!$D$5:$D$1064)))</f>
        <v>0.01</v>
      </c>
      <c r="G115" s="18" t="n">
        <f aca="false">_xlfn.MAXIFS(Estaciones!$T$5:$T$1064,Estaciones!$A$5:$A$1064,A115)</f>
        <v>0</v>
      </c>
      <c r="H115" s="18" t="n">
        <f aca="false">_xlfn.MAXIFS(Estaciones!$R$5:$R$1064,Estaciones!$A$5:$A$1064,A115)</f>
        <v>0.04</v>
      </c>
      <c r="I115" s="18" t="n">
        <f aca="false">SUMPRODUCT(MAX((Estaciones!$A$5:$A$1064=A115)*ABS(Estaciones!$K$5:$K$1064)))</f>
        <v>0.01</v>
      </c>
      <c r="J115" s="18" t="n">
        <f aca="false">_xlfn.MAXIFS(Estaciones!$U$5:$U$1064,Estaciones!$A$5:$A$1064,A115)</f>
        <v>0</v>
      </c>
      <c r="K115" s="18" t="n">
        <f aca="false">_xlfn.MAXIFS(Estaciones!$S$5:$S$1064,Estaciones!$A$5:$A$1064,A115)</f>
        <v>0.04</v>
      </c>
      <c r="L115" s="13" t="n">
        <f aca="false">H115/Resumen!$B$10</f>
        <v>0.0263504611330698</v>
      </c>
      <c r="M115" s="13" t="n">
        <f aca="false">K115/Resumen!$B$10</f>
        <v>0.0263504611330698</v>
      </c>
      <c r="N115" s="22" t="n">
        <f aca="false">M115-L115</f>
        <v>0</v>
      </c>
      <c r="O115" s="13" t="n">
        <f aca="false">G115/Resumen!$B$11</f>
        <v>0</v>
      </c>
      <c r="P115" s="13" t="n">
        <f aca="false">J115/Resumen!$B$11</f>
        <v>0</v>
      </c>
      <c r="Q115" s="4" t="str">
        <f aca="false">IF(S115&gt;=Resumen!$B$8,"AUMENTA",IF(S115&lt;=-Resumen!$B$8,"DISMINUYE","SIN CAMBIO"))</f>
        <v>SIN CAMBIO</v>
      </c>
      <c r="R115" s="4" t="str">
        <f aca="false">IF(AND(M115&lt;=1,P115&lt;=1),"CUMPLE","NO CUMPLE")</f>
        <v>CUMPLE</v>
      </c>
      <c r="S115" s="23" t="n">
        <f aca="false">K115-H115</f>
        <v>0</v>
      </c>
      <c r="T115" s="12" t="n">
        <f aca="false">IF(H115&lt;0.005,"-",K115/H115-1)</f>
        <v>0</v>
      </c>
    </row>
    <row r="116" customFormat="false" ht="15" hidden="false" customHeight="false" outlineLevel="0" collapsed="false">
      <c r="A116" s="4" t="n">
        <v>391</v>
      </c>
      <c r="B116" s="4" t="n">
        <v>179</v>
      </c>
      <c r="C116" s="4" t="s">
        <v>405</v>
      </c>
      <c r="D116" s="4" t="s">
        <v>567</v>
      </c>
      <c r="E116" s="18" t="n">
        <v>1.728</v>
      </c>
      <c r="F116" s="18" t="n">
        <f aca="false">SUMPRODUCT(MAX((Estaciones!$A$5:$A$1064=A116)*ABS(Estaciones!$D$5:$D$1064)))</f>
        <v>0</v>
      </c>
      <c r="G116" s="18" t="n">
        <f aca="false">_xlfn.MAXIFS(Estaciones!$T$5:$T$1064,Estaciones!$A$5:$A$1064,A116)</f>
        <v>0</v>
      </c>
      <c r="H116" s="18" t="n">
        <f aca="false">_xlfn.MAXIFS(Estaciones!$R$5:$R$1064,Estaciones!$A$5:$A$1064,A116)</f>
        <v>0.03</v>
      </c>
      <c r="I116" s="18" t="n">
        <f aca="false">SUMPRODUCT(MAX((Estaciones!$A$5:$A$1064=A116)*ABS(Estaciones!$K$5:$K$1064)))</f>
        <v>0</v>
      </c>
      <c r="J116" s="18" t="n">
        <f aca="false">_xlfn.MAXIFS(Estaciones!$U$5:$U$1064,Estaciones!$A$5:$A$1064,A116)</f>
        <v>0</v>
      </c>
      <c r="K116" s="18" t="n">
        <f aca="false">_xlfn.MAXIFS(Estaciones!$S$5:$S$1064,Estaciones!$A$5:$A$1064,A116)</f>
        <v>0.03</v>
      </c>
      <c r="L116" s="13" t="n">
        <f aca="false">H116/Resumen!$B$10</f>
        <v>0.0197628458498024</v>
      </c>
      <c r="M116" s="13" t="n">
        <f aca="false">K116/Resumen!$B$10</f>
        <v>0.0197628458498024</v>
      </c>
      <c r="N116" s="22" t="n">
        <f aca="false">M116-L116</f>
        <v>0</v>
      </c>
      <c r="O116" s="13" t="n">
        <f aca="false">G116/Resumen!$B$11</f>
        <v>0</v>
      </c>
      <c r="P116" s="13" t="n">
        <f aca="false">J116/Resumen!$B$11</f>
        <v>0</v>
      </c>
      <c r="Q116" s="4" t="str">
        <f aca="false">IF(S116&gt;=Resumen!$B$8,"AUMENTA",IF(S116&lt;=-Resumen!$B$8,"DISMINUYE","SIN CAMBIO"))</f>
        <v>SIN CAMBIO</v>
      </c>
      <c r="R116" s="4" t="str">
        <f aca="false">IF(AND(M116&lt;=1,P116&lt;=1),"CUMPLE","NO CUMPLE")</f>
        <v>CUMPLE</v>
      </c>
      <c r="S116" s="23" t="n">
        <f aca="false">K116-H116</f>
        <v>0</v>
      </c>
      <c r="T116" s="12" t="n">
        <f aca="false">IF(H116&lt;0.005,"-",K116/H116-1)</f>
        <v>0</v>
      </c>
    </row>
    <row r="117" customFormat="false" ht="15" hidden="false" customHeight="false" outlineLevel="0" collapsed="false">
      <c r="A117" s="4" t="n">
        <v>392</v>
      </c>
      <c r="B117" s="4" t="n">
        <v>180</v>
      </c>
      <c r="C117" s="4" t="s">
        <v>405</v>
      </c>
      <c r="D117" s="4" t="s">
        <v>567</v>
      </c>
      <c r="E117" s="18" t="n">
        <v>1.728</v>
      </c>
      <c r="F117" s="18" t="n">
        <f aca="false">SUMPRODUCT(MAX((Estaciones!$A$5:$A$1064=A117)*ABS(Estaciones!$D$5:$D$1064)))</f>
        <v>0.01</v>
      </c>
      <c r="G117" s="18" t="n">
        <f aca="false">_xlfn.MAXIFS(Estaciones!$T$5:$T$1064,Estaciones!$A$5:$A$1064,A117)</f>
        <v>0</v>
      </c>
      <c r="H117" s="18" t="n">
        <f aca="false">_xlfn.MAXIFS(Estaciones!$R$5:$R$1064,Estaciones!$A$5:$A$1064,A117)</f>
        <v>0.06</v>
      </c>
      <c r="I117" s="18" t="n">
        <f aca="false">SUMPRODUCT(MAX((Estaciones!$A$5:$A$1064=A117)*ABS(Estaciones!$K$5:$K$1064)))</f>
        <v>0.01</v>
      </c>
      <c r="J117" s="18" t="n">
        <f aca="false">_xlfn.MAXIFS(Estaciones!$U$5:$U$1064,Estaciones!$A$5:$A$1064,A117)</f>
        <v>0</v>
      </c>
      <c r="K117" s="18" t="n">
        <f aca="false">_xlfn.MAXIFS(Estaciones!$S$5:$S$1064,Estaciones!$A$5:$A$1064,A117)</f>
        <v>0.06</v>
      </c>
      <c r="L117" s="13" t="n">
        <f aca="false">H117/Resumen!$B$10</f>
        <v>0.0395256916996048</v>
      </c>
      <c r="M117" s="13" t="n">
        <f aca="false">K117/Resumen!$B$10</f>
        <v>0.0395256916996048</v>
      </c>
      <c r="N117" s="22" t="n">
        <f aca="false">M117-L117</f>
        <v>0</v>
      </c>
      <c r="O117" s="13" t="n">
        <f aca="false">G117/Resumen!$B$11</f>
        <v>0</v>
      </c>
      <c r="P117" s="13" t="n">
        <f aca="false">J117/Resumen!$B$11</f>
        <v>0</v>
      </c>
      <c r="Q117" s="4" t="str">
        <f aca="false">IF(S117&gt;=Resumen!$B$8,"AUMENTA",IF(S117&lt;=-Resumen!$B$8,"DISMINUYE","SIN CAMBIO"))</f>
        <v>SIN CAMBIO</v>
      </c>
      <c r="R117" s="4" t="str">
        <f aca="false">IF(AND(M117&lt;=1,P117&lt;=1),"CUMPLE","NO CUMPLE")</f>
        <v>CUMPLE</v>
      </c>
      <c r="S117" s="23" t="n">
        <f aca="false">K117-H117</f>
        <v>0</v>
      </c>
      <c r="T117" s="12" t="n">
        <f aca="false">IF(H117&lt;0.005,"-",K117/H117-1)</f>
        <v>0</v>
      </c>
    </row>
    <row r="118" customFormat="false" ht="15" hidden="false" customHeight="false" outlineLevel="0" collapsed="false">
      <c r="A118" s="4" t="n">
        <v>393</v>
      </c>
      <c r="B118" s="4" t="n">
        <v>181</v>
      </c>
      <c r="C118" s="4" t="s">
        <v>405</v>
      </c>
      <c r="D118" s="4" t="s">
        <v>567</v>
      </c>
      <c r="E118" s="18" t="n">
        <v>1.728</v>
      </c>
      <c r="F118" s="18" t="n">
        <f aca="false">SUMPRODUCT(MAX((Estaciones!$A$5:$A$1064=A118)*ABS(Estaciones!$D$5:$D$1064)))</f>
        <v>0.01</v>
      </c>
      <c r="G118" s="18" t="n">
        <f aca="false">_xlfn.MAXIFS(Estaciones!$T$5:$T$1064,Estaciones!$A$5:$A$1064,A118)</f>
        <v>0</v>
      </c>
      <c r="H118" s="18" t="n">
        <f aca="false">_xlfn.MAXIFS(Estaciones!$R$5:$R$1064,Estaciones!$A$5:$A$1064,A118)</f>
        <v>0.06</v>
      </c>
      <c r="I118" s="18" t="n">
        <f aca="false">SUMPRODUCT(MAX((Estaciones!$A$5:$A$1064=A118)*ABS(Estaciones!$K$5:$K$1064)))</f>
        <v>0.01</v>
      </c>
      <c r="J118" s="18" t="n">
        <f aca="false">_xlfn.MAXIFS(Estaciones!$U$5:$U$1064,Estaciones!$A$5:$A$1064,A118)</f>
        <v>0</v>
      </c>
      <c r="K118" s="18" t="n">
        <f aca="false">_xlfn.MAXIFS(Estaciones!$S$5:$S$1064,Estaciones!$A$5:$A$1064,A118)</f>
        <v>0.06</v>
      </c>
      <c r="L118" s="13" t="n">
        <f aca="false">H118/Resumen!$B$10</f>
        <v>0.0395256916996048</v>
      </c>
      <c r="M118" s="13" t="n">
        <f aca="false">K118/Resumen!$B$10</f>
        <v>0.0395256916996048</v>
      </c>
      <c r="N118" s="22" t="n">
        <f aca="false">M118-L118</f>
        <v>0</v>
      </c>
      <c r="O118" s="13" t="n">
        <f aca="false">G118/Resumen!$B$11</f>
        <v>0</v>
      </c>
      <c r="P118" s="13" t="n">
        <f aca="false">J118/Resumen!$B$11</f>
        <v>0</v>
      </c>
      <c r="Q118" s="4" t="str">
        <f aca="false">IF(S118&gt;=Resumen!$B$8,"AUMENTA",IF(S118&lt;=-Resumen!$B$8,"DISMINUYE","SIN CAMBIO"))</f>
        <v>SIN CAMBIO</v>
      </c>
      <c r="R118" s="4" t="str">
        <f aca="false">IF(AND(M118&lt;=1,P118&lt;=1),"CUMPLE","NO CUMPLE")</f>
        <v>CUMPLE</v>
      </c>
      <c r="S118" s="23" t="n">
        <f aca="false">K118-H118</f>
        <v>0</v>
      </c>
      <c r="T118" s="12" t="n">
        <f aca="false">IF(H118&lt;0.005,"-",K118/H118-1)</f>
        <v>0</v>
      </c>
    </row>
    <row r="119" customFormat="false" ht="15" hidden="false" customHeight="false" outlineLevel="0" collapsed="false">
      <c r="A119" s="4" t="n">
        <v>394</v>
      </c>
      <c r="B119" s="4" t="n">
        <v>182</v>
      </c>
      <c r="C119" s="4" t="s">
        <v>405</v>
      </c>
      <c r="D119" s="4" t="s">
        <v>567</v>
      </c>
      <c r="E119" s="18" t="n">
        <v>1.728</v>
      </c>
      <c r="F119" s="18" t="n">
        <f aca="false">SUMPRODUCT(MAX((Estaciones!$A$5:$A$1064=A119)*ABS(Estaciones!$D$5:$D$1064)))</f>
        <v>0.01</v>
      </c>
      <c r="G119" s="18" t="n">
        <f aca="false">_xlfn.MAXIFS(Estaciones!$T$5:$T$1064,Estaciones!$A$5:$A$1064,A119)</f>
        <v>0.01</v>
      </c>
      <c r="H119" s="18" t="n">
        <f aca="false">_xlfn.MAXIFS(Estaciones!$R$5:$R$1064,Estaciones!$A$5:$A$1064,A119)</f>
        <v>0.06</v>
      </c>
      <c r="I119" s="18" t="n">
        <f aca="false">SUMPRODUCT(MAX((Estaciones!$A$5:$A$1064=A119)*ABS(Estaciones!$K$5:$K$1064)))</f>
        <v>0.02</v>
      </c>
      <c r="J119" s="18" t="n">
        <f aca="false">_xlfn.MAXIFS(Estaciones!$U$5:$U$1064,Estaciones!$A$5:$A$1064,A119)</f>
        <v>0.01</v>
      </c>
      <c r="K119" s="18" t="n">
        <f aca="false">_xlfn.MAXIFS(Estaciones!$S$5:$S$1064,Estaciones!$A$5:$A$1064,A119)</f>
        <v>0.07</v>
      </c>
      <c r="L119" s="13" t="n">
        <f aca="false">H119/Resumen!$B$10</f>
        <v>0.0395256916996048</v>
      </c>
      <c r="M119" s="13" t="n">
        <f aca="false">K119/Resumen!$B$10</f>
        <v>0.0461133069828722</v>
      </c>
      <c r="N119" s="22" t="n">
        <f aca="false">M119-L119</f>
        <v>0.00658761528326745</v>
      </c>
      <c r="O119" s="13" t="n">
        <f aca="false">G119/Resumen!$B$11</f>
        <v>0.00988142292490119</v>
      </c>
      <c r="P119" s="13" t="n">
        <f aca="false">J119/Resumen!$B$11</f>
        <v>0.00988142292490119</v>
      </c>
      <c r="Q119" s="4" t="str">
        <f aca="false">IF(S119&gt;=Resumen!$B$8,"AUMENTA",IF(S119&lt;=-Resumen!$B$8,"DISMINUYE","SIN CAMBIO"))</f>
        <v>SIN CAMBIO</v>
      </c>
      <c r="R119" s="4" t="str">
        <f aca="false">IF(AND(M119&lt;=1,P119&lt;=1),"CUMPLE","NO CUMPLE")</f>
        <v>CUMPLE</v>
      </c>
      <c r="S119" s="23" t="n">
        <f aca="false">K119-H119</f>
        <v>0.00999999999999999</v>
      </c>
      <c r="T119" s="12" t="n">
        <f aca="false">IF(H119&lt;0.005,"-",K119/H119-1)</f>
        <v>0.166666666666667</v>
      </c>
    </row>
    <row r="120" customFormat="false" ht="15" hidden="false" customHeight="false" outlineLevel="0" collapsed="false">
      <c r="A120" s="4" t="n">
        <v>395</v>
      </c>
      <c r="B120" s="4" t="n">
        <v>183</v>
      </c>
      <c r="C120" s="4" t="s">
        <v>405</v>
      </c>
      <c r="D120" s="4" t="s">
        <v>567</v>
      </c>
      <c r="E120" s="18" t="n">
        <v>1.728</v>
      </c>
      <c r="F120" s="18" t="n">
        <f aca="false">SUMPRODUCT(MAX((Estaciones!$A$5:$A$1064=A120)*ABS(Estaciones!$D$5:$D$1064)))</f>
        <v>0.01</v>
      </c>
      <c r="G120" s="18" t="n">
        <f aca="false">_xlfn.MAXIFS(Estaciones!$T$5:$T$1064,Estaciones!$A$5:$A$1064,A120)</f>
        <v>0</v>
      </c>
      <c r="H120" s="18" t="n">
        <f aca="false">_xlfn.MAXIFS(Estaciones!$R$5:$R$1064,Estaciones!$A$5:$A$1064,A120)</f>
        <v>0.05</v>
      </c>
      <c r="I120" s="18" t="n">
        <f aca="false">SUMPRODUCT(MAX((Estaciones!$A$5:$A$1064=A120)*ABS(Estaciones!$K$5:$K$1064)))</f>
        <v>0.01</v>
      </c>
      <c r="J120" s="18" t="n">
        <f aca="false">_xlfn.MAXIFS(Estaciones!$U$5:$U$1064,Estaciones!$A$5:$A$1064,A120)</f>
        <v>0</v>
      </c>
      <c r="K120" s="18" t="n">
        <f aca="false">_xlfn.MAXIFS(Estaciones!$S$5:$S$1064,Estaciones!$A$5:$A$1064,A120)</f>
        <v>0.06</v>
      </c>
      <c r="L120" s="13" t="n">
        <f aca="false">H120/Resumen!$B$10</f>
        <v>0.0329380764163373</v>
      </c>
      <c r="M120" s="13" t="n">
        <f aca="false">K120/Resumen!$B$10</f>
        <v>0.0395256916996048</v>
      </c>
      <c r="N120" s="22" t="n">
        <f aca="false">M120-L120</f>
        <v>0.00658761528326746</v>
      </c>
      <c r="O120" s="13" t="n">
        <f aca="false">G120/Resumen!$B$11</f>
        <v>0</v>
      </c>
      <c r="P120" s="13" t="n">
        <f aca="false">J120/Resumen!$B$11</f>
        <v>0</v>
      </c>
      <c r="Q120" s="4" t="str">
        <f aca="false">IF(S120&gt;=Resumen!$B$8,"AUMENTA",IF(S120&lt;=-Resumen!$B$8,"DISMINUYE","SIN CAMBIO"))</f>
        <v>SIN CAMBIO</v>
      </c>
      <c r="R120" s="4" t="str">
        <f aca="false">IF(AND(M120&lt;=1,P120&lt;=1),"CUMPLE","NO CUMPLE")</f>
        <v>CUMPLE</v>
      </c>
      <c r="S120" s="23" t="n">
        <f aca="false">K120-H120</f>
        <v>0.01</v>
      </c>
      <c r="T120" s="12" t="n">
        <f aca="false">IF(H120&lt;0.005,"-",K120/H120-1)</f>
        <v>0.2</v>
      </c>
    </row>
    <row r="121" customFormat="false" ht="15" hidden="false" customHeight="false" outlineLevel="0" collapsed="false">
      <c r="A121" s="4" t="n">
        <v>396</v>
      </c>
      <c r="B121" s="4" t="n">
        <v>184</v>
      </c>
      <c r="C121" s="4" t="s">
        <v>405</v>
      </c>
      <c r="D121" s="4" t="s">
        <v>567</v>
      </c>
      <c r="E121" s="18" t="n">
        <v>1.728</v>
      </c>
      <c r="F121" s="18" t="n">
        <f aca="false">SUMPRODUCT(MAX((Estaciones!$A$5:$A$1064=A121)*ABS(Estaciones!$D$5:$D$1064)))</f>
        <v>0</v>
      </c>
      <c r="G121" s="18" t="n">
        <f aca="false">_xlfn.MAXIFS(Estaciones!$T$5:$T$1064,Estaciones!$A$5:$A$1064,A121)</f>
        <v>0</v>
      </c>
      <c r="H121" s="18" t="n">
        <f aca="false">_xlfn.MAXIFS(Estaciones!$R$5:$R$1064,Estaciones!$A$5:$A$1064,A121)</f>
        <v>0.03</v>
      </c>
      <c r="I121" s="18" t="n">
        <f aca="false">SUMPRODUCT(MAX((Estaciones!$A$5:$A$1064=A121)*ABS(Estaciones!$K$5:$K$1064)))</f>
        <v>0.01</v>
      </c>
      <c r="J121" s="18" t="n">
        <f aca="false">_xlfn.MAXIFS(Estaciones!$U$5:$U$1064,Estaciones!$A$5:$A$1064,A121)</f>
        <v>0</v>
      </c>
      <c r="K121" s="18" t="n">
        <f aca="false">_xlfn.MAXIFS(Estaciones!$S$5:$S$1064,Estaciones!$A$5:$A$1064,A121)</f>
        <v>0.04</v>
      </c>
      <c r="L121" s="13" t="n">
        <f aca="false">H121/Resumen!$B$10</f>
        <v>0.0197628458498024</v>
      </c>
      <c r="M121" s="13" t="n">
        <f aca="false">K121/Resumen!$B$10</f>
        <v>0.0263504611330698</v>
      </c>
      <c r="N121" s="22" t="n">
        <f aca="false">M121-L121</f>
        <v>0.00658761528326746</v>
      </c>
      <c r="O121" s="13" t="n">
        <f aca="false">G121/Resumen!$B$11</f>
        <v>0</v>
      </c>
      <c r="P121" s="13" t="n">
        <f aca="false">J121/Resumen!$B$11</f>
        <v>0</v>
      </c>
      <c r="Q121" s="4" t="str">
        <f aca="false">IF(S121&gt;=Resumen!$B$8,"AUMENTA",IF(S121&lt;=-Resumen!$B$8,"DISMINUYE","SIN CAMBIO"))</f>
        <v>SIN CAMBIO</v>
      </c>
      <c r="R121" s="4" t="str">
        <f aca="false">IF(AND(M121&lt;=1,P121&lt;=1),"CUMPLE","NO CUMPLE")</f>
        <v>CUMPLE</v>
      </c>
      <c r="S121" s="23" t="n">
        <f aca="false">K121-H121</f>
        <v>0.01</v>
      </c>
      <c r="T121" s="12" t="n">
        <f aca="false">IF(H121&lt;0.005,"-",K121/H121-1)</f>
        <v>0.333333333333334</v>
      </c>
    </row>
    <row r="122" customFormat="false" ht="15" hidden="false" customHeight="false" outlineLevel="0" collapsed="false">
      <c r="A122" s="4" t="n">
        <v>397</v>
      </c>
      <c r="B122" s="4" t="n">
        <v>185</v>
      </c>
      <c r="C122" s="4" t="s">
        <v>405</v>
      </c>
      <c r="D122" s="4" t="s">
        <v>567</v>
      </c>
      <c r="E122" s="18" t="n">
        <v>1.728</v>
      </c>
      <c r="F122" s="18" t="n">
        <f aca="false">SUMPRODUCT(MAX((Estaciones!$A$5:$A$1064=A122)*ABS(Estaciones!$D$5:$D$1064)))</f>
        <v>0</v>
      </c>
      <c r="G122" s="18" t="n">
        <f aca="false">_xlfn.MAXIFS(Estaciones!$T$5:$T$1064,Estaciones!$A$5:$A$1064,A122)</f>
        <v>0</v>
      </c>
      <c r="H122" s="18" t="n">
        <f aca="false">_xlfn.MAXIFS(Estaciones!$R$5:$R$1064,Estaciones!$A$5:$A$1064,A122)</f>
        <v>0.03</v>
      </c>
      <c r="I122" s="18" t="n">
        <f aca="false">SUMPRODUCT(MAX((Estaciones!$A$5:$A$1064=A122)*ABS(Estaciones!$K$5:$K$1064)))</f>
        <v>0</v>
      </c>
      <c r="J122" s="18" t="n">
        <f aca="false">_xlfn.MAXIFS(Estaciones!$U$5:$U$1064,Estaciones!$A$5:$A$1064,A122)</f>
        <v>0</v>
      </c>
      <c r="K122" s="18" t="n">
        <f aca="false">_xlfn.MAXIFS(Estaciones!$S$5:$S$1064,Estaciones!$A$5:$A$1064,A122)</f>
        <v>0.02</v>
      </c>
      <c r="L122" s="13" t="n">
        <f aca="false">H122/Resumen!$B$10</f>
        <v>0.0197628458498024</v>
      </c>
      <c r="M122" s="13" t="n">
        <f aca="false">K122/Resumen!$B$10</f>
        <v>0.0131752305665349</v>
      </c>
      <c r="N122" s="22" t="n">
        <f aca="false">M122-L122</f>
        <v>-0.00658761528326746</v>
      </c>
      <c r="O122" s="13" t="n">
        <f aca="false">G122/Resumen!$B$11</f>
        <v>0</v>
      </c>
      <c r="P122" s="13" t="n">
        <f aca="false">J122/Resumen!$B$11</f>
        <v>0</v>
      </c>
      <c r="Q122" s="4" t="str">
        <f aca="false">IF(S122&gt;=Resumen!$B$8,"AUMENTA",IF(S122&lt;=-Resumen!$B$8,"DISMINUYE","SIN CAMBIO"))</f>
        <v>SIN CAMBIO</v>
      </c>
      <c r="R122" s="4" t="str">
        <f aca="false">IF(AND(M122&lt;=1,P122&lt;=1),"CUMPLE","NO CUMPLE")</f>
        <v>CUMPLE</v>
      </c>
      <c r="S122" s="23" t="n">
        <f aca="false">K122-H122</f>
        <v>-0.01</v>
      </c>
      <c r="T122" s="12" t="n">
        <f aca="false">IF(H122&lt;0.005,"-",K122/H122-1)</f>
        <v>-0.333333333333333</v>
      </c>
    </row>
    <row r="123" customFormat="false" ht="15" hidden="false" customHeight="false" outlineLevel="0" collapsed="false">
      <c r="A123" s="4" t="n">
        <v>421</v>
      </c>
      <c r="B123" s="4" t="n">
        <v>209</v>
      </c>
      <c r="C123" s="4" t="s">
        <v>405</v>
      </c>
      <c r="D123" s="4" t="s">
        <v>567</v>
      </c>
      <c r="E123" s="18" t="n">
        <v>1.728</v>
      </c>
      <c r="F123" s="18" t="n">
        <f aca="false">SUMPRODUCT(MAX((Estaciones!$A$5:$A$1064=A123)*ABS(Estaciones!$D$5:$D$1064)))</f>
        <v>0.01</v>
      </c>
      <c r="G123" s="18" t="n">
        <f aca="false">_xlfn.MAXIFS(Estaciones!$T$5:$T$1064,Estaciones!$A$5:$A$1064,A123)</f>
        <v>0</v>
      </c>
      <c r="H123" s="18" t="n">
        <f aca="false">_xlfn.MAXIFS(Estaciones!$R$5:$R$1064,Estaciones!$A$5:$A$1064,A123)</f>
        <v>0.04</v>
      </c>
      <c r="I123" s="18" t="n">
        <f aca="false">SUMPRODUCT(MAX((Estaciones!$A$5:$A$1064=A123)*ABS(Estaciones!$K$5:$K$1064)))</f>
        <v>0.01</v>
      </c>
      <c r="J123" s="18" t="n">
        <f aca="false">_xlfn.MAXIFS(Estaciones!$U$5:$U$1064,Estaciones!$A$5:$A$1064,A123)</f>
        <v>0</v>
      </c>
      <c r="K123" s="18" t="n">
        <f aca="false">_xlfn.MAXIFS(Estaciones!$S$5:$S$1064,Estaciones!$A$5:$A$1064,A123)</f>
        <v>0.04</v>
      </c>
      <c r="L123" s="13" t="n">
        <f aca="false">H123/Resumen!$B$10</f>
        <v>0.0263504611330698</v>
      </c>
      <c r="M123" s="13" t="n">
        <f aca="false">K123/Resumen!$B$10</f>
        <v>0.0263504611330698</v>
      </c>
      <c r="N123" s="22" t="n">
        <f aca="false">M123-L123</f>
        <v>0</v>
      </c>
      <c r="O123" s="13" t="n">
        <f aca="false">G123/Resumen!$B$11</f>
        <v>0</v>
      </c>
      <c r="P123" s="13" t="n">
        <f aca="false">J123/Resumen!$B$11</f>
        <v>0</v>
      </c>
      <c r="Q123" s="4" t="str">
        <f aca="false">IF(S123&gt;=Resumen!$B$8,"AUMENTA",IF(S123&lt;=-Resumen!$B$8,"DISMINUYE","SIN CAMBIO"))</f>
        <v>SIN CAMBIO</v>
      </c>
      <c r="R123" s="4" t="str">
        <f aca="false">IF(AND(M123&lt;=1,P123&lt;=1),"CUMPLE","NO CUMPLE")</f>
        <v>CUMPLE</v>
      </c>
      <c r="S123" s="23" t="n">
        <f aca="false">K123-H123</f>
        <v>0</v>
      </c>
      <c r="T123" s="12" t="n">
        <f aca="false">IF(H123&lt;0.005,"-",K123/H123-1)</f>
        <v>0</v>
      </c>
    </row>
    <row r="124" customFormat="false" ht="15" hidden="false" customHeight="false" outlineLevel="0" collapsed="false">
      <c r="A124" s="4" t="n">
        <v>422</v>
      </c>
      <c r="B124" s="4" t="n">
        <v>210</v>
      </c>
      <c r="C124" s="4" t="s">
        <v>405</v>
      </c>
      <c r="D124" s="4" t="s">
        <v>567</v>
      </c>
      <c r="E124" s="18" t="n">
        <v>1.728</v>
      </c>
      <c r="F124" s="18" t="n">
        <f aca="false">SUMPRODUCT(MAX((Estaciones!$A$5:$A$1064=A124)*ABS(Estaciones!$D$5:$D$1064)))</f>
        <v>0</v>
      </c>
      <c r="G124" s="18" t="n">
        <f aca="false">_xlfn.MAXIFS(Estaciones!$T$5:$T$1064,Estaciones!$A$5:$A$1064,A124)</f>
        <v>0</v>
      </c>
      <c r="H124" s="18" t="n">
        <f aca="false">_xlfn.MAXIFS(Estaciones!$R$5:$R$1064,Estaciones!$A$5:$A$1064,A124)</f>
        <v>0.05</v>
      </c>
      <c r="I124" s="18" t="n">
        <f aca="false">SUMPRODUCT(MAX((Estaciones!$A$5:$A$1064=A124)*ABS(Estaciones!$K$5:$K$1064)))</f>
        <v>0</v>
      </c>
      <c r="J124" s="18" t="n">
        <f aca="false">_xlfn.MAXIFS(Estaciones!$U$5:$U$1064,Estaciones!$A$5:$A$1064,A124)</f>
        <v>0</v>
      </c>
      <c r="K124" s="18" t="n">
        <f aca="false">_xlfn.MAXIFS(Estaciones!$S$5:$S$1064,Estaciones!$A$5:$A$1064,A124)</f>
        <v>0.05</v>
      </c>
      <c r="L124" s="13" t="n">
        <f aca="false">H124/Resumen!$B$10</f>
        <v>0.0329380764163373</v>
      </c>
      <c r="M124" s="13" t="n">
        <f aca="false">K124/Resumen!$B$10</f>
        <v>0.0329380764163373</v>
      </c>
      <c r="N124" s="22" t="n">
        <f aca="false">M124-L124</f>
        <v>0</v>
      </c>
      <c r="O124" s="13" t="n">
        <f aca="false">G124/Resumen!$B$11</f>
        <v>0</v>
      </c>
      <c r="P124" s="13" t="n">
        <f aca="false">J124/Resumen!$B$11</f>
        <v>0</v>
      </c>
      <c r="Q124" s="4" t="str">
        <f aca="false">IF(S124&gt;=Resumen!$B$8,"AUMENTA",IF(S124&lt;=-Resumen!$B$8,"DISMINUYE","SIN CAMBIO"))</f>
        <v>SIN CAMBIO</v>
      </c>
      <c r="R124" s="4" t="str">
        <f aca="false">IF(AND(M124&lt;=1,P124&lt;=1),"CUMPLE","NO CUMPLE")</f>
        <v>CUMPLE</v>
      </c>
      <c r="S124" s="23" t="n">
        <f aca="false">K124-H124</f>
        <v>0</v>
      </c>
      <c r="T124" s="12" t="n">
        <f aca="false">IF(H124&lt;0.005,"-",K124/H124-1)</f>
        <v>0</v>
      </c>
    </row>
    <row r="125" customFormat="false" ht="15" hidden="false" customHeight="false" outlineLevel="0" collapsed="false">
      <c r="A125" s="4" t="n">
        <v>423</v>
      </c>
      <c r="B125" s="4" t="n">
        <v>211</v>
      </c>
      <c r="C125" s="4" t="s">
        <v>405</v>
      </c>
      <c r="D125" s="4" t="s">
        <v>567</v>
      </c>
      <c r="E125" s="18" t="n">
        <v>1.728</v>
      </c>
      <c r="F125" s="18" t="n">
        <f aca="false">SUMPRODUCT(MAX((Estaciones!$A$5:$A$1064=A125)*ABS(Estaciones!$D$5:$D$1064)))</f>
        <v>0.01</v>
      </c>
      <c r="G125" s="18" t="n">
        <f aca="false">_xlfn.MAXIFS(Estaciones!$T$5:$T$1064,Estaciones!$A$5:$A$1064,A125)</f>
        <v>0</v>
      </c>
      <c r="H125" s="18" t="n">
        <f aca="false">_xlfn.MAXIFS(Estaciones!$R$5:$R$1064,Estaciones!$A$5:$A$1064,A125)</f>
        <v>0.09</v>
      </c>
      <c r="I125" s="18" t="n">
        <f aca="false">SUMPRODUCT(MAX((Estaciones!$A$5:$A$1064=A125)*ABS(Estaciones!$K$5:$K$1064)))</f>
        <v>0.01</v>
      </c>
      <c r="J125" s="18" t="n">
        <f aca="false">_xlfn.MAXIFS(Estaciones!$U$5:$U$1064,Estaciones!$A$5:$A$1064,A125)</f>
        <v>0</v>
      </c>
      <c r="K125" s="18" t="n">
        <f aca="false">_xlfn.MAXIFS(Estaciones!$S$5:$S$1064,Estaciones!$A$5:$A$1064,A125)</f>
        <v>0.09</v>
      </c>
      <c r="L125" s="13" t="n">
        <f aca="false">H125/Resumen!$B$10</f>
        <v>0.0592885375494071</v>
      </c>
      <c r="M125" s="13" t="n">
        <f aca="false">K125/Resumen!$B$10</f>
        <v>0.0592885375494071</v>
      </c>
      <c r="N125" s="22" t="n">
        <f aca="false">M125-L125</f>
        <v>0</v>
      </c>
      <c r="O125" s="13" t="n">
        <f aca="false">G125/Resumen!$B$11</f>
        <v>0</v>
      </c>
      <c r="P125" s="13" t="n">
        <f aca="false">J125/Resumen!$B$11</f>
        <v>0</v>
      </c>
      <c r="Q125" s="4" t="str">
        <f aca="false">IF(S125&gt;=Resumen!$B$8,"AUMENTA",IF(S125&lt;=-Resumen!$B$8,"DISMINUYE","SIN CAMBIO"))</f>
        <v>SIN CAMBIO</v>
      </c>
      <c r="R125" s="4" t="str">
        <f aca="false">IF(AND(M125&lt;=1,P125&lt;=1),"CUMPLE","NO CUMPLE")</f>
        <v>CUMPLE</v>
      </c>
      <c r="S125" s="23" t="n">
        <f aca="false">K125-H125</f>
        <v>0</v>
      </c>
      <c r="T125" s="12" t="n">
        <f aca="false">IF(H125&lt;0.005,"-",K125/H125-1)</f>
        <v>0</v>
      </c>
    </row>
    <row r="126" customFormat="false" ht="15" hidden="false" customHeight="false" outlineLevel="0" collapsed="false">
      <c r="A126" s="4" t="n">
        <v>424</v>
      </c>
      <c r="B126" s="4" t="n">
        <v>212</v>
      </c>
      <c r="C126" s="4" t="s">
        <v>405</v>
      </c>
      <c r="D126" s="4" t="s">
        <v>567</v>
      </c>
      <c r="E126" s="18" t="n">
        <v>1.728</v>
      </c>
      <c r="F126" s="18" t="n">
        <f aca="false">SUMPRODUCT(MAX((Estaciones!$A$5:$A$1064=A126)*ABS(Estaciones!$D$5:$D$1064)))</f>
        <v>0.01</v>
      </c>
      <c r="G126" s="18" t="n">
        <f aca="false">_xlfn.MAXIFS(Estaciones!$T$5:$T$1064,Estaciones!$A$5:$A$1064,A126)</f>
        <v>0.01</v>
      </c>
      <c r="H126" s="18" t="n">
        <f aca="false">_xlfn.MAXIFS(Estaciones!$R$5:$R$1064,Estaciones!$A$5:$A$1064,A126)</f>
        <v>0.1</v>
      </c>
      <c r="I126" s="18" t="n">
        <f aca="false">SUMPRODUCT(MAX((Estaciones!$A$5:$A$1064=A126)*ABS(Estaciones!$K$5:$K$1064)))</f>
        <v>0.01</v>
      </c>
      <c r="J126" s="18" t="n">
        <f aca="false">_xlfn.MAXIFS(Estaciones!$U$5:$U$1064,Estaciones!$A$5:$A$1064,A126)</f>
        <v>0.01</v>
      </c>
      <c r="K126" s="18" t="n">
        <f aca="false">_xlfn.MAXIFS(Estaciones!$S$5:$S$1064,Estaciones!$A$5:$A$1064,A126)</f>
        <v>0.11</v>
      </c>
      <c r="L126" s="13" t="n">
        <f aca="false">H126/Resumen!$B$10</f>
        <v>0.0658761528326746</v>
      </c>
      <c r="M126" s="13" t="n">
        <f aca="false">K126/Resumen!$B$10</f>
        <v>0.072463768115942</v>
      </c>
      <c r="N126" s="22" t="n">
        <f aca="false">M126-L126</f>
        <v>0.00658761528326746</v>
      </c>
      <c r="O126" s="13" t="n">
        <f aca="false">G126/Resumen!$B$11</f>
        <v>0.00988142292490119</v>
      </c>
      <c r="P126" s="13" t="n">
        <f aca="false">J126/Resumen!$B$11</f>
        <v>0.00988142292490119</v>
      </c>
      <c r="Q126" s="4" t="str">
        <f aca="false">IF(S126&gt;=Resumen!$B$8,"AUMENTA",IF(S126&lt;=-Resumen!$B$8,"DISMINUYE","SIN CAMBIO"))</f>
        <v>SIN CAMBIO</v>
      </c>
      <c r="R126" s="4" t="str">
        <f aca="false">IF(AND(M126&lt;=1,P126&lt;=1),"CUMPLE","NO CUMPLE")</f>
        <v>CUMPLE</v>
      </c>
      <c r="S126" s="23" t="n">
        <f aca="false">K126-H126</f>
        <v>0.01</v>
      </c>
      <c r="T126" s="12" t="n">
        <f aca="false">IF(H126&lt;0.005,"-",K126/H126-1)</f>
        <v>0.0999999999999999</v>
      </c>
    </row>
    <row r="127" customFormat="false" ht="15" hidden="false" customHeight="false" outlineLevel="0" collapsed="false">
      <c r="A127" s="4" t="n">
        <v>425</v>
      </c>
      <c r="B127" s="4" t="n">
        <v>213</v>
      </c>
      <c r="C127" s="4" t="s">
        <v>405</v>
      </c>
      <c r="D127" s="4" t="s">
        <v>567</v>
      </c>
      <c r="E127" s="18" t="n">
        <v>1.728</v>
      </c>
      <c r="F127" s="18" t="n">
        <f aca="false">SUMPRODUCT(MAX((Estaciones!$A$5:$A$1064=A127)*ABS(Estaciones!$D$5:$D$1064)))</f>
        <v>0.02</v>
      </c>
      <c r="G127" s="18" t="n">
        <f aca="false">_xlfn.MAXIFS(Estaciones!$T$5:$T$1064,Estaciones!$A$5:$A$1064,A127)</f>
        <v>0.01</v>
      </c>
      <c r="H127" s="18" t="n">
        <f aca="false">_xlfn.MAXIFS(Estaciones!$R$5:$R$1064,Estaciones!$A$5:$A$1064,A127)</f>
        <v>0.11</v>
      </c>
      <c r="I127" s="18" t="n">
        <f aca="false">SUMPRODUCT(MAX((Estaciones!$A$5:$A$1064=A127)*ABS(Estaciones!$K$5:$K$1064)))</f>
        <v>0.02</v>
      </c>
      <c r="J127" s="18" t="n">
        <f aca="false">_xlfn.MAXIFS(Estaciones!$U$5:$U$1064,Estaciones!$A$5:$A$1064,A127)</f>
        <v>0.01</v>
      </c>
      <c r="K127" s="18" t="n">
        <f aca="false">_xlfn.MAXIFS(Estaciones!$S$5:$S$1064,Estaciones!$A$5:$A$1064,A127)</f>
        <v>0.12</v>
      </c>
      <c r="L127" s="13" t="n">
        <f aca="false">H127/Resumen!$B$10</f>
        <v>0.0724637681159421</v>
      </c>
      <c r="M127" s="13" t="n">
        <f aca="false">K127/Resumen!$B$10</f>
        <v>0.0790513833992095</v>
      </c>
      <c r="N127" s="22" t="n">
        <f aca="false">M127-L127</f>
        <v>0.00658761528326744</v>
      </c>
      <c r="O127" s="13" t="n">
        <f aca="false">G127/Resumen!$B$11</f>
        <v>0.00988142292490119</v>
      </c>
      <c r="P127" s="13" t="n">
        <f aca="false">J127/Resumen!$B$11</f>
        <v>0.00988142292490119</v>
      </c>
      <c r="Q127" s="4" t="str">
        <f aca="false">IF(S127&gt;=Resumen!$B$8,"AUMENTA",IF(S127&lt;=-Resumen!$B$8,"DISMINUYE","SIN CAMBIO"))</f>
        <v>SIN CAMBIO</v>
      </c>
      <c r="R127" s="4" t="str">
        <f aca="false">IF(AND(M127&lt;=1,P127&lt;=1),"CUMPLE","NO CUMPLE")</f>
        <v>CUMPLE</v>
      </c>
      <c r="S127" s="23" t="n">
        <f aca="false">K127-H127</f>
        <v>0.01</v>
      </c>
      <c r="T127" s="12" t="n">
        <f aca="false">IF(H127&lt;0.005,"-",K127/H127-1)</f>
        <v>0.0909090909090908</v>
      </c>
    </row>
    <row r="128" customFormat="false" ht="15" hidden="false" customHeight="false" outlineLevel="0" collapsed="false">
      <c r="A128" s="4" t="n">
        <v>426</v>
      </c>
      <c r="B128" s="4" t="n">
        <v>214</v>
      </c>
      <c r="C128" s="4" t="s">
        <v>405</v>
      </c>
      <c r="D128" s="4" t="s">
        <v>567</v>
      </c>
      <c r="E128" s="18" t="n">
        <v>1.728</v>
      </c>
      <c r="F128" s="18" t="n">
        <f aca="false">SUMPRODUCT(MAX((Estaciones!$A$5:$A$1064=A128)*ABS(Estaciones!$D$5:$D$1064)))</f>
        <v>0.01</v>
      </c>
      <c r="G128" s="18" t="n">
        <f aca="false">_xlfn.MAXIFS(Estaciones!$T$5:$T$1064,Estaciones!$A$5:$A$1064,A128)</f>
        <v>0</v>
      </c>
      <c r="H128" s="18" t="n">
        <f aca="false">_xlfn.MAXIFS(Estaciones!$R$5:$R$1064,Estaciones!$A$5:$A$1064,A128)</f>
        <v>0.09</v>
      </c>
      <c r="I128" s="18" t="n">
        <f aca="false">SUMPRODUCT(MAX((Estaciones!$A$5:$A$1064=A128)*ABS(Estaciones!$K$5:$K$1064)))</f>
        <v>0.01</v>
      </c>
      <c r="J128" s="18" t="n">
        <f aca="false">_xlfn.MAXIFS(Estaciones!$U$5:$U$1064,Estaciones!$A$5:$A$1064,A128)</f>
        <v>0</v>
      </c>
      <c r="K128" s="18" t="n">
        <f aca="false">_xlfn.MAXIFS(Estaciones!$S$5:$S$1064,Estaciones!$A$5:$A$1064,A128)</f>
        <v>0.09</v>
      </c>
      <c r="L128" s="13" t="n">
        <f aca="false">H128/Resumen!$B$10</f>
        <v>0.0592885375494071</v>
      </c>
      <c r="M128" s="13" t="n">
        <f aca="false">K128/Resumen!$B$10</f>
        <v>0.0592885375494071</v>
      </c>
      <c r="N128" s="22" t="n">
        <f aca="false">M128-L128</f>
        <v>0</v>
      </c>
      <c r="O128" s="13" t="n">
        <f aca="false">G128/Resumen!$B$11</f>
        <v>0</v>
      </c>
      <c r="P128" s="13" t="n">
        <f aca="false">J128/Resumen!$B$11</f>
        <v>0</v>
      </c>
      <c r="Q128" s="4" t="str">
        <f aca="false">IF(S128&gt;=Resumen!$B$8,"AUMENTA",IF(S128&lt;=-Resumen!$B$8,"DISMINUYE","SIN CAMBIO"))</f>
        <v>SIN CAMBIO</v>
      </c>
      <c r="R128" s="4" t="str">
        <f aca="false">IF(AND(M128&lt;=1,P128&lt;=1),"CUMPLE","NO CUMPLE")</f>
        <v>CUMPLE</v>
      </c>
      <c r="S128" s="23" t="n">
        <f aca="false">K128-H128</f>
        <v>0</v>
      </c>
      <c r="T128" s="12" t="n">
        <f aca="false">IF(H128&lt;0.005,"-",K128/H128-1)</f>
        <v>0</v>
      </c>
    </row>
    <row r="129" customFormat="false" ht="15" hidden="false" customHeight="false" outlineLevel="0" collapsed="false">
      <c r="A129" s="4" t="n">
        <v>427</v>
      </c>
      <c r="B129" s="4" t="n">
        <v>215</v>
      </c>
      <c r="C129" s="4" t="s">
        <v>405</v>
      </c>
      <c r="D129" s="4" t="s">
        <v>567</v>
      </c>
      <c r="E129" s="18" t="n">
        <v>1.728</v>
      </c>
      <c r="F129" s="18" t="n">
        <f aca="false">SUMPRODUCT(MAX((Estaciones!$A$5:$A$1064=A129)*ABS(Estaciones!$D$5:$D$1064)))</f>
        <v>0</v>
      </c>
      <c r="G129" s="18" t="n">
        <f aca="false">_xlfn.MAXIFS(Estaciones!$T$5:$T$1064,Estaciones!$A$5:$A$1064,A129)</f>
        <v>0</v>
      </c>
      <c r="H129" s="18" t="n">
        <f aca="false">_xlfn.MAXIFS(Estaciones!$R$5:$R$1064,Estaciones!$A$5:$A$1064,A129)</f>
        <v>0.06</v>
      </c>
      <c r="I129" s="18" t="n">
        <f aca="false">SUMPRODUCT(MAX((Estaciones!$A$5:$A$1064=A129)*ABS(Estaciones!$K$5:$K$1064)))</f>
        <v>0.01</v>
      </c>
      <c r="J129" s="18" t="n">
        <f aca="false">_xlfn.MAXIFS(Estaciones!$U$5:$U$1064,Estaciones!$A$5:$A$1064,A129)</f>
        <v>0</v>
      </c>
      <c r="K129" s="18" t="n">
        <f aca="false">_xlfn.MAXIFS(Estaciones!$S$5:$S$1064,Estaciones!$A$5:$A$1064,A129)</f>
        <v>0.08</v>
      </c>
      <c r="L129" s="13" t="n">
        <f aca="false">H129/Resumen!$B$10</f>
        <v>0.0395256916996047</v>
      </c>
      <c r="M129" s="13" t="n">
        <f aca="false">K129/Resumen!$B$10</f>
        <v>0.0527009222661397</v>
      </c>
      <c r="N129" s="22" t="n">
        <f aca="false">M129-L129</f>
        <v>0.0131752305665349</v>
      </c>
      <c r="O129" s="13" t="n">
        <f aca="false">G129/Resumen!$B$11</f>
        <v>0</v>
      </c>
      <c r="P129" s="13" t="n">
        <f aca="false">J129/Resumen!$B$11</f>
        <v>0</v>
      </c>
      <c r="Q129" s="4" t="str">
        <f aca="false">IF(S129&gt;=Resumen!$B$8,"AUMENTA",IF(S129&lt;=-Resumen!$B$8,"DISMINUYE","SIN CAMBIO"))</f>
        <v>AUMENTA</v>
      </c>
      <c r="R129" s="4" t="str">
        <f aca="false">IF(AND(M129&lt;=1,P129&lt;=1),"CUMPLE","NO CUMPLE")</f>
        <v>CUMPLE</v>
      </c>
      <c r="S129" s="23" t="n">
        <f aca="false">K129-H129</f>
        <v>0.02</v>
      </c>
      <c r="T129" s="12" t="n">
        <f aca="false">IF(H129&lt;0.005,"-",K129/H129-1)</f>
        <v>0.333333333333334</v>
      </c>
    </row>
    <row r="130" customFormat="false" ht="15" hidden="false" customHeight="false" outlineLevel="0" collapsed="false">
      <c r="A130" s="4" t="n">
        <v>428</v>
      </c>
      <c r="B130" s="4" t="n">
        <v>216</v>
      </c>
      <c r="C130" s="4" t="s">
        <v>405</v>
      </c>
      <c r="D130" s="4" t="s">
        <v>567</v>
      </c>
      <c r="E130" s="18" t="n">
        <v>1.728</v>
      </c>
      <c r="F130" s="18" t="n">
        <f aca="false">SUMPRODUCT(MAX((Estaciones!$A$5:$A$1064=A130)*ABS(Estaciones!$D$5:$D$1064)))</f>
        <v>0.01</v>
      </c>
      <c r="G130" s="18" t="n">
        <f aca="false">_xlfn.MAXIFS(Estaciones!$T$5:$T$1064,Estaciones!$A$5:$A$1064,A130)</f>
        <v>0</v>
      </c>
      <c r="H130" s="18" t="n">
        <f aca="false">_xlfn.MAXIFS(Estaciones!$R$5:$R$1064,Estaciones!$A$5:$A$1064,A130)</f>
        <v>0.04</v>
      </c>
      <c r="I130" s="18" t="n">
        <f aca="false">SUMPRODUCT(MAX((Estaciones!$A$5:$A$1064=A130)*ABS(Estaciones!$K$5:$K$1064)))</f>
        <v>0</v>
      </c>
      <c r="J130" s="18" t="n">
        <f aca="false">_xlfn.MAXIFS(Estaciones!$U$5:$U$1064,Estaciones!$A$5:$A$1064,A130)</f>
        <v>0</v>
      </c>
      <c r="K130" s="18" t="n">
        <f aca="false">_xlfn.MAXIFS(Estaciones!$S$5:$S$1064,Estaciones!$A$5:$A$1064,A130)</f>
        <v>0.03</v>
      </c>
      <c r="L130" s="13" t="n">
        <f aca="false">H130/Resumen!$B$10</f>
        <v>0.0263504611330698</v>
      </c>
      <c r="M130" s="13" t="n">
        <f aca="false">K130/Resumen!$B$10</f>
        <v>0.0197628458498024</v>
      </c>
      <c r="N130" s="22" t="n">
        <f aca="false">M130-L130</f>
        <v>-0.00658761528326746</v>
      </c>
      <c r="O130" s="13" t="n">
        <f aca="false">G130/Resumen!$B$11</f>
        <v>0</v>
      </c>
      <c r="P130" s="13" t="n">
        <f aca="false">J130/Resumen!$B$11</f>
        <v>0</v>
      </c>
      <c r="Q130" s="4" t="str">
        <f aca="false">IF(S130&gt;=Resumen!$B$8,"AUMENTA",IF(S130&lt;=-Resumen!$B$8,"DISMINUYE","SIN CAMBIO"))</f>
        <v>SIN CAMBIO</v>
      </c>
      <c r="R130" s="4" t="str">
        <f aca="false">IF(AND(M130&lt;=1,P130&lt;=1),"CUMPLE","NO CUMPLE")</f>
        <v>CUMPLE</v>
      </c>
      <c r="S130" s="23" t="n">
        <f aca="false">K130-H130</f>
        <v>-0.01</v>
      </c>
      <c r="T130" s="12" t="n">
        <f aca="false">IF(H130&lt;0.005,"-",K130/H130-1)</f>
        <v>-0.25</v>
      </c>
    </row>
    <row r="131" customFormat="false" ht="15" hidden="false" customHeight="false" outlineLevel="0" collapsed="false">
      <c r="A131" s="4" t="n">
        <v>429</v>
      </c>
      <c r="B131" s="4" t="n">
        <v>217</v>
      </c>
      <c r="C131" s="4" t="s">
        <v>486</v>
      </c>
      <c r="D131" s="4" t="s">
        <v>567</v>
      </c>
      <c r="E131" s="18" t="n">
        <v>1.728</v>
      </c>
      <c r="F131" s="18" t="n">
        <f aca="false">SUMPRODUCT(MAX((Estaciones!$A$5:$A$1064=A131)*ABS(Estaciones!$D$5:$D$1064)))</f>
        <v>0</v>
      </c>
      <c r="G131" s="18" t="n">
        <f aca="false">_xlfn.MAXIFS(Estaciones!$T$5:$T$1064,Estaciones!$A$5:$A$1064,A131)</f>
        <v>0</v>
      </c>
      <c r="H131" s="18" t="n">
        <f aca="false">_xlfn.MAXIFS(Estaciones!$R$5:$R$1064,Estaciones!$A$5:$A$1064,A131)</f>
        <v>0.05</v>
      </c>
      <c r="I131" s="18" t="n">
        <f aca="false">SUMPRODUCT(MAX((Estaciones!$A$5:$A$1064=A131)*ABS(Estaciones!$K$5:$K$1064)))</f>
        <v>0</v>
      </c>
      <c r="J131" s="18" t="n">
        <f aca="false">_xlfn.MAXIFS(Estaciones!$U$5:$U$1064,Estaciones!$A$5:$A$1064,A131)</f>
        <v>0</v>
      </c>
      <c r="K131" s="18" t="n">
        <f aca="false">_xlfn.MAXIFS(Estaciones!$S$5:$S$1064,Estaciones!$A$5:$A$1064,A131)</f>
        <v>0.06</v>
      </c>
      <c r="L131" s="13" t="n">
        <f aca="false">H131/Resumen!$B$10</f>
        <v>0.0329380764163373</v>
      </c>
      <c r="M131" s="13" t="n">
        <f aca="false">K131/Resumen!$B$10</f>
        <v>0.0395256916996047</v>
      </c>
      <c r="N131" s="22" t="n">
        <f aca="false">M131-L131</f>
        <v>0.00658761528326745</v>
      </c>
      <c r="O131" s="13" t="n">
        <f aca="false">G131/Resumen!$B$11</f>
        <v>0</v>
      </c>
      <c r="P131" s="13" t="n">
        <f aca="false">J131/Resumen!$B$11</f>
        <v>0</v>
      </c>
      <c r="Q131" s="4" t="str">
        <f aca="false">IF(S131&gt;=Resumen!$B$8,"AUMENTA",IF(S131&lt;=-Resumen!$B$8,"DISMINUYE","SIN CAMBIO"))</f>
        <v>SIN CAMBIO</v>
      </c>
      <c r="R131" s="4" t="str">
        <f aca="false">IF(AND(M131&lt;=1,P131&lt;=1),"CUMPLE","NO CUMPLE")</f>
        <v>CUMPLE</v>
      </c>
      <c r="S131" s="23" t="n">
        <f aca="false">K131-H131</f>
        <v>0.01</v>
      </c>
      <c r="T131" s="12" t="n">
        <f aca="false">IF(H131&lt;0.005,"-",K131/H131-1)</f>
        <v>0.2</v>
      </c>
    </row>
    <row r="132" customFormat="false" ht="15" hidden="false" customHeight="false" outlineLevel="0" collapsed="false">
      <c r="A132" s="4" t="n">
        <v>430</v>
      </c>
      <c r="B132" s="4" t="n">
        <v>218</v>
      </c>
      <c r="C132" s="4" t="s">
        <v>486</v>
      </c>
      <c r="D132" s="4" t="s">
        <v>567</v>
      </c>
      <c r="E132" s="18" t="n">
        <v>1.728</v>
      </c>
      <c r="F132" s="18" t="n">
        <f aca="false">SUMPRODUCT(MAX((Estaciones!$A$5:$A$1064=A132)*ABS(Estaciones!$D$5:$D$1064)))</f>
        <v>0</v>
      </c>
      <c r="G132" s="18" t="n">
        <f aca="false">_xlfn.MAXIFS(Estaciones!$T$5:$T$1064,Estaciones!$A$5:$A$1064,A132)</f>
        <v>0</v>
      </c>
      <c r="H132" s="18" t="n">
        <f aca="false">_xlfn.MAXIFS(Estaciones!$R$5:$R$1064,Estaciones!$A$5:$A$1064,A132)</f>
        <v>0.07</v>
      </c>
      <c r="I132" s="18" t="n">
        <f aca="false">SUMPRODUCT(MAX((Estaciones!$A$5:$A$1064=A132)*ABS(Estaciones!$K$5:$K$1064)))</f>
        <v>0</v>
      </c>
      <c r="J132" s="18" t="n">
        <f aca="false">_xlfn.MAXIFS(Estaciones!$U$5:$U$1064,Estaciones!$A$5:$A$1064,A132)</f>
        <v>0</v>
      </c>
      <c r="K132" s="18" t="n">
        <f aca="false">_xlfn.MAXIFS(Estaciones!$S$5:$S$1064,Estaciones!$A$5:$A$1064,A132)</f>
        <v>0.07</v>
      </c>
      <c r="L132" s="13" t="n">
        <f aca="false">H132/Resumen!$B$10</f>
        <v>0.0461133069828722</v>
      </c>
      <c r="M132" s="13" t="n">
        <f aca="false">K132/Resumen!$B$10</f>
        <v>0.0461133069828722</v>
      </c>
      <c r="N132" s="22" t="n">
        <f aca="false">M132-L132</f>
        <v>0</v>
      </c>
      <c r="O132" s="13" t="n">
        <f aca="false">G132/Resumen!$B$11</f>
        <v>0</v>
      </c>
      <c r="P132" s="13" t="n">
        <f aca="false">J132/Resumen!$B$11</f>
        <v>0</v>
      </c>
      <c r="Q132" s="4" t="str">
        <f aca="false">IF(S132&gt;=Resumen!$B$8,"AUMENTA",IF(S132&lt;=-Resumen!$B$8,"DISMINUYE","SIN CAMBIO"))</f>
        <v>SIN CAMBIO</v>
      </c>
      <c r="R132" s="4" t="str">
        <f aca="false">IF(AND(M132&lt;=1,P132&lt;=1),"CUMPLE","NO CUMPLE")</f>
        <v>CUMPLE</v>
      </c>
      <c r="S132" s="23" t="n">
        <f aca="false">K132-H132</f>
        <v>0</v>
      </c>
      <c r="T132" s="12" t="n">
        <f aca="false">IF(H132&lt;0.005,"-",K132/H132-1)</f>
        <v>0</v>
      </c>
    </row>
    <row r="133" customFormat="false" ht="15" hidden="false" customHeight="false" outlineLevel="0" collapsed="false">
      <c r="A133" s="4" t="n">
        <v>431</v>
      </c>
      <c r="B133" s="4" t="n">
        <v>219</v>
      </c>
      <c r="C133" s="4" t="s">
        <v>486</v>
      </c>
      <c r="D133" s="4" t="s">
        <v>567</v>
      </c>
      <c r="E133" s="18" t="n">
        <v>1.728</v>
      </c>
      <c r="F133" s="18" t="n">
        <f aca="false">SUMPRODUCT(MAX((Estaciones!$A$5:$A$1064=A133)*ABS(Estaciones!$D$5:$D$1064)))</f>
        <v>0</v>
      </c>
      <c r="G133" s="18" t="n">
        <f aca="false">_xlfn.MAXIFS(Estaciones!$T$5:$T$1064,Estaciones!$A$5:$A$1064,A133)</f>
        <v>0</v>
      </c>
      <c r="H133" s="18" t="n">
        <f aca="false">_xlfn.MAXIFS(Estaciones!$R$5:$R$1064,Estaciones!$A$5:$A$1064,A133)</f>
        <v>0.05</v>
      </c>
      <c r="I133" s="18" t="n">
        <f aca="false">SUMPRODUCT(MAX((Estaciones!$A$5:$A$1064=A133)*ABS(Estaciones!$K$5:$K$1064)))</f>
        <v>0</v>
      </c>
      <c r="J133" s="18" t="n">
        <f aca="false">_xlfn.MAXIFS(Estaciones!$U$5:$U$1064,Estaciones!$A$5:$A$1064,A133)</f>
        <v>0</v>
      </c>
      <c r="K133" s="18" t="n">
        <f aca="false">_xlfn.MAXIFS(Estaciones!$S$5:$S$1064,Estaciones!$A$5:$A$1064,A133)</f>
        <v>0.05</v>
      </c>
      <c r="L133" s="13" t="n">
        <f aca="false">H133/Resumen!$B$10</f>
        <v>0.0329380764163373</v>
      </c>
      <c r="M133" s="13" t="n">
        <f aca="false">K133/Resumen!$B$10</f>
        <v>0.0329380764163373</v>
      </c>
      <c r="N133" s="22" t="n">
        <f aca="false">M133-L133</f>
        <v>0</v>
      </c>
      <c r="O133" s="13" t="n">
        <f aca="false">G133/Resumen!$B$11</f>
        <v>0</v>
      </c>
      <c r="P133" s="13" t="n">
        <f aca="false">J133/Resumen!$B$11</f>
        <v>0</v>
      </c>
      <c r="Q133" s="4" t="str">
        <f aca="false">IF(S133&gt;=Resumen!$B$8,"AUMENTA",IF(S133&lt;=-Resumen!$B$8,"DISMINUYE","SIN CAMBIO"))</f>
        <v>SIN CAMBIO</v>
      </c>
      <c r="R133" s="4" t="str">
        <f aca="false">IF(AND(M133&lt;=1,P133&lt;=1),"CUMPLE","NO CUMPLE")</f>
        <v>CUMPLE</v>
      </c>
      <c r="S133" s="23" t="n">
        <f aca="false">K133-H133</f>
        <v>0</v>
      </c>
      <c r="T133" s="12" t="n">
        <f aca="false">IF(H133&lt;0.005,"-",K133/H133-1)</f>
        <v>0</v>
      </c>
    </row>
    <row r="134" customFormat="false" ht="15" hidden="false" customHeight="false" outlineLevel="0" collapsed="false">
      <c r="A134" s="4" t="n">
        <v>432</v>
      </c>
      <c r="B134" s="4" t="n">
        <v>220</v>
      </c>
      <c r="C134" s="4" t="s">
        <v>486</v>
      </c>
      <c r="D134" s="4" t="s">
        <v>567</v>
      </c>
      <c r="E134" s="18" t="n">
        <v>1.728</v>
      </c>
      <c r="F134" s="18" t="n">
        <f aca="false">SUMPRODUCT(MAX((Estaciones!$A$5:$A$1064=A134)*ABS(Estaciones!$D$5:$D$1064)))</f>
        <v>0</v>
      </c>
      <c r="G134" s="18" t="n">
        <f aca="false">_xlfn.MAXIFS(Estaciones!$T$5:$T$1064,Estaciones!$A$5:$A$1064,A134)</f>
        <v>0</v>
      </c>
      <c r="H134" s="18" t="n">
        <f aca="false">_xlfn.MAXIFS(Estaciones!$R$5:$R$1064,Estaciones!$A$5:$A$1064,A134)</f>
        <v>0.05</v>
      </c>
      <c r="I134" s="18" t="n">
        <f aca="false">SUMPRODUCT(MAX((Estaciones!$A$5:$A$1064=A134)*ABS(Estaciones!$K$5:$K$1064)))</f>
        <v>0</v>
      </c>
      <c r="J134" s="18" t="n">
        <f aca="false">_xlfn.MAXIFS(Estaciones!$U$5:$U$1064,Estaciones!$A$5:$A$1064,A134)</f>
        <v>0</v>
      </c>
      <c r="K134" s="18" t="n">
        <f aca="false">_xlfn.MAXIFS(Estaciones!$S$5:$S$1064,Estaciones!$A$5:$A$1064,A134)</f>
        <v>0.05</v>
      </c>
      <c r="L134" s="13" t="n">
        <f aca="false">H134/Resumen!$B$10</f>
        <v>0.0329380764163373</v>
      </c>
      <c r="M134" s="13" t="n">
        <f aca="false">K134/Resumen!$B$10</f>
        <v>0.0329380764163373</v>
      </c>
      <c r="N134" s="22" t="n">
        <f aca="false">M134-L134</f>
        <v>0</v>
      </c>
      <c r="O134" s="13" t="n">
        <f aca="false">G134/Resumen!$B$11</f>
        <v>0</v>
      </c>
      <c r="P134" s="13" t="n">
        <f aca="false">J134/Resumen!$B$11</f>
        <v>0</v>
      </c>
      <c r="Q134" s="4" t="str">
        <f aca="false">IF(S134&gt;=Resumen!$B$8,"AUMENTA",IF(S134&lt;=-Resumen!$B$8,"DISMINUYE","SIN CAMBIO"))</f>
        <v>SIN CAMBIO</v>
      </c>
      <c r="R134" s="4" t="str">
        <f aca="false">IF(AND(M134&lt;=1,P134&lt;=1),"CUMPLE","NO CUMPLE")</f>
        <v>CUMPLE</v>
      </c>
      <c r="S134" s="23" t="n">
        <f aca="false">K134-H134</f>
        <v>0</v>
      </c>
      <c r="T134" s="12" t="n">
        <f aca="false">IF(H134&lt;0.005,"-",K134/H134-1)</f>
        <v>0</v>
      </c>
    </row>
    <row r="135" customFormat="false" ht="15" hidden="false" customHeight="false" outlineLevel="0" collapsed="false">
      <c r="A135" s="4" t="n">
        <v>433</v>
      </c>
      <c r="B135" s="4" t="n">
        <v>221</v>
      </c>
      <c r="C135" s="4" t="s">
        <v>486</v>
      </c>
      <c r="D135" s="4" t="s">
        <v>567</v>
      </c>
      <c r="E135" s="18" t="n">
        <v>1.728</v>
      </c>
      <c r="F135" s="18" t="n">
        <f aca="false">SUMPRODUCT(MAX((Estaciones!$A$5:$A$1064=A135)*ABS(Estaciones!$D$5:$D$1064)))</f>
        <v>0</v>
      </c>
      <c r="G135" s="18" t="n">
        <f aca="false">_xlfn.MAXIFS(Estaciones!$T$5:$T$1064,Estaciones!$A$5:$A$1064,A135)</f>
        <v>0</v>
      </c>
      <c r="H135" s="18" t="n">
        <f aca="false">_xlfn.MAXIFS(Estaciones!$R$5:$R$1064,Estaciones!$A$5:$A$1064,A135)</f>
        <v>0.04</v>
      </c>
      <c r="I135" s="18" t="n">
        <f aca="false">SUMPRODUCT(MAX((Estaciones!$A$5:$A$1064=A135)*ABS(Estaciones!$K$5:$K$1064)))</f>
        <v>0</v>
      </c>
      <c r="J135" s="18" t="n">
        <f aca="false">_xlfn.MAXIFS(Estaciones!$U$5:$U$1064,Estaciones!$A$5:$A$1064,A135)</f>
        <v>0</v>
      </c>
      <c r="K135" s="18" t="n">
        <f aca="false">_xlfn.MAXIFS(Estaciones!$S$5:$S$1064,Estaciones!$A$5:$A$1064,A135)</f>
        <v>0.05</v>
      </c>
      <c r="L135" s="13" t="n">
        <f aca="false">H135/Resumen!$B$10</f>
        <v>0.0263504611330698</v>
      </c>
      <c r="M135" s="13" t="n">
        <f aca="false">K135/Resumen!$B$10</f>
        <v>0.0329380764163373</v>
      </c>
      <c r="N135" s="22" t="n">
        <f aca="false">M135-L135</f>
        <v>0.00658761528326746</v>
      </c>
      <c r="O135" s="13" t="n">
        <f aca="false">G135/Resumen!$B$11</f>
        <v>0</v>
      </c>
      <c r="P135" s="13" t="n">
        <f aca="false">J135/Resumen!$B$11</f>
        <v>0</v>
      </c>
      <c r="Q135" s="4" t="str">
        <f aca="false">IF(S135&gt;=Resumen!$B$8,"AUMENTA",IF(S135&lt;=-Resumen!$B$8,"DISMINUYE","SIN CAMBIO"))</f>
        <v>SIN CAMBIO</v>
      </c>
      <c r="R135" s="4" t="str">
        <f aca="false">IF(AND(M135&lt;=1,P135&lt;=1),"CUMPLE","NO CUMPLE")</f>
        <v>CUMPLE</v>
      </c>
      <c r="S135" s="23" t="n">
        <f aca="false">K135-H135</f>
        <v>0.01</v>
      </c>
      <c r="T135" s="12" t="n">
        <f aca="false">IF(H135&lt;0.005,"-",K135/H135-1)</f>
        <v>0.25</v>
      </c>
    </row>
    <row r="136" customFormat="false" ht="15" hidden="false" customHeight="false" outlineLevel="0" collapsed="false">
      <c r="A136" s="4" t="n">
        <v>434</v>
      </c>
      <c r="B136" s="4" t="n">
        <v>222</v>
      </c>
      <c r="C136" s="4" t="s">
        <v>486</v>
      </c>
      <c r="D136" s="4" t="s">
        <v>567</v>
      </c>
      <c r="E136" s="18" t="n">
        <v>1.728</v>
      </c>
      <c r="F136" s="18" t="n">
        <f aca="false">SUMPRODUCT(MAX((Estaciones!$A$5:$A$1064=A136)*ABS(Estaciones!$D$5:$D$1064)))</f>
        <v>0</v>
      </c>
      <c r="G136" s="18" t="n">
        <f aca="false">_xlfn.MAXIFS(Estaciones!$T$5:$T$1064,Estaciones!$A$5:$A$1064,A136)</f>
        <v>0</v>
      </c>
      <c r="H136" s="18" t="n">
        <f aca="false">_xlfn.MAXIFS(Estaciones!$R$5:$R$1064,Estaciones!$A$5:$A$1064,A136)</f>
        <v>0.06</v>
      </c>
      <c r="I136" s="18" t="n">
        <f aca="false">SUMPRODUCT(MAX((Estaciones!$A$5:$A$1064=A136)*ABS(Estaciones!$K$5:$K$1064)))</f>
        <v>0</v>
      </c>
      <c r="J136" s="18" t="n">
        <f aca="false">_xlfn.MAXIFS(Estaciones!$U$5:$U$1064,Estaciones!$A$5:$A$1064,A136)</f>
        <v>0</v>
      </c>
      <c r="K136" s="18" t="n">
        <f aca="false">_xlfn.MAXIFS(Estaciones!$S$5:$S$1064,Estaciones!$A$5:$A$1064,A136)</f>
        <v>0.06</v>
      </c>
      <c r="L136" s="13" t="n">
        <f aca="false">H136/Resumen!$B$10</f>
        <v>0.0395256916996048</v>
      </c>
      <c r="M136" s="13" t="n">
        <f aca="false">K136/Resumen!$B$10</f>
        <v>0.0395256916996048</v>
      </c>
      <c r="N136" s="22" t="n">
        <f aca="false">M136-L136</f>
        <v>0</v>
      </c>
      <c r="O136" s="13" t="n">
        <f aca="false">G136/Resumen!$B$11</f>
        <v>0</v>
      </c>
      <c r="P136" s="13" t="n">
        <f aca="false">J136/Resumen!$B$11</f>
        <v>0</v>
      </c>
      <c r="Q136" s="4" t="str">
        <f aca="false">IF(S136&gt;=Resumen!$B$8,"AUMENTA",IF(S136&lt;=-Resumen!$B$8,"DISMINUYE","SIN CAMBIO"))</f>
        <v>SIN CAMBIO</v>
      </c>
      <c r="R136" s="4" t="str">
        <f aca="false">IF(AND(M136&lt;=1,P136&lt;=1),"CUMPLE","NO CUMPLE")</f>
        <v>CUMPLE</v>
      </c>
      <c r="S136" s="23" t="n">
        <f aca="false">K136-H136</f>
        <v>0</v>
      </c>
      <c r="T136" s="12" t="n">
        <f aca="false">IF(H136&lt;0.005,"-",K136/H136-1)</f>
        <v>0</v>
      </c>
    </row>
    <row r="137" customFormat="false" ht="15" hidden="false" customHeight="false" outlineLevel="0" collapsed="false">
      <c r="A137" s="4" t="n">
        <v>435</v>
      </c>
      <c r="B137" s="4" t="n">
        <v>223</v>
      </c>
      <c r="C137" s="4" t="s">
        <v>486</v>
      </c>
      <c r="D137" s="4" t="s">
        <v>567</v>
      </c>
      <c r="E137" s="18" t="n">
        <v>1.728</v>
      </c>
      <c r="F137" s="18" t="n">
        <f aca="false">SUMPRODUCT(MAX((Estaciones!$A$5:$A$1064=A137)*ABS(Estaciones!$D$5:$D$1064)))</f>
        <v>0</v>
      </c>
      <c r="G137" s="18" t="n">
        <f aca="false">_xlfn.MAXIFS(Estaciones!$T$5:$T$1064,Estaciones!$A$5:$A$1064,A137)</f>
        <v>0</v>
      </c>
      <c r="H137" s="18" t="n">
        <f aca="false">_xlfn.MAXIFS(Estaciones!$R$5:$R$1064,Estaciones!$A$5:$A$1064,A137)</f>
        <v>0.06</v>
      </c>
      <c r="I137" s="18" t="n">
        <f aca="false">SUMPRODUCT(MAX((Estaciones!$A$5:$A$1064=A137)*ABS(Estaciones!$K$5:$K$1064)))</f>
        <v>0</v>
      </c>
      <c r="J137" s="18" t="n">
        <f aca="false">_xlfn.MAXIFS(Estaciones!$U$5:$U$1064,Estaciones!$A$5:$A$1064,A137)</f>
        <v>0</v>
      </c>
      <c r="K137" s="18" t="n">
        <f aca="false">_xlfn.MAXIFS(Estaciones!$S$5:$S$1064,Estaciones!$A$5:$A$1064,A137)</f>
        <v>0.06</v>
      </c>
      <c r="L137" s="13" t="n">
        <f aca="false">H137/Resumen!$B$10</f>
        <v>0.0395256916996048</v>
      </c>
      <c r="M137" s="13" t="n">
        <f aca="false">K137/Resumen!$B$10</f>
        <v>0.0395256916996048</v>
      </c>
      <c r="N137" s="22" t="n">
        <f aca="false">M137-L137</f>
        <v>0</v>
      </c>
      <c r="O137" s="13" t="n">
        <f aca="false">G137/Resumen!$B$11</f>
        <v>0</v>
      </c>
      <c r="P137" s="13" t="n">
        <f aca="false">J137/Resumen!$B$11</f>
        <v>0</v>
      </c>
      <c r="Q137" s="4" t="str">
        <f aca="false">IF(S137&gt;=Resumen!$B$8,"AUMENTA",IF(S137&lt;=-Resumen!$B$8,"DISMINUYE","SIN CAMBIO"))</f>
        <v>SIN CAMBIO</v>
      </c>
      <c r="R137" s="4" t="str">
        <f aca="false">IF(AND(M137&lt;=1,P137&lt;=1),"CUMPLE","NO CUMPLE")</f>
        <v>CUMPLE</v>
      </c>
      <c r="S137" s="23" t="n">
        <f aca="false">K137-H137</f>
        <v>0</v>
      </c>
      <c r="T137" s="12" t="n">
        <f aca="false">IF(H137&lt;0.005,"-",K137/H137-1)</f>
        <v>0</v>
      </c>
    </row>
    <row r="138" customFormat="false" ht="15" hidden="false" customHeight="false" outlineLevel="0" collapsed="false">
      <c r="A138" s="4" t="n">
        <v>436</v>
      </c>
      <c r="B138" s="4" t="n">
        <v>224</v>
      </c>
      <c r="C138" s="4" t="s">
        <v>486</v>
      </c>
      <c r="D138" s="4" t="s">
        <v>567</v>
      </c>
      <c r="E138" s="18" t="n">
        <v>1.728</v>
      </c>
      <c r="F138" s="18" t="n">
        <f aca="false">SUMPRODUCT(MAX((Estaciones!$A$5:$A$1064=A138)*ABS(Estaciones!$D$5:$D$1064)))</f>
        <v>0</v>
      </c>
      <c r="G138" s="18" t="n">
        <f aca="false">_xlfn.MAXIFS(Estaciones!$T$5:$T$1064,Estaciones!$A$5:$A$1064,A138)</f>
        <v>0</v>
      </c>
      <c r="H138" s="18" t="n">
        <f aca="false">_xlfn.MAXIFS(Estaciones!$R$5:$R$1064,Estaciones!$A$5:$A$1064,A138)</f>
        <v>0.04</v>
      </c>
      <c r="I138" s="18" t="n">
        <f aca="false">SUMPRODUCT(MAX((Estaciones!$A$5:$A$1064=A138)*ABS(Estaciones!$K$5:$K$1064)))</f>
        <v>0</v>
      </c>
      <c r="J138" s="18" t="n">
        <f aca="false">_xlfn.MAXIFS(Estaciones!$U$5:$U$1064,Estaciones!$A$5:$A$1064,A138)</f>
        <v>0</v>
      </c>
      <c r="K138" s="18" t="n">
        <f aca="false">_xlfn.MAXIFS(Estaciones!$S$5:$S$1064,Estaciones!$A$5:$A$1064,A138)</f>
        <v>0.04</v>
      </c>
      <c r="L138" s="13" t="n">
        <f aca="false">H138/Resumen!$B$10</f>
        <v>0.0263504611330698</v>
      </c>
      <c r="M138" s="13" t="n">
        <f aca="false">K138/Resumen!$B$10</f>
        <v>0.0263504611330698</v>
      </c>
      <c r="N138" s="22" t="n">
        <f aca="false">M138-L138</f>
        <v>0</v>
      </c>
      <c r="O138" s="13" t="n">
        <f aca="false">G138/Resumen!$B$11</f>
        <v>0</v>
      </c>
      <c r="P138" s="13" t="n">
        <f aca="false">J138/Resumen!$B$11</f>
        <v>0</v>
      </c>
      <c r="Q138" s="4" t="str">
        <f aca="false">IF(S138&gt;=Resumen!$B$8,"AUMENTA",IF(S138&lt;=-Resumen!$B$8,"DISMINUYE","SIN CAMBIO"))</f>
        <v>SIN CAMBIO</v>
      </c>
      <c r="R138" s="4" t="str">
        <f aca="false">IF(AND(M138&lt;=1,P138&lt;=1),"CUMPLE","NO CUMPLE")</f>
        <v>CUMPLE</v>
      </c>
      <c r="S138" s="23" t="n">
        <f aca="false">K138-H138</f>
        <v>0</v>
      </c>
      <c r="T138" s="12" t="n">
        <f aca="false">IF(H138&lt;0.005,"-",K138/H138-1)</f>
        <v>0</v>
      </c>
    </row>
    <row r="139" customFormat="false" ht="15" hidden="false" customHeight="false" outlineLevel="0" collapsed="false">
      <c r="A139" s="4" t="n">
        <v>225</v>
      </c>
      <c r="B139" s="4" t="n">
        <v>1</v>
      </c>
      <c r="C139" s="4" t="s">
        <v>63</v>
      </c>
      <c r="D139" s="4" t="s">
        <v>568</v>
      </c>
      <c r="E139" s="18" t="n">
        <v>0.11</v>
      </c>
      <c r="F139" s="18" t="n">
        <f aca="false">SUMPRODUCT(MAX((Estaciones!$A$5:$A$1064=A139)*ABS(Estaciones!$D$5:$D$1064)))</f>
        <v>0</v>
      </c>
      <c r="G139" s="18" t="n">
        <f aca="false">_xlfn.MAXIFS(Estaciones!$T$5:$T$1064,Estaciones!$A$5:$A$1064,A139)</f>
        <v>0</v>
      </c>
      <c r="H139" s="18" t="n">
        <f aca="false">_xlfn.MAXIFS(Estaciones!$R$5:$R$1064,Estaciones!$A$5:$A$1064,A139)</f>
        <v>0</v>
      </c>
      <c r="I139" s="18" t="n">
        <f aca="false">SUMPRODUCT(MAX((Estaciones!$A$5:$A$1064=A139)*ABS(Estaciones!$K$5:$K$1064)))</f>
        <v>0</v>
      </c>
      <c r="J139" s="18" t="n">
        <f aca="false">_xlfn.MAXIFS(Estaciones!$U$5:$U$1064,Estaciones!$A$5:$A$1064,A139)</f>
        <v>0</v>
      </c>
      <c r="K139" s="18" t="n">
        <f aca="false">_xlfn.MAXIFS(Estaciones!$S$5:$S$1064,Estaciones!$A$5:$A$1064,A139)</f>
        <v>0</v>
      </c>
      <c r="L139" s="13" t="n">
        <f aca="false">H139/Resumen!$B$10</f>
        <v>0</v>
      </c>
      <c r="M139" s="13" t="n">
        <f aca="false">K139/Resumen!$B$10</f>
        <v>0</v>
      </c>
      <c r="N139" s="22" t="n">
        <f aca="false">M139-L139</f>
        <v>0</v>
      </c>
      <c r="O139" s="13" t="n">
        <f aca="false">G139/Resumen!$B$11</f>
        <v>0</v>
      </c>
      <c r="P139" s="13" t="n">
        <f aca="false">J139/Resumen!$B$11</f>
        <v>0</v>
      </c>
      <c r="Q139" s="4" t="str">
        <f aca="false">IF(S139&gt;=Resumen!$B$8,"AUMENTA",IF(S139&lt;=-Resumen!$B$8,"DISMINUYE","SIN CAMBIO"))</f>
        <v>SIN CAMBIO</v>
      </c>
      <c r="R139" s="4" t="str">
        <f aca="false">IF(AND(M139&lt;=1,P139&lt;=1),"CUMPLE","NO CUMPLE")</f>
        <v>CUMPLE</v>
      </c>
      <c r="S139" s="23" t="n">
        <f aca="false">K139-H139</f>
        <v>0</v>
      </c>
      <c r="T139" s="12" t="str">
        <f aca="false">IF(H139&lt;0.005,"-",K139/H139-1)</f>
        <v>-</v>
      </c>
    </row>
    <row r="140" customFormat="false" ht="15" hidden="false" customHeight="false" outlineLevel="0" collapsed="false">
      <c r="A140" s="4" t="n">
        <v>226</v>
      </c>
      <c r="B140" s="4" t="n">
        <v>2</v>
      </c>
      <c r="C140" s="4" t="s">
        <v>63</v>
      </c>
      <c r="D140" s="4" t="s">
        <v>568</v>
      </c>
      <c r="E140" s="18" t="n">
        <v>0.11</v>
      </c>
      <c r="F140" s="18" t="n">
        <f aca="false">SUMPRODUCT(MAX((Estaciones!$A$5:$A$1064=A140)*ABS(Estaciones!$D$5:$D$1064)))</f>
        <v>0</v>
      </c>
      <c r="G140" s="18" t="n">
        <f aca="false">_xlfn.MAXIFS(Estaciones!$T$5:$T$1064,Estaciones!$A$5:$A$1064,A140)</f>
        <v>0</v>
      </c>
      <c r="H140" s="18" t="n">
        <f aca="false">_xlfn.MAXIFS(Estaciones!$R$5:$R$1064,Estaciones!$A$5:$A$1064,A140)</f>
        <v>0</v>
      </c>
      <c r="I140" s="18" t="n">
        <f aca="false">SUMPRODUCT(MAX((Estaciones!$A$5:$A$1064=A140)*ABS(Estaciones!$K$5:$K$1064)))</f>
        <v>0</v>
      </c>
      <c r="J140" s="18" t="n">
        <f aca="false">_xlfn.MAXIFS(Estaciones!$U$5:$U$1064,Estaciones!$A$5:$A$1064,A140)</f>
        <v>0</v>
      </c>
      <c r="K140" s="18" t="n">
        <f aca="false">_xlfn.MAXIFS(Estaciones!$S$5:$S$1064,Estaciones!$A$5:$A$1064,A140)</f>
        <v>0</v>
      </c>
      <c r="L140" s="13" t="n">
        <f aca="false">H140/Resumen!$B$10</f>
        <v>0</v>
      </c>
      <c r="M140" s="13" t="n">
        <f aca="false">K140/Resumen!$B$10</f>
        <v>0</v>
      </c>
      <c r="N140" s="22" t="n">
        <f aca="false">M140-L140</f>
        <v>0</v>
      </c>
      <c r="O140" s="13" t="n">
        <f aca="false">G140/Resumen!$B$11</f>
        <v>0</v>
      </c>
      <c r="P140" s="13" t="n">
        <f aca="false">J140/Resumen!$B$11</f>
        <v>0</v>
      </c>
      <c r="Q140" s="4" t="str">
        <f aca="false">IF(S140&gt;=Resumen!$B$8,"AUMENTA",IF(S140&lt;=-Resumen!$B$8,"DISMINUYE","SIN CAMBIO"))</f>
        <v>SIN CAMBIO</v>
      </c>
      <c r="R140" s="4" t="str">
        <f aca="false">IF(AND(M140&lt;=1,P140&lt;=1),"CUMPLE","NO CUMPLE")</f>
        <v>CUMPLE</v>
      </c>
      <c r="S140" s="23" t="n">
        <f aca="false">K140-H140</f>
        <v>0</v>
      </c>
      <c r="T140" s="12" t="str">
        <f aca="false">IF(H140&lt;0.005,"-",K140/H140-1)</f>
        <v>-</v>
      </c>
    </row>
    <row r="141" customFormat="false" ht="15" hidden="false" customHeight="false" outlineLevel="0" collapsed="false">
      <c r="A141" s="4" t="n">
        <v>227</v>
      </c>
      <c r="B141" s="4" t="n">
        <v>3</v>
      </c>
      <c r="C141" s="4" t="s">
        <v>63</v>
      </c>
      <c r="D141" s="4" t="s">
        <v>568</v>
      </c>
      <c r="E141" s="18" t="n">
        <v>0.11</v>
      </c>
      <c r="F141" s="18" t="n">
        <f aca="false">SUMPRODUCT(MAX((Estaciones!$A$5:$A$1064=A141)*ABS(Estaciones!$D$5:$D$1064)))</f>
        <v>0</v>
      </c>
      <c r="G141" s="18" t="n">
        <f aca="false">_xlfn.MAXIFS(Estaciones!$T$5:$T$1064,Estaciones!$A$5:$A$1064,A141)</f>
        <v>0</v>
      </c>
      <c r="H141" s="18" t="n">
        <f aca="false">_xlfn.MAXIFS(Estaciones!$R$5:$R$1064,Estaciones!$A$5:$A$1064,A141)</f>
        <v>0</v>
      </c>
      <c r="I141" s="18" t="n">
        <f aca="false">SUMPRODUCT(MAX((Estaciones!$A$5:$A$1064=A141)*ABS(Estaciones!$K$5:$K$1064)))</f>
        <v>0</v>
      </c>
      <c r="J141" s="18" t="n">
        <f aca="false">_xlfn.MAXIFS(Estaciones!$U$5:$U$1064,Estaciones!$A$5:$A$1064,A141)</f>
        <v>0</v>
      </c>
      <c r="K141" s="18" t="n">
        <f aca="false">_xlfn.MAXIFS(Estaciones!$S$5:$S$1064,Estaciones!$A$5:$A$1064,A141)</f>
        <v>0</v>
      </c>
      <c r="L141" s="13" t="n">
        <f aca="false">H141/Resumen!$B$10</f>
        <v>0</v>
      </c>
      <c r="M141" s="13" t="n">
        <f aca="false">K141/Resumen!$B$10</f>
        <v>0</v>
      </c>
      <c r="N141" s="22" t="n">
        <f aca="false">M141-L141</f>
        <v>0</v>
      </c>
      <c r="O141" s="13" t="n">
        <f aca="false">G141/Resumen!$B$11</f>
        <v>0</v>
      </c>
      <c r="P141" s="13" t="n">
        <f aca="false">J141/Resumen!$B$11</f>
        <v>0</v>
      </c>
      <c r="Q141" s="4" t="str">
        <f aca="false">IF(S141&gt;=Resumen!$B$8,"AUMENTA",IF(S141&lt;=-Resumen!$B$8,"DISMINUYE","SIN CAMBIO"))</f>
        <v>SIN CAMBIO</v>
      </c>
      <c r="R141" s="4" t="str">
        <f aca="false">IF(AND(M141&lt;=1,P141&lt;=1),"CUMPLE","NO CUMPLE")</f>
        <v>CUMPLE</v>
      </c>
      <c r="S141" s="23" t="n">
        <f aca="false">K141-H141</f>
        <v>0</v>
      </c>
      <c r="T141" s="12" t="str">
        <f aca="false">IF(H141&lt;0.005,"-",K141/H141-1)</f>
        <v>-</v>
      </c>
    </row>
    <row r="142" customFormat="false" ht="15" hidden="false" customHeight="false" outlineLevel="0" collapsed="false">
      <c r="A142" s="4" t="n">
        <v>228</v>
      </c>
      <c r="B142" s="4" t="n">
        <v>4</v>
      </c>
      <c r="C142" s="4" t="s">
        <v>63</v>
      </c>
      <c r="D142" s="4" t="s">
        <v>568</v>
      </c>
      <c r="E142" s="18" t="n">
        <v>0.11</v>
      </c>
      <c r="F142" s="18" t="n">
        <f aca="false">SUMPRODUCT(MAX((Estaciones!$A$5:$A$1064=A142)*ABS(Estaciones!$D$5:$D$1064)))</f>
        <v>0</v>
      </c>
      <c r="G142" s="18" t="n">
        <f aca="false">_xlfn.MAXIFS(Estaciones!$T$5:$T$1064,Estaciones!$A$5:$A$1064,A142)</f>
        <v>0</v>
      </c>
      <c r="H142" s="18" t="n">
        <f aca="false">_xlfn.MAXIFS(Estaciones!$R$5:$R$1064,Estaciones!$A$5:$A$1064,A142)</f>
        <v>0</v>
      </c>
      <c r="I142" s="18" t="n">
        <f aca="false">SUMPRODUCT(MAX((Estaciones!$A$5:$A$1064=A142)*ABS(Estaciones!$K$5:$K$1064)))</f>
        <v>0</v>
      </c>
      <c r="J142" s="18" t="n">
        <f aca="false">_xlfn.MAXIFS(Estaciones!$U$5:$U$1064,Estaciones!$A$5:$A$1064,A142)</f>
        <v>0</v>
      </c>
      <c r="K142" s="18" t="n">
        <f aca="false">_xlfn.MAXIFS(Estaciones!$S$5:$S$1064,Estaciones!$A$5:$A$1064,A142)</f>
        <v>0</v>
      </c>
      <c r="L142" s="13" t="n">
        <f aca="false">H142/Resumen!$B$10</f>
        <v>0</v>
      </c>
      <c r="M142" s="13" t="n">
        <f aca="false">K142/Resumen!$B$10</f>
        <v>0</v>
      </c>
      <c r="N142" s="22" t="n">
        <f aca="false">M142-L142</f>
        <v>0</v>
      </c>
      <c r="O142" s="13" t="n">
        <f aca="false">G142/Resumen!$B$11</f>
        <v>0</v>
      </c>
      <c r="P142" s="13" t="n">
        <f aca="false">J142/Resumen!$B$11</f>
        <v>0</v>
      </c>
      <c r="Q142" s="4" t="str">
        <f aca="false">IF(S142&gt;=Resumen!$B$8,"AUMENTA",IF(S142&lt;=-Resumen!$B$8,"DISMINUYE","SIN CAMBIO"))</f>
        <v>SIN CAMBIO</v>
      </c>
      <c r="R142" s="4" t="str">
        <f aca="false">IF(AND(M142&lt;=1,P142&lt;=1),"CUMPLE","NO CUMPLE")</f>
        <v>CUMPLE</v>
      </c>
      <c r="S142" s="23" t="n">
        <f aca="false">K142-H142</f>
        <v>0</v>
      </c>
      <c r="T142" s="12" t="str">
        <f aca="false">IF(H142&lt;0.005,"-",K142/H142-1)</f>
        <v>-</v>
      </c>
    </row>
    <row r="143" customFormat="false" ht="15" hidden="false" customHeight="false" outlineLevel="0" collapsed="false">
      <c r="A143" s="4" t="n">
        <v>229</v>
      </c>
      <c r="B143" s="4" t="n">
        <v>5</v>
      </c>
      <c r="C143" s="4" t="s">
        <v>63</v>
      </c>
      <c r="D143" s="4" t="s">
        <v>568</v>
      </c>
      <c r="E143" s="18" t="n">
        <v>0.11</v>
      </c>
      <c r="F143" s="18" t="n">
        <f aca="false">SUMPRODUCT(MAX((Estaciones!$A$5:$A$1064=A143)*ABS(Estaciones!$D$5:$D$1064)))</f>
        <v>0</v>
      </c>
      <c r="G143" s="18" t="n">
        <f aca="false">_xlfn.MAXIFS(Estaciones!$T$5:$T$1064,Estaciones!$A$5:$A$1064,A143)</f>
        <v>0</v>
      </c>
      <c r="H143" s="18" t="n">
        <f aca="false">_xlfn.MAXIFS(Estaciones!$R$5:$R$1064,Estaciones!$A$5:$A$1064,A143)</f>
        <v>0</v>
      </c>
      <c r="I143" s="18" t="n">
        <f aca="false">SUMPRODUCT(MAX((Estaciones!$A$5:$A$1064=A143)*ABS(Estaciones!$K$5:$K$1064)))</f>
        <v>0</v>
      </c>
      <c r="J143" s="18" t="n">
        <f aca="false">_xlfn.MAXIFS(Estaciones!$U$5:$U$1064,Estaciones!$A$5:$A$1064,A143)</f>
        <v>0</v>
      </c>
      <c r="K143" s="18" t="n">
        <f aca="false">_xlfn.MAXIFS(Estaciones!$S$5:$S$1064,Estaciones!$A$5:$A$1064,A143)</f>
        <v>0</v>
      </c>
      <c r="L143" s="13" t="n">
        <f aca="false">H143/Resumen!$B$10</f>
        <v>0</v>
      </c>
      <c r="M143" s="13" t="n">
        <f aca="false">K143/Resumen!$B$10</f>
        <v>0</v>
      </c>
      <c r="N143" s="22" t="n">
        <f aca="false">M143-L143</f>
        <v>0</v>
      </c>
      <c r="O143" s="13" t="n">
        <f aca="false">G143/Resumen!$B$11</f>
        <v>0</v>
      </c>
      <c r="P143" s="13" t="n">
        <f aca="false">J143/Resumen!$B$11</f>
        <v>0</v>
      </c>
      <c r="Q143" s="4" t="str">
        <f aca="false">IF(S143&gt;=Resumen!$B$8,"AUMENTA",IF(S143&lt;=-Resumen!$B$8,"DISMINUYE","SIN CAMBIO"))</f>
        <v>SIN CAMBIO</v>
      </c>
      <c r="R143" s="4" t="str">
        <f aca="false">IF(AND(M143&lt;=1,P143&lt;=1),"CUMPLE","NO CUMPLE")</f>
        <v>CUMPLE</v>
      </c>
      <c r="S143" s="23" t="n">
        <f aca="false">K143-H143</f>
        <v>0</v>
      </c>
      <c r="T143" s="12" t="str">
        <f aca="false">IF(H143&lt;0.005,"-",K143/H143-1)</f>
        <v>-</v>
      </c>
    </row>
    <row r="144" customFormat="false" ht="15" hidden="false" customHeight="false" outlineLevel="0" collapsed="false">
      <c r="A144" s="4" t="n">
        <v>230</v>
      </c>
      <c r="B144" s="4" t="n">
        <v>6</v>
      </c>
      <c r="C144" s="4" t="s">
        <v>63</v>
      </c>
      <c r="D144" s="4" t="s">
        <v>568</v>
      </c>
      <c r="E144" s="18" t="n">
        <v>0.11</v>
      </c>
      <c r="F144" s="18" t="n">
        <f aca="false">SUMPRODUCT(MAX((Estaciones!$A$5:$A$1064=A144)*ABS(Estaciones!$D$5:$D$1064)))</f>
        <v>0</v>
      </c>
      <c r="G144" s="18" t="n">
        <f aca="false">_xlfn.MAXIFS(Estaciones!$T$5:$T$1064,Estaciones!$A$5:$A$1064,A144)</f>
        <v>0</v>
      </c>
      <c r="H144" s="18" t="n">
        <f aca="false">_xlfn.MAXIFS(Estaciones!$R$5:$R$1064,Estaciones!$A$5:$A$1064,A144)</f>
        <v>0</v>
      </c>
      <c r="I144" s="18" t="n">
        <f aca="false">SUMPRODUCT(MAX((Estaciones!$A$5:$A$1064=A144)*ABS(Estaciones!$K$5:$K$1064)))</f>
        <v>0</v>
      </c>
      <c r="J144" s="18" t="n">
        <f aca="false">_xlfn.MAXIFS(Estaciones!$U$5:$U$1064,Estaciones!$A$5:$A$1064,A144)</f>
        <v>0</v>
      </c>
      <c r="K144" s="18" t="n">
        <f aca="false">_xlfn.MAXIFS(Estaciones!$S$5:$S$1064,Estaciones!$A$5:$A$1064,A144)</f>
        <v>0</v>
      </c>
      <c r="L144" s="13" t="n">
        <f aca="false">H144/Resumen!$B$10</f>
        <v>0</v>
      </c>
      <c r="M144" s="13" t="n">
        <f aca="false">K144/Resumen!$B$10</f>
        <v>0</v>
      </c>
      <c r="N144" s="22" t="n">
        <f aca="false">M144-L144</f>
        <v>0</v>
      </c>
      <c r="O144" s="13" t="n">
        <f aca="false">G144/Resumen!$B$11</f>
        <v>0</v>
      </c>
      <c r="P144" s="13" t="n">
        <f aca="false">J144/Resumen!$B$11</f>
        <v>0</v>
      </c>
      <c r="Q144" s="4" t="str">
        <f aca="false">IF(S144&gt;=Resumen!$B$8,"AUMENTA",IF(S144&lt;=-Resumen!$B$8,"DISMINUYE","SIN CAMBIO"))</f>
        <v>SIN CAMBIO</v>
      </c>
      <c r="R144" s="4" t="str">
        <f aca="false">IF(AND(M144&lt;=1,P144&lt;=1),"CUMPLE","NO CUMPLE")</f>
        <v>CUMPLE</v>
      </c>
      <c r="S144" s="23" t="n">
        <f aca="false">K144-H144</f>
        <v>0</v>
      </c>
      <c r="T144" s="12" t="str">
        <f aca="false">IF(H144&lt;0.005,"-",K144/H144-1)</f>
        <v>-</v>
      </c>
    </row>
    <row r="145" customFormat="false" ht="15" hidden="false" customHeight="false" outlineLevel="0" collapsed="false">
      <c r="A145" s="4" t="n">
        <v>231</v>
      </c>
      <c r="B145" s="4" t="n">
        <v>7</v>
      </c>
      <c r="C145" s="4" t="s">
        <v>63</v>
      </c>
      <c r="D145" s="4" t="s">
        <v>568</v>
      </c>
      <c r="E145" s="18" t="n">
        <v>0.11</v>
      </c>
      <c r="F145" s="18" t="n">
        <f aca="false">SUMPRODUCT(MAX((Estaciones!$A$5:$A$1064=A145)*ABS(Estaciones!$D$5:$D$1064)))</f>
        <v>0</v>
      </c>
      <c r="G145" s="18" t="n">
        <f aca="false">_xlfn.MAXIFS(Estaciones!$T$5:$T$1064,Estaciones!$A$5:$A$1064,A145)</f>
        <v>0</v>
      </c>
      <c r="H145" s="18" t="n">
        <f aca="false">_xlfn.MAXIFS(Estaciones!$R$5:$R$1064,Estaciones!$A$5:$A$1064,A145)</f>
        <v>0</v>
      </c>
      <c r="I145" s="18" t="n">
        <f aca="false">SUMPRODUCT(MAX((Estaciones!$A$5:$A$1064=A145)*ABS(Estaciones!$K$5:$K$1064)))</f>
        <v>0</v>
      </c>
      <c r="J145" s="18" t="n">
        <f aca="false">_xlfn.MAXIFS(Estaciones!$U$5:$U$1064,Estaciones!$A$5:$A$1064,A145)</f>
        <v>0</v>
      </c>
      <c r="K145" s="18" t="n">
        <f aca="false">_xlfn.MAXIFS(Estaciones!$S$5:$S$1064,Estaciones!$A$5:$A$1064,A145)</f>
        <v>0</v>
      </c>
      <c r="L145" s="13" t="n">
        <f aca="false">H145/Resumen!$B$10</f>
        <v>0</v>
      </c>
      <c r="M145" s="13" t="n">
        <f aca="false">K145/Resumen!$B$10</f>
        <v>0</v>
      </c>
      <c r="N145" s="22" t="n">
        <f aca="false">M145-L145</f>
        <v>0</v>
      </c>
      <c r="O145" s="13" t="n">
        <f aca="false">G145/Resumen!$B$11</f>
        <v>0</v>
      </c>
      <c r="P145" s="13" t="n">
        <f aca="false">J145/Resumen!$B$11</f>
        <v>0</v>
      </c>
      <c r="Q145" s="4" t="str">
        <f aca="false">IF(S145&gt;=Resumen!$B$8,"AUMENTA",IF(S145&lt;=-Resumen!$B$8,"DISMINUYE","SIN CAMBIO"))</f>
        <v>SIN CAMBIO</v>
      </c>
      <c r="R145" s="4" t="str">
        <f aca="false">IF(AND(M145&lt;=1,P145&lt;=1),"CUMPLE","NO CUMPLE")</f>
        <v>CUMPLE</v>
      </c>
      <c r="S145" s="23" t="n">
        <f aca="false">K145-H145</f>
        <v>0</v>
      </c>
      <c r="T145" s="12" t="str">
        <f aca="false">IF(H145&lt;0.005,"-",K145/H145-1)</f>
        <v>-</v>
      </c>
    </row>
    <row r="146" customFormat="false" ht="15" hidden="false" customHeight="false" outlineLevel="0" collapsed="false">
      <c r="A146" s="4" t="n">
        <v>232</v>
      </c>
      <c r="B146" s="4" t="n">
        <v>8</v>
      </c>
      <c r="C146" s="4" t="s">
        <v>63</v>
      </c>
      <c r="D146" s="4" t="s">
        <v>568</v>
      </c>
      <c r="E146" s="18" t="n">
        <v>0.11</v>
      </c>
      <c r="F146" s="18" t="n">
        <f aca="false">SUMPRODUCT(MAX((Estaciones!$A$5:$A$1064=A146)*ABS(Estaciones!$D$5:$D$1064)))</f>
        <v>0</v>
      </c>
      <c r="G146" s="18" t="n">
        <f aca="false">_xlfn.MAXIFS(Estaciones!$T$5:$T$1064,Estaciones!$A$5:$A$1064,A146)</f>
        <v>0</v>
      </c>
      <c r="H146" s="18" t="n">
        <f aca="false">_xlfn.MAXIFS(Estaciones!$R$5:$R$1064,Estaciones!$A$5:$A$1064,A146)</f>
        <v>0</v>
      </c>
      <c r="I146" s="18" t="n">
        <f aca="false">SUMPRODUCT(MAX((Estaciones!$A$5:$A$1064=A146)*ABS(Estaciones!$K$5:$K$1064)))</f>
        <v>0</v>
      </c>
      <c r="J146" s="18" t="n">
        <f aca="false">_xlfn.MAXIFS(Estaciones!$U$5:$U$1064,Estaciones!$A$5:$A$1064,A146)</f>
        <v>0</v>
      </c>
      <c r="K146" s="18" t="n">
        <f aca="false">_xlfn.MAXIFS(Estaciones!$S$5:$S$1064,Estaciones!$A$5:$A$1064,A146)</f>
        <v>0</v>
      </c>
      <c r="L146" s="13" t="n">
        <f aca="false">H146/Resumen!$B$10</f>
        <v>0</v>
      </c>
      <c r="M146" s="13" t="n">
        <f aca="false">K146/Resumen!$B$10</f>
        <v>0</v>
      </c>
      <c r="N146" s="22" t="n">
        <f aca="false">M146-L146</f>
        <v>0</v>
      </c>
      <c r="O146" s="13" t="n">
        <f aca="false">G146/Resumen!$B$11</f>
        <v>0</v>
      </c>
      <c r="P146" s="13" t="n">
        <f aca="false">J146/Resumen!$B$11</f>
        <v>0</v>
      </c>
      <c r="Q146" s="4" t="str">
        <f aca="false">IF(S146&gt;=Resumen!$B$8,"AUMENTA",IF(S146&lt;=-Resumen!$B$8,"DISMINUYE","SIN CAMBIO"))</f>
        <v>SIN CAMBIO</v>
      </c>
      <c r="R146" s="4" t="str">
        <f aca="false">IF(AND(M146&lt;=1,P146&lt;=1),"CUMPLE","NO CUMPLE")</f>
        <v>CUMPLE</v>
      </c>
      <c r="S146" s="23" t="n">
        <f aca="false">K146-H146</f>
        <v>0</v>
      </c>
      <c r="T146" s="12" t="str">
        <f aca="false">IF(H146&lt;0.005,"-",K146/H146-1)</f>
        <v>-</v>
      </c>
    </row>
    <row r="147" customFormat="false" ht="15" hidden="false" customHeight="false" outlineLevel="0" collapsed="false">
      <c r="A147" s="4" t="n">
        <v>236</v>
      </c>
      <c r="B147" s="4" t="n">
        <v>13</v>
      </c>
      <c r="C147" s="4" t="s">
        <v>63</v>
      </c>
      <c r="D147" s="4" t="s">
        <v>568</v>
      </c>
      <c r="E147" s="18" t="n">
        <v>1.18</v>
      </c>
      <c r="F147" s="18" t="n">
        <f aca="false">SUMPRODUCT(MAX((Estaciones!$A$5:$A$1064=A147)*ABS(Estaciones!$D$5:$D$1064)))</f>
        <v>0.01</v>
      </c>
      <c r="G147" s="18" t="n">
        <f aca="false">_xlfn.MAXIFS(Estaciones!$T$5:$T$1064,Estaciones!$A$5:$A$1064,A147)</f>
        <v>0</v>
      </c>
      <c r="H147" s="18" t="n">
        <f aca="false">_xlfn.MAXIFS(Estaciones!$R$5:$R$1064,Estaciones!$A$5:$A$1064,A147)</f>
        <v>0.03</v>
      </c>
      <c r="I147" s="18" t="n">
        <f aca="false">SUMPRODUCT(MAX((Estaciones!$A$5:$A$1064=A147)*ABS(Estaciones!$K$5:$K$1064)))</f>
        <v>0.01</v>
      </c>
      <c r="J147" s="18" t="n">
        <f aca="false">_xlfn.MAXIFS(Estaciones!$U$5:$U$1064,Estaciones!$A$5:$A$1064,A147)</f>
        <v>0</v>
      </c>
      <c r="K147" s="18" t="n">
        <f aca="false">_xlfn.MAXIFS(Estaciones!$S$5:$S$1064,Estaciones!$A$5:$A$1064,A147)</f>
        <v>0.03</v>
      </c>
      <c r="L147" s="13" t="n">
        <f aca="false">H147/Resumen!$B$10</f>
        <v>0.0197628458498024</v>
      </c>
      <c r="M147" s="13" t="n">
        <f aca="false">K147/Resumen!$B$10</f>
        <v>0.0197628458498024</v>
      </c>
      <c r="N147" s="22" t="n">
        <f aca="false">M147-L147</f>
        <v>0</v>
      </c>
      <c r="O147" s="13" t="n">
        <f aca="false">G147/Resumen!$B$11</f>
        <v>0</v>
      </c>
      <c r="P147" s="13" t="n">
        <f aca="false">J147/Resumen!$B$11</f>
        <v>0</v>
      </c>
      <c r="Q147" s="4" t="str">
        <f aca="false">IF(S147&gt;=Resumen!$B$8,"AUMENTA",IF(S147&lt;=-Resumen!$B$8,"DISMINUYE","SIN CAMBIO"))</f>
        <v>SIN CAMBIO</v>
      </c>
      <c r="R147" s="4" t="str">
        <f aca="false">IF(AND(M147&lt;=1,P147&lt;=1),"CUMPLE","NO CUMPLE")</f>
        <v>CUMPLE</v>
      </c>
      <c r="S147" s="23" t="n">
        <f aca="false">K147-H147</f>
        <v>0</v>
      </c>
      <c r="T147" s="12" t="n">
        <f aca="false">IF(H147&lt;0.005,"-",K147/H147-1)</f>
        <v>0</v>
      </c>
    </row>
    <row r="148" customFormat="false" ht="15" hidden="false" customHeight="false" outlineLevel="0" collapsed="false">
      <c r="A148" s="4" t="n">
        <v>237</v>
      </c>
      <c r="B148" s="4" t="n">
        <v>14</v>
      </c>
      <c r="C148" s="4" t="s">
        <v>63</v>
      </c>
      <c r="D148" s="4" t="s">
        <v>568</v>
      </c>
      <c r="E148" s="18" t="n">
        <v>1.4</v>
      </c>
      <c r="F148" s="18" t="n">
        <f aca="false">SUMPRODUCT(MAX((Estaciones!$A$5:$A$1064=A148)*ABS(Estaciones!$D$5:$D$1064)))</f>
        <v>0.01</v>
      </c>
      <c r="G148" s="18" t="n">
        <f aca="false">_xlfn.MAXIFS(Estaciones!$T$5:$T$1064,Estaciones!$A$5:$A$1064,A148)</f>
        <v>0</v>
      </c>
      <c r="H148" s="18" t="n">
        <f aca="false">_xlfn.MAXIFS(Estaciones!$R$5:$R$1064,Estaciones!$A$5:$A$1064,A148)</f>
        <v>0.03</v>
      </c>
      <c r="I148" s="18" t="n">
        <f aca="false">SUMPRODUCT(MAX((Estaciones!$A$5:$A$1064=A148)*ABS(Estaciones!$K$5:$K$1064)))</f>
        <v>0.01</v>
      </c>
      <c r="J148" s="18" t="n">
        <f aca="false">_xlfn.MAXIFS(Estaciones!$U$5:$U$1064,Estaciones!$A$5:$A$1064,A148)</f>
        <v>0</v>
      </c>
      <c r="K148" s="18" t="n">
        <f aca="false">_xlfn.MAXIFS(Estaciones!$S$5:$S$1064,Estaciones!$A$5:$A$1064,A148)</f>
        <v>0.04</v>
      </c>
      <c r="L148" s="13" t="n">
        <f aca="false">H148/Resumen!$B$10</f>
        <v>0.0197628458498024</v>
      </c>
      <c r="M148" s="13" t="n">
        <f aca="false">K148/Resumen!$B$10</f>
        <v>0.0263504611330698</v>
      </c>
      <c r="N148" s="22" t="n">
        <f aca="false">M148-L148</f>
        <v>0.00658761528326746</v>
      </c>
      <c r="O148" s="13" t="n">
        <f aca="false">G148/Resumen!$B$11</f>
        <v>0</v>
      </c>
      <c r="P148" s="13" t="n">
        <f aca="false">J148/Resumen!$B$11</f>
        <v>0</v>
      </c>
      <c r="Q148" s="4" t="str">
        <f aca="false">IF(S148&gt;=Resumen!$B$8,"AUMENTA",IF(S148&lt;=-Resumen!$B$8,"DISMINUYE","SIN CAMBIO"))</f>
        <v>SIN CAMBIO</v>
      </c>
      <c r="R148" s="4" t="str">
        <f aca="false">IF(AND(M148&lt;=1,P148&lt;=1),"CUMPLE","NO CUMPLE")</f>
        <v>CUMPLE</v>
      </c>
      <c r="S148" s="23" t="n">
        <f aca="false">K148-H148</f>
        <v>0.01</v>
      </c>
      <c r="T148" s="12" t="n">
        <f aca="false">IF(H148&lt;0.005,"-",K148/H148-1)</f>
        <v>0.333333333333334</v>
      </c>
    </row>
    <row r="149" customFormat="false" ht="15" hidden="false" customHeight="false" outlineLevel="0" collapsed="false">
      <c r="A149" s="4" t="n">
        <v>238</v>
      </c>
      <c r="B149" s="4" t="n">
        <v>15</v>
      </c>
      <c r="C149" s="4" t="s">
        <v>63</v>
      </c>
      <c r="D149" s="4" t="s">
        <v>568</v>
      </c>
      <c r="E149" s="18" t="n">
        <v>1.18</v>
      </c>
      <c r="F149" s="18" t="n">
        <f aca="false">SUMPRODUCT(MAX((Estaciones!$A$5:$A$1064=A149)*ABS(Estaciones!$D$5:$D$1064)))</f>
        <v>0.01</v>
      </c>
      <c r="G149" s="18" t="n">
        <f aca="false">_xlfn.MAXIFS(Estaciones!$T$5:$T$1064,Estaciones!$A$5:$A$1064,A149)</f>
        <v>0</v>
      </c>
      <c r="H149" s="18" t="n">
        <f aca="false">_xlfn.MAXIFS(Estaciones!$R$5:$R$1064,Estaciones!$A$5:$A$1064,A149)</f>
        <v>0.03</v>
      </c>
      <c r="I149" s="18" t="n">
        <f aca="false">SUMPRODUCT(MAX((Estaciones!$A$5:$A$1064=A149)*ABS(Estaciones!$K$5:$K$1064)))</f>
        <v>0.01</v>
      </c>
      <c r="J149" s="18" t="n">
        <f aca="false">_xlfn.MAXIFS(Estaciones!$U$5:$U$1064,Estaciones!$A$5:$A$1064,A149)</f>
        <v>0</v>
      </c>
      <c r="K149" s="18" t="n">
        <f aca="false">_xlfn.MAXIFS(Estaciones!$S$5:$S$1064,Estaciones!$A$5:$A$1064,A149)</f>
        <v>0.03</v>
      </c>
      <c r="L149" s="13" t="n">
        <f aca="false">H149/Resumen!$B$10</f>
        <v>0.0197628458498024</v>
      </c>
      <c r="M149" s="13" t="n">
        <f aca="false">K149/Resumen!$B$10</f>
        <v>0.0197628458498024</v>
      </c>
      <c r="N149" s="22" t="n">
        <f aca="false">M149-L149</f>
        <v>0</v>
      </c>
      <c r="O149" s="13" t="n">
        <f aca="false">G149/Resumen!$B$11</f>
        <v>0</v>
      </c>
      <c r="P149" s="13" t="n">
        <f aca="false">J149/Resumen!$B$11</f>
        <v>0</v>
      </c>
      <c r="Q149" s="4" t="str">
        <f aca="false">IF(S149&gt;=Resumen!$B$8,"AUMENTA",IF(S149&lt;=-Resumen!$B$8,"DISMINUYE","SIN CAMBIO"))</f>
        <v>SIN CAMBIO</v>
      </c>
      <c r="R149" s="4" t="str">
        <f aca="false">IF(AND(M149&lt;=1,P149&lt;=1),"CUMPLE","NO CUMPLE")</f>
        <v>CUMPLE</v>
      </c>
      <c r="S149" s="23" t="n">
        <f aca="false">K149-H149</f>
        <v>0</v>
      </c>
      <c r="T149" s="12" t="n">
        <f aca="false">IF(H149&lt;0.005,"-",K149/H149-1)</f>
        <v>0</v>
      </c>
    </row>
    <row r="150" customFormat="false" ht="15" hidden="false" customHeight="false" outlineLevel="0" collapsed="false">
      <c r="A150" s="4" t="n">
        <v>239</v>
      </c>
      <c r="B150" s="4" t="n">
        <v>16</v>
      </c>
      <c r="C150" s="4" t="s">
        <v>63</v>
      </c>
      <c r="D150" s="4" t="s">
        <v>568</v>
      </c>
      <c r="E150" s="18" t="n">
        <v>1.4</v>
      </c>
      <c r="F150" s="18" t="n">
        <f aca="false">SUMPRODUCT(MAX((Estaciones!$A$5:$A$1064=A150)*ABS(Estaciones!$D$5:$D$1064)))</f>
        <v>0</v>
      </c>
      <c r="G150" s="18" t="n">
        <f aca="false">_xlfn.MAXIFS(Estaciones!$T$5:$T$1064,Estaciones!$A$5:$A$1064,A150)</f>
        <v>0</v>
      </c>
      <c r="H150" s="18" t="n">
        <f aca="false">_xlfn.MAXIFS(Estaciones!$R$5:$R$1064,Estaciones!$A$5:$A$1064,A150)</f>
        <v>0.02</v>
      </c>
      <c r="I150" s="18" t="n">
        <f aca="false">SUMPRODUCT(MAX((Estaciones!$A$5:$A$1064=A150)*ABS(Estaciones!$K$5:$K$1064)))</f>
        <v>0</v>
      </c>
      <c r="J150" s="18" t="n">
        <f aca="false">_xlfn.MAXIFS(Estaciones!$U$5:$U$1064,Estaciones!$A$5:$A$1064,A150)</f>
        <v>0</v>
      </c>
      <c r="K150" s="18" t="n">
        <f aca="false">_xlfn.MAXIFS(Estaciones!$S$5:$S$1064,Estaciones!$A$5:$A$1064,A150)</f>
        <v>0.02</v>
      </c>
      <c r="L150" s="13" t="n">
        <f aca="false">H150/Resumen!$B$10</f>
        <v>0.0131752305665349</v>
      </c>
      <c r="M150" s="13" t="n">
        <f aca="false">K150/Resumen!$B$10</f>
        <v>0.0131752305665349</v>
      </c>
      <c r="N150" s="22" t="n">
        <f aca="false">M150-L150</f>
        <v>0</v>
      </c>
      <c r="O150" s="13" t="n">
        <f aca="false">G150/Resumen!$B$11</f>
        <v>0</v>
      </c>
      <c r="P150" s="13" t="n">
        <f aca="false">J150/Resumen!$B$11</f>
        <v>0</v>
      </c>
      <c r="Q150" s="4" t="str">
        <f aca="false">IF(S150&gt;=Resumen!$B$8,"AUMENTA",IF(S150&lt;=-Resumen!$B$8,"DISMINUYE","SIN CAMBIO"))</f>
        <v>SIN CAMBIO</v>
      </c>
      <c r="R150" s="4" t="str">
        <f aca="false">IF(AND(M150&lt;=1,P150&lt;=1),"CUMPLE","NO CUMPLE")</f>
        <v>CUMPLE</v>
      </c>
      <c r="S150" s="23" t="n">
        <f aca="false">K150-H150</f>
        <v>0</v>
      </c>
      <c r="T150" s="12" t="n">
        <f aca="false">IF(H150&lt;0.005,"-",K150/H150-1)</f>
        <v>0</v>
      </c>
    </row>
    <row r="151" customFormat="false" ht="15" hidden="false" customHeight="false" outlineLevel="0" collapsed="false">
      <c r="A151" s="4" t="n">
        <v>240</v>
      </c>
      <c r="B151" s="4" t="n">
        <v>17</v>
      </c>
      <c r="C151" s="4" t="s">
        <v>63</v>
      </c>
      <c r="D151" s="4" t="s">
        <v>568</v>
      </c>
      <c r="E151" s="18" t="n">
        <v>1.18</v>
      </c>
      <c r="F151" s="18" t="n">
        <f aca="false">SUMPRODUCT(MAX((Estaciones!$A$5:$A$1064=A151)*ABS(Estaciones!$D$5:$D$1064)))</f>
        <v>0</v>
      </c>
      <c r="G151" s="18" t="n">
        <f aca="false">_xlfn.MAXIFS(Estaciones!$T$5:$T$1064,Estaciones!$A$5:$A$1064,A151)</f>
        <v>0</v>
      </c>
      <c r="H151" s="18" t="n">
        <f aca="false">_xlfn.MAXIFS(Estaciones!$R$5:$R$1064,Estaciones!$A$5:$A$1064,A151)</f>
        <v>0.01</v>
      </c>
      <c r="I151" s="18" t="n">
        <f aca="false">SUMPRODUCT(MAX((Estaciones!$A$5:$A$1064=A151)*ABS(Estaciones!$K$5:$K$1064)))</f>
        <v>0</v>
      </c>
      <c r="J151" s="18" t="n">
        <f aca="false">_xlfn.MAXIFS(Estaciones!$U$5:$U$1064,Estaciones!$A$5:$A$1064,A151)</f>
        <v>0</v>
      </c>
      <c r="K151" s="18" t="n">
        <f aca="false">_xlfn.MAXIFS(Estaciones!$S$5:$S$1064,Estaciones!$A$5:$A$1064,A151)</f>
        <v>0.01</v>
      </c>
      <c r="L151" s="13" t="n">
        <f aca="false">H151/Resumen!$B$10</f>
        <v>0.00658761528326746</v>
      </c>
      <c r="M151" s="13" t="n">
        <f aca="false">K151/Resumen!$B$10</f>
        <v>0.00658761528326746</v>
      </c>
      <c r="N151" s="22" t="n">
        <f aca="false">M151-L151</f>
        <v>0</v>
      </c>
      <c r="O151" s="13" t="n">
        <f aca="false">G151/Resumen!$B$11</f>
        <v>0</v>
      </c>
      <c r="P151" s="13" t="n">
        <f aca="false">J151/Resumen!$B$11</f>
        <v>0</v>
      </c>
      <c r="Q151" s="4" t="str">
        <f aca="false">IF(S151&gt;=Resumen!$B$8,"AUMENTA",IF(S151&lt;=-Resumen!$B$8,"DISMINUYE","SIN CAMBIO"))</f>
        <v>SIN CAMBIO</v>
      </c>
      <c r="R151" s="4" t="str">
        <f aca="false">IF(AND(M151&lt;=1,P151&lt;=1),"CUMPLE","NO CUMPLE")</f>
        <v>CUMPLE</v>
      </c>
      <c r="S151" s="23" t="n">
        <f aca="false">K151-H151</f>
        <v>0</v>
      </c>
      <c r="T151" s="12" t="n">
        <f aca="false">IF(H151&lt;0.005,"-",K151/H151-1)</f>
        <v>0</v>
      </c>
    </row>
    <row r="152" customFormat="false" ht="15" hidden="false" customHeight="false" outlineLevel="0" collapsed="false">
      <c r="A152" s="4" t="n">
        <v>241</v>
      </c>
      <c r="B152" s="4" t="n">
        <v>18</v>
      </c>
      <c r="C152" s="4" t="s">
        <v>63</v>
      </c>
      <c r="D152" s="4" t="s">
        <v>568</v>
      </c>
      <c r="E152" s="18" t="n">
        <v>1.4</v>
      </c>
      <c r="F152" s="18" t="n">
        <f aca="false">SUMPRODUCT(MAX((Estaciones!$A$5:$A$1064=A152)*ABS(Estaciones!$D$5:$D$1064)))</f>
        <v>0</v>
      </c>
      <c r="G152" s="18" t="n">
        <f aca="false">_xlfn.MAXIFS(Estaciones!$T$5:$T$1064,Estaciones!$A$5:$A$1064,A152)</f>
        <v>0</v>
      </c>
      <c r="H152" s="18" t="n">
        <f aca="false">_xlfn.MAXIFS(Estaciones!$R$5:$R$1064,Estaciones!$A$5:$A$1064,A152)</f>
        <v>0.01</v>
      </c>
      <c r="I152" s="18" t="n">
        <f aca="false">SUMPRODUCT(MAX((Estaciones!$A$5:$A$1064=A152)*ABS(Estaciones!$K$5:$K$1064)))</f>
        <v>0</v>
      </c>
      <c r="J152" s="18" t="n">
        <f aca="false">_xlfn.MAXIFS(Estaciones!$U$5:$U$1064,Estaciones!$A$5:$A$1064,A152)</f>
        <v>0</v>
      </c>
      <c r="K152" s="18" t="n">
        <f aca="false">_xlfn.MAXIFS(Estaciones!$S$5:$S$1064,Estaciones!$A$5:$A$1064,A152)</f>
        <v>0.02</v>
      </c>
      <c r="L152" s="13" t="n">
        <f aca="false">H152/Resumen!$B$10</f>
        <v>0.00658761528326746</v>
      </c>
      <c r="M152" s="13" t="n">
        <f aca="false">K152/Resumen!$B$10</f>
        <v>0.0131752305665349</v>
      </c>
      <c r="N152" s="22" t="n">
        <f aca="false">M152-L152</f>
        <v>0.00658761528326746</v>
      </c>
      <c r="O152" s="13" t="n">
        <f aca="false">G152/Resumen!$B$11</f>
        <v>0</v>
      </c>
      <c r="P152" s="13" t="n">
        <f aca="false">J152/Resumen!$B$11</f>
        <v>0</v>
      </c>
      <c r="Q152" s="4" t="str">
        <f aca="false">IF(S152&gt;=Resumen!$B$8,"AUMENTA",IF(S152&lt;=-Resumen!$B$8,"DISMINUYE","SIN CAMBIO"))</f>
        <v>SIN CAMBIO</v>
      </c>
      <c r="R152" s="4" t="str">
        <f aca="false">IF(AND(M152&lt;=1,P152&lt;=1),"CUMPLE","NO CUMPLE")</f>
        <v>CUMPLE</v>
      </c>
      <c r="S152" s="23" t="n">
        <f aca="false">K152-H152</f>
        <v>0.01</v>
      </c>
      <c r="T152" s="12" t="n">
        <f aca="false">IF(H152&lt;0.005,"-",K152/H152-1)</f>
        <v>1</v>
      </c>
    </row>
    <row r="153" customFormat="false" ht="15" hidden="false" customHeight="false" outlineLevel="0" collapsed="false">
      <c r="A153" s="4" t="n">
        <v>242</v>
      </c>
      <c r="B153" s="4" t="n">
        <v>19</v>
      </c>
      <c r="C153" s="4" t="s">
        <v>63</v>
      </c>
      <c r="D153" s="4" t="s">
        <v>568</v>
      </c>
      <c r="E153" s="18" t="n">
        <v>1.18</v>
      </c>
      <c r="F153" s="18" t="n">
        <f aca="false">SUMPRODUCT(MAX((Estaciones!$A$5:$A$1064=A153)*ABS(Estaciones!$D$5:$D$1064)))</f>
        <v>0.01</v>
      </c>
      <c r="G153" s="18" t="n">
        <f aca="false">_xlfn.MAXIFS(Estaciones!$T$5:$T$1064,Estaciones!$A$5:$A$1064,A153)</f>
        <v>0</v>
      </c>
      <c r="H153" s="18" t="n">
        <f aca="false">_xlfn.MAXIFS(Estaciones!$R$5:$R$1064,Estaciones!$A$5:$A$1064,A153)</f>
        <v>0.03</v>
      </c>
      <c r="I153" s="18" t="n">
        <f aca="false">SUMPRODUCT(MAX((Estaciones!$A$5:$A$1064=A153)*ABS(Estaciones!$K$5:$K$1064)))</f>
        <v>0.01</v>
      </c>
      <c r="J153" s="18" t="n">
        <f aca="false">_xlfn.MAXIFS(Estaciones!$U$5:$U$1064,Estaciones!$A$5:$A$1064,A153)</f>
        <v>0</v>
      </c>
      <c r="K153" s="18" t="n">
        <f aca="false">_xlfn.MAXIFS(Estaciones!$S$5:$S$1064,Estaciones!$A$5:$A$1064,A153)</f>
        <v>0.03</v>
      </c>
      <c r="L153" s="13" t="n">
        <f aca="false">H153/Resumen!$B$10</f>
        <v>0.0197628458498024</v>
      </c>
      <c r="M153" s="13" t="n">
        <f aca="false">K153/Resumen!$B$10</f>
        <v>0.0197628458498024</v>
      </c>
      <c r="N153" s="22" t="n">
        <f aca="false">M153-L153</f>
        <v>0</v>
      </c>
      <c r="O153" s="13" t="n">
        <f aca="false">G153/Resumen!$B$11</f>
        <v>0</v>
      </c>
      <c r="P153" s="13" t="n">
        <f aca="false">J153/Resumen!$B$11</f>
        <v>0</v>
      </c>
      <c r="Q153" s="4" t="str">
        <f aca="false">IF(S153&gt;=Resumen!$B$8,"AUMENTA",IF(S153&lt;=-Resumen!$B$8,"DISMINUYE","SIN CAMBIO"))</f>
        <v>SIN CAMBIO</v>
      </c>
      <c r="R153" s="4" t="str">
        <f aca="false">IF(AND(M153&lt;=1,P153&lt;=1),"CUMPLE","NO CUMPLE")</f>
        <v>CUMPLE</v>
      </c>
      <c r="S153" s="23" t="n">
        <f aca="false">K153-H153</f>
        <v>0</v>
      </c>
      <c r="T153" s="12" t="n">
        <f aca="false">IF(H153&lt;0.005,"-",K153/H153-1)</f>
        <v>0</v>
      </c>
    </row>
    <row r="154" customFormat="false" ht="15" hidden="false" customHeight="false" outlineLevel="0" collapsed="false">
      <c r="A154" s="4" t="n">
        <v>243</v>
      </c>
      <c r="B154" s="4" t="n">
        <v>20</v>
      </c>
      <c r="C154" s="4" t="s">
        <v>63</v>
      </c>
      <c r="D154" s="4" t="s">
        <v>568</v>
      </c>
      <c r="E154" s="18" t="n">
        <v>1.4</v>
      </c>
      <c r="F154" s="18" t="n">
        <f aca="false">SUMPRODUCT(MAX((Estaciones!$A$5:$A$1064=A154)*ABS(Estaciones!$D$5:$D$1064)))</f>
        <v>0</v>
      </c>
      <c r="G154" s="18" t="n">
        <f aca="false">_xlfn.MAXIFS(Estaciones!$T$5:$T$1064,Estaciones!$A$5:$A$1064,A154)</f>
        <v>0</v>
      </c>
      <c r="H154" s="18" t="n">
        <f aca="false">_xlfn.MAXIFS(Estaciones!$R$5:$R$1064,Estaciones!$A$5:$A$1064,A154)</f>
        <v>0.02</v>
      </c>
      <c r="I154" s="18" t="n">
        <f aca="false">SUMPRODUCT(MAX((Estaciones!$A$5:$A$1064=A154)*ABS(Estaciones!$K$5:$K$1064)))</f>
        <v>0</v>
      </c>
      <c r="J154" s="18" t="n">
        <f aca="false">_xlfn.MAXIFS(Estaciones!$U$5:$U$1064,Estaciones!$A$5:$A$1064,A154)</f>
        <v>0</v>
      </c>
      <c r="K154" s="18" t="n">
        <f aca="false">_xlfn.MAXIFS(Estaciones!$S$5:$S$1064,Estaciones!$A$5:$A$1064,A154)</f>
        <v>0.02</v>
      </c>
      <c r="L154" s="13" t="n">
        <f aca="false">H154/Resumen!$B$10</f>
        <v>0.0131752305665349</v>
      </c>
      <c r="M154" s="13" t="n">
        <f aca="false">K154/Resumen!$B$10</f>
        <v>0.0131752305665349</v>
      </c>
      <c r="N154" s="22" t="n">
        <f aca="false">M154-L154</f>
        <v>0</v>
      </c>
      <c r="O154" s="13" t="n">
        <f aca="false">G154/Resumen!$B$11</f>
        <v>0</v>
      </c>
      <c r="P154" s="13" t="n">
        <f aca="false">J154/Resumen!$B$11</f>
        <v>0</v>
      </c>
      <c r="Q154" s="4" t="str">
        <f aca="false">IF(S154&gt;=Resumen!$B$8,"AUMENTA",IF(S154&lt;=-Resumen!$B$8,"DISMINUYE","SIN CAMBIO"))</f>
        <v>SIN CAMBIO</v>
      </c>
      <c r="R154" s="4" t="str">
        <f aca="false">IF(AND(M154&lt;=1,P154&lt;=1),"CUMPLE","NO CUMPLE")</f>
        <v>CUMPLE</v>
      </c>
      <c r="S154" s="23" t="n">
        <f aca="false">K154-H154</f>
        <v>0</v>
      </c>
      <c r="T154" s="12" t="n">
        <f aca="false">IF(H154&lt;0.005,"-",K154/H154-1)</f>
        <v>0</v>
      </c>
    </row>
    <row r="155" customFormat="false" ht="15" hidden="false" customHeight="false" outlineLevel="0" collapsed="false">
      <c r="A155" s="4" t="n">
        <v>244</v>
      </c>
      <c r="B155" s="4" t="n">
        <v>21</v>
      </c>
      <c r="C155" s="4" t="s">
        <v>63</v>
      </c>
      <c r="D155" s="4" t="s">
        <v>568</v>
      </c>
      <c r="E155" s="18" t="n">
        <v>1.18</v>
      </c>
      <c r="F155" s="18" t="n">
        <f aca="false">SUMPRODUCT(MAX((Estaciones!$A$5:$A$1064=A155)*ABS(Estaciones!$D$5:$D$1064)))</f>
        <v>0</v>
      </c>
      <c r="G155" s="18" t="n">
        <f aca="false">_xlfn.MAXIFS(Estaciones!$T$5:$T$1064,Estaciones!$A$5:$A$1064,A155)</f>
        <v>0</v>
      </c>
      <c r="H155" s="18" t="n">
        <f aca="false">_xlfn.MAXIFS(Estaciones!$R$5:$R$1064,Estaciones!$A$5:$A$1064,A155)</f>
        <v>0.02</v>
      </c>
      <c r="I155" s="18" t="n">
        <f aca="false">SUMPRODUCT(MAX((Estaciones!$A$5:$A$1064=A155)*ABS(Estaciones!$K$5:$K$1064)))</f>
        <v>0</v>
      </c>
      <c r="J155" s="18" t="n">
        <f aca="false">_xlfn.MAXIFS(Estaciones!$U$5:$U$1064,Estaciones!$A$5:$A$1064,A155)</f>
        <v>0</v>
      </c>
      <c r="K155" s="18" t="n">
        <f aca="false">_xlfn.MAXIFS(Estaciones!$S$5:$S$1064,Estaciones!$A$5:$A$1064,A155)</f>
        <v>0.02</v>
      </c>
      <c r="L155" s="13" t="n">
        <f aca="false">H155/Resumen!$B$10</f>
        <v>0.0131752305665349</v>
      </c>
      <c r="M155" s="13" t="n">
        <f aca="false">K155/Resumen!$B$10</f>
        <v>0.0131752305665349</v>
      </c>
      <c r="N155" s="22" t="n">
        <f aca="false">M155-L155</f>
        <v>0</v>
      </c>
      <c r="O155" s="13" t="n">
        <f aca="false">G155/Resumen!$B$11</f>
        <v>0</v>
      </c>
      <c r="P155" s="13" t="n">
        <f aca="false">J155/Resumen!$B$11</f>
        <v>0</v>
      </c>
      <c r="Q155" s="4" t="str">
        <f aca="false">IF(S155&gt;=Resumen!$B$8,"AUMENTA",IF(S155&lt;=-Resumen!$B$8,"DISMINUYE","SIN CAMBIO"))</f>
        <v>SIN CAMBIO</v>
      </c>
      <c r="R155" s="4" t="str">
        <f aca="false">IF(AND(M155&lt;=1,P155&lt;=1),"CUMPLE","NO CUMPLE")</f>
        <v>CUMPLE</v>
      </c>
      <c r="S155" s="23" t="n">
        <f aca="false">K155-H155</f>
        <v>0</v>
      </c>
      <c r="T155" s="12" t="n">
        <f aca="false">IF(H155&lt;0.005,"-",K155/H155-1)</f>
        <v>0</v>
      </c>
    </row>
    <row r="156" customFormat="false" ht="15" hidden="false" customHeight="false" outlineLevel="0" collapsed="false">
      <c r="A156" s="4" t="n">
        <v>245</v>
      </c>
      <c r="B156" s="4" t="n">
        <v>22</v>
      </c>
      <c r="C156" s="4" t="s">
        <v>63</v>
      </c>
      <c r="D156" s="4" t="s">
        <v>568</v>
      </c>
      <c r="E156" s="18" t="n">
        <v>1.4</v>
      </c>
      <c r="F156" s="18" t="n">
        <f aca="false">SUMPRODUCT(MAX((Estaciones!$A$5:$A$1064=A156)*ABS(Estaciones!$D$5:$D$1064)))</f>
        <v>0</v>
      </c>
      <c r="G156" s="18" t="n">
        <f aca="false">_xlfn.MAXIFS(Estaciones!$T$5:$T$1064,Estaciones!$A$5:$A$1064,A156)</f>
        <v>0</v>
      </c>
      <c r="H156" s="18" t="n">
        <f aca="false">_xlfn.MAXIFS(Estaciones!$R$5:$R$1064,Estaciones!$A$5:$A$1064,A156)</f>
        <v>0.02</v>
      </c>
      <c r="I156" s="18" t="n">
        <f aca="false">SUMPRODUCT(MAX((Estaciones!$A$5:$A$1064=A156)*ABS(Estaciones!$K$5:$K$1064)))</f>
        <v>0</v>
      </c>
      <c r="J156" s="18" t="n">
        <f aca="false">_xlfn.MAXIFS(Estaciones!$U$5:$U$1064,Estaciones!$A$5:$A$1064,A156)</f>
        <v>0</v>
      </c>
      <c r="K156" s="18" t="n">
        <f aca="false">_xlfn.MAXIFS(Estaciones!$S$5:$S$1064,Estaciones!$A$5:$A$1064,A156)</f>
        <v>0.02</v>
      </c>
      <c r="L156" s="13" t="n">
        <f aca="false">H156/Resumen!$B$10</f>
        <v>0.0131752305665349</v>
      </c>
      <c r="M156" s="13" t="n">
        <f aca="false">K156/Resumen!$B$10</f>
        <v>0.0131752305665349</v>
      </c>
      <c r="N156" s="22" t="n">
        <f aca="false">M156-L156</f>
        <v>0</v>
      </c>
      <c r="O156" s="13" t="n">
        <f aca="false">G156/Resumen!$B$11</f>
        <v>0</v>
      </c>
      <c r="P156" s="13" t="n">
        <f aca="false">J156/Resumen!$B$11</f>
        <v>0</v>
      </c>
      <c r="Q156" s="4" t="str">
        <f aca="false">IF(S156&gt;=Resumen!$B$8,"AUMENTA",IF(S156&lt;=-Resumen!$B$8,"DISMINUYE","SIN CAMBIO"))</f>
        <v>SIN CAMBIO</v>
      </c>
      <c r="R156" s="4" t="str">
        <f aca="false">IF(AND(M156&lt;=1,P156&lt;=1),"CUMPLE","NO CUMPLE")</f>
        <v>CUMPLE</v>
      </c>
      <c r="S156" s="23" t="n">
        <f aca="false">K156-H156</f>
        <v>0</v>
      </c>
      <c r="T156" s="12" t="n">
        <f aca="false">IF(H156&lt;0.005,"-",K156/H156-1)</f>
        <v>0</v>
      </c>
    </row>
    <row r="157" customFormat="false" ht="15" hidden="false" customHeight="false" outlineLevel="0" collapsed="false">
      <c r="A157" s="4" t="n">
        <v>246</v>
      </c>
      <c r="B157" s="4" t="n">
        <v>23</v>
      </c>
      <c r="C157" s="4" t="s">
        <v>63</v>
      </c>
      <c r="D157" s="4" t="s">
        <v>568</v>
      </c>
      <c r="E157" s="18" t="n">
        <v>1.18</v>
      </c>
      <c r="F157" s="18" t="n">
        <f aca="false">SUMPRODUCT(MAX((Estaciones!$A$5:$A$1064=A157)*ABS(Estaciones!$D$5:$D$1064)))</f>
        <v>0.01</v>
      </c>
      <c r="G157" s="18" t="n">
        <f aca="false">_xlfn.MAXIFS(Estaciones!$T$5:$T$1064,Estaciones!$A$5:$A$1064,A157)</f>
        <v>0</v>
      </c>
      <c r="H157" s="18" t="n">
        <f aca="false">_xlfn.MAXIFS(Estaciones!$R$5:$R$1064,Estaciones!$A$5:$A$1064,A157)</f>
        <v>0.02</v>
      </c>
      <c r="I157" s="18" t="n">
        <f aca="false">SUMPRODUCT(MAX((Estaciones!$A$5:$A$1064=A157)*ABS(Estaciones!$K$5:$K$1064)))</f>
        <v>0</v>
      </c>
      <c r="J157" s="18" t="n">
        <f aca="false">_xlfn.MAXIFS(Estaciones!$U$5:$U$1064,Estaciones!$A$5:$A$1064,A157)</f>
        <v>0</v>
      </c>
      <c r="K157" s="18" t="n">
        <f aca="false">_xlfn.MAXIFS(Estaciones!$S$5:$S$1064,Estaciones!$A$5:$A$1064,A157)</f>
        <v>0.01</v>
      </c>
      <c r="L157" s="13" t="n">
        <f aca="false">H157/Resumen!$B$10</f>
        <v>0.0131752305665349</v>
      </c>
      <c r="M157" s="13" t="n">
        <f aca="false">K157/Resumen!$B$10</f>
        <v>0.00658761528326746</v>
      </c>
      <c r="N157" s="22" t="n">
        <f aca="false">M157-L157</f>
        <v>-0.00658761528326746</v>
      </c>
      <c r="O157" s="13" t="n">
        <f aca="false">G157/Resumen!$B$11</f>
        <v>0</v>
      </c>
      <c r="P157" s="13" t="n">
        <f aca="false">J157/Resumen!$B$11</f>
        <v>0</v>
      </c>
      <c r="Q157" s="4" t="str">
        <f aca="false">IF(S157&gt;=Resumen!$B$8,"AUMENTA",IF(S157&lt;=-Resumen!$B$8,"DISMINUYE","SIN CAMBIO"))</f>
        <v>SIN CAMBIO</v>
      </c>
      <c r="R157" s="4" t="str">
        <f aca="false">IF(AND(M157&lt;=1,P157&lt;=1),"CUMPLE","NO CUMPLE")</f>
        <v>CUMPLE</v>
      </c>
      <c r="S157" s="23" t="n">
        <f aca="false">K157-H157</f>
        <v>-0.01</v>
      </c>
      <c r="T157" s="12" t="n">
        <f aca="false">IF(H157&lt;0.005,"-",K157/H157-1)</f>
        <v>-0.5</v>
      </c>
    </row>
    <row r="158" customFormat="false" ht="15" hidden="false" customHeight="false" outlineLevel="0" collapsed="false">
      <c r="A158" s="4" t="n">
        <v>247</v>
      </c>
      <c r="B158" s="4" t="n">
        <v>24</v>
      </c>
      <c r="C158" s="4" t="s">
        <v>63</v>
      </c>
      <c r="D158" s="4" t="s">
        <v>568</v>
      </c>
      <c r="E158" s="18" t="n">
        <v>1.4</v>
      </c>
      <c r="F158" s="18" t="n">
        <f aca="false">SUMPRODUCT(MAX((Estaciones!$A$5:$A$1064=A158)*ABS(Estaciones!$D$5:$D$1064)))</f>
        <v>0</v>
      </c>
      <c r="G158" s="18" t="n">
        <f aca="false">_xlfn.MAXIFS(Estaciones!$T$5:$T$1064,Estaciones!$A$5:$A$1064,A158)</f>
        <v>0</v>
      </c>
      <c r="H158" s="18" t="n">
        <f aca="false">_xlfn.MAXIFS(Estaciones!$R$5:$R$1064,Estaciones!$A$5:$A$1064,A158)</f>
        <v>0.02</v>
      </c>
      <c r="I158" s="18" t="n">
        <f aca="false">SUMPRODUCT(MAX((Estaciones!$A$5:$A$1064=A158)*ABS(Estaciones!$K$5:$K$1064)))</f>
        <v>0</v>
      </c>
      <c r="J158" s="18" t="n">
        <f aca="false">_xlfn.MAXIFS(Estaciones!$U$5:$U$1064,Estaciones!$A$5:$A$1064,A158)</f>
        <v>0</v>
      </c>
      <c r="K158" s="18" t="n">
        <f aca="false">_xlfn.MAXIFS(Estaciones!$S$5:$S$1064,Estaciones!$A$5:$A$1064,A158)</f>
        <v>0.02</v>
      </c>
      <c r="L158" s="13" t="n">
        <f aca="false">H158/Resumen!$B$10</f>
        <v>0.0131752305665349</v>
      </c>
      <c r="M158" s="13" t="n">
        <f aca="false">K158/Resumen!$B$10</f>
        <v>0.0131752305665349</v>
      </c>
      <c r="N158" s="22" t="n">
        <f aca="false">M158-L158</f>
        <v>0</v>
      </c>
      <c r="O158" s="13" t="n">
        <f aca="false">G158/Resumen!$B$11</f>
        <v>0</v>
      </c>
      <c r="P158" s="13" t="n">
        <f aca="false">J158/Resumen!$B$11</f>
        <v>0</v>
      </c>
      <c r="Q158" s="4" t="str">
        <f aca="false">IF(S158&gt;=Resumen!$B$8,"AUMENTA",IF(S158&lt;=-Resumen!$B$8,"DISMINUYE","SIN CAMBIO"))</f>
        <v>SIN CAMBIO</v>
      </c>
      <c r="R158" s="4" t="str">
        <f aca="false">IF(AND(M158&lt;=1,P158&lt;=1),"CUMPLE","NO CUMPLE")</f>
        <v>CUMPLE</v>
      </c>
      <c r="S158" s="23" t="n">
        <f aca="false">K158-H158</f>
        <v>0</v>
      </c>
      <c r="T158" s="12" t="n">
        <f aca="false">IF(H158&lt;0.005,"-",K158/H158-1)</f>
        <v>0</v>
      </c>
    </row>
    <row r="159" customFormat="false" ht="15" hidden="false" customHeight="false" outlineLevel="0" collapsed="false">
      <c r="A159" s="4" t="n">
        <v>248</v>
      </c>
      <c r="B159" s="4" t="n">
        <v>25</v>
      </c>
      <c r="C159" s="4" t="s">
        <v>63</v>
      </c>
      <c r="D159" s="4" t="s">
        <v>568</v>
      </c>
      <c r="E159" s="18" t="n">
        <v>1.18</v>
      </c>
      <c r="F159" s="18" t="n">
        <f aca="false">SUMPRODUCT(MAX((Estaciones!$A$5:$A$1064=A159)*ABS(Estaciones!$D$5:$D$1064)))</f>
        <v>0</v>
      </c>
      <c r="G159" s="18" t="n">
        <f aca="false">_xlfn.MAXIFS(Estaciones!$T$5:$T$1064,Estaciones!$A$5:$A$1064,A159)</f>
        <v>0</v>
      </c>
      <c r="H159" s="18" t="n">
        <f aca="false">_xlfn.MAXIFS(Estaciones!$R$5:$R$1064,Estaciones!$A$5:$A$1064,A159)</f>
        <v>0.01</v>
      </c>
      <c r="I159" s="18" t="n">
        <f aca="false">SUMPRODUCT(MAX((Estaciones!$A$5:$A$1064=A159)*ABS(Estaciones!$K$5:$K$1064)))</f>
        <v>0</v>
      </c>
      <c r="J159" s="18" t="n">
        <f aca="false">_xlfn.MAXIFS(Estaciones!$U$5:$U$1064,Estaciones!$A$5:$A$1064,A159)</f>
        <v>0</v>
      </c>
      <c r="K159" s="18" t="n">
        <f aca="false">_xlfn.MAXIFS(Estaciones!$S$5:$S$1064,Estaciones!$A$5:$A$1064,A159)</f>
        <v>0.02</v>
      </c>
      <c r="L159" s="13" t="n">
        <f aca="false">H159/Resumen!$B$10</f>
        <v>0.00658761528326746</v>
      </c>
      <c r="M159" s="13" t="n">
        <f aca="false">K159/Resumen!$B$10</f>
        <v>0.0131752305665349</v>
      </c>
      <c r="N159" s="22" t="n">
        <f aca="false">M159-L159</f>
        <v>0.00658761528326746</v>
      </c>
      <c r="O159" s="13" t="n">
        <f aca="false">G159/Resumen!$B$11</f>
        <v>0</v>
      </c>
      <c r="P159" s="13" t="n">
        <f aca="false">J159/Resumen!$B$11</f>
        <v>0</v>
      </c>
      <c r="Q159" s="4" t="str">
        <f aca="false">IF(S159&gt;=Resumen!$B$8,"AUMENTA",IF(S159&lt;=-Resumen!$B$8,"DISMINUYE","SIN CAMBIO"))</f>
        <v>SIN CAMBIO</v>
      </c>
      <c r="R159" s="4" t="str">
        <f aca="false">IF(AND(M159&lt;=1,P159&lt;=1),"CUMPLE","NO CUMPLE")</f>
        <v>CUMPLE</v>
      </c>
      <c r="S159" s="23" t="n">
        <f aca="false">K159-H159</f>
        <v>0.01</v>
      </c>
      <c r="T159" s="12" t="n">
        <f aca="false">IF(H159&lt;0.005,"-",K159/H159-1)</f>
        <v>1</v>
      </c>
    </row>
    <row r="160" customFormat="false" ht="15" hidden="false" customHeight="false" outlineLevel="0" collapsed="false">
      <c r="A160" s="4" t="n">
        <v>249</v>
      </c>
      <c r="B160" s="4" t="n">
        <v>26</v>
      </c>
      <c r="C160" s="4" t="s">
        <v>63</v>
      </c>
      <c r="D160" s="4" t="s">
        <v>568</v>
      </c>
      <c r="E160" s="18" t="n">
        <v>1.4</v>
      </c>
      <c r="F160" s="18" t="n">
        <f aca="false">SUMPRODUCT(MAX((Estaciones!$A$5:$A$1064=A160)*ABS(Estaciones!$D$5:$D$1064)))</f>
        <v>0</v>
      </c>
      <c r="G160" s="18" t="n">
        <f aca="false">_xlfn.MAXIFS(Estaciones!$T$5:$T$1064,Estaciones!$A$5:$A$1064,A160)</f>
        <v>0</v>
      </c>
      <c r="H160" s="18" t="n">
        <f aca="false">_xlfn.MAXIFS(Estaciones!$R$5:$R$1064,Estaciones!$A$5:$A$1064,A160)</f>
        <v>0.02</v>
      </c>
      <c r="I160" s="18" t="n">
        <f aca="false">SUMPRODUCT(MAX((Estaciones!$A$5:$A$1064=A160)*ABS(Estaciones!$K$5:$K$1064)))</f>
        <v>0</v>
      </c>
      <c r="J160" s="18" t="n">
        <f aca="false">_xlfn.MAXIFS(Estaciones!$U$5:$U$1064,Estaciones!$A$5:$A$1064,A160)</f>
        <v>0</v>
      </c>
      <c r="K160" s="18" t="n">
        <f aca="false">_xlfn.MAXIFS(Estaciones!$S$5:$S$1064,Estaciones!$A$5:$A$1064,A160)</f>
        <v>0.02</v>
      </c>
      <c r="L160" s="13" t="n">
        <f aca="false">H160/Resumen!$B$10</f>
        <v>0.0131752305665349</v>
      </c>
      <c r="M160" s="13" t="n">
        <f aca="false">K160/Resumen!$B$10</f>
        <v>0.0131752305665349</v>
      </c>
      <c r="N160" s="22" t="n">
        <f aca="false">M160-L160</f>
        <v>0</v>
      </c>
      <c r="O160" s="13" t="n">
        <f aca="false">G160/Resumen!$B$11</f>
        <v>0</v>
      </c>
      <c r="P160" s="13" t="n">
        <f aca="false">J160/Resumen!$B$11</f>
        <v>0</v>
      </c>
      <c r="Q160" s="4" t="str">
        <f aca="false">IF(S160&gt;=Resumen!$B$8,"AUMENTA",IF(S160&lt;=-Resumen!$B$8,"DISMINUYE","SIN CAMBIO"))</f>
        <v>SIN CAMBIO</v>
      </c>
      <c r="R160" s="4" t="str">
        <f aca="false">IF(AND(M160&lt;=1,P160&lt;=1),"CUMPLE","NO CUMPLE")</f>
        <v>CUMPLE</v>
      </c>
      <c r="S160" s="23" t="n">
        <f aca="false">K160-H160</f>
        <v>0</v>
      </c>
      <c r="T160" s="12" t="n">
        <f aca="false">IF(H160&lt;0.005,"-",K160/H160-1)</f>
        <v>0</v>
      </c>
    </row>
    <row r="161" customFormat="false" ht="15" hidden="false" customHeight="false" outlineLevel="0" collapsed="false">
      <c r="A161" s="4" t="n">
        <v>250</v>
      </c>
      <c r="B161" s="4" t="n">
        <v>27</v>
      </c>
      <c r="C161" s="4" t="s">
        <v>63</v>
      </c>
      <c r="D161" s="4" t="s">
        <v>568</v>
      </c>
      <c r="E161" s="18" t="n">
        <v>1.18</v>
      </c>
      <c r="F161" s="18" t="n">
        <f aca="false">SUMPRODUCT(MAX((Estaciones!$A$5:$A$1064=A161)*ABS(Estaciones!$D$5:$D$1064)))</f>
        <v>0.01</v>
      </c>
      <c r="G161" s="18" t="n">
        <f aca="false">_xlfn.MAXIFS(Estaciones!$T$5:$T$1064,Estaciones!$A$5:$A$1064,A161)</f>
        <v>0</v>
      </c>
      <c r="H161" s="18" t="n">
        <f aca="false">_xlfn.MAXIFS(Estaciones!$R$5:$R$1064,Estaciones!$A$5:$A$1064,A161)</f>
        <v>0.03</v>
      </c>
      <c r="I161" s="18" t="n">
        <f aca="false">SUMPRODUCT(MAX((Estaciones!$A$5:$A$1064=A161)*ABS(Estaciones!$K$5:$K$1064)))</f>
        <v>0.01</v>
      </c>
      <c r="J161" s="18" t="n">
        <f aca="false">_xlfn.MAXIFS(Estaciones!$U$5:$U$1064,Estaciones!$A$5:$A$1064,A161)</f>
        <v>0</v>
      </c>
      <c r="K161" s="18" t="n">
        <f aca="false">_xlfn.MAXIFS(Estaciones!$S$5:$S$1064,Estaciones!$A$5:$A$1064,A161)</f>
        <v>0.03</v>
      </c>
      <c r="L161" s="13" t="n">
        <f aca="false">H161/Resumen!$B$10</f>
        <v>0.0197628458498024</v>
      </c>
      <c r="M161" s="13" t="n">
        <f aca="false">K161/Resumen!$B$10</f>
        <v>0.0197628458498024</v>
      </c>
      <c r="N161" s="22" t="n">
        <f aca="false">M161-L161</f>
        <v>0</v>
      </c>
      <c r="O161" s="13" t="n">
        <f aca="false">G161/Resumen!$B$11</f>
        <v>0</v>
      </c>
      <c r="P161" s="13" t="n">
        <f aca="false">J161/Resumen!$B$11</f>
        <v>0</v>
      </c>
      <c r="Q161" s="4" t="str">
        <f aca="false">IF(S161&gt;=Resumen!$B$8,"AUMENTA",IF(S161&lt;=-Resumen!$B$8,"DISMINUYE","SIN CAMBIO"))</f>
        <v>SIN CAMBIO</v>
      </c>
      <c r="R161" s="4" t="str">
        <f aca="false">IF(AND(M161&lt;=1,P161&lt;=1),"CUMPLE","NO CUMPLE")</f>
        <v>CUMPLE</v>
      </c>
      <c r="S161" s="23" t="n">
        <f aca="false">K161-H161</f>
        <v>0</v>
      </c>
      <c r="T161" s="12" t="n">
        <f aca="false">IF(H161&lt;0.005,"-",K161/H161-1)</f>
        <v>0</v>
      </c>
    </row>
    <row r="162" customFormat="false" ht="15" hidden="false" customHeight="false" outlineLevel="0" collapsed="false">
      <c r="A162" s="4" t="n">
        <v>251</v>
      </c>
      <c r="B162" s="4" t="n">
        <v>28</v>
      </c>
      <c r="C162" s="4" t="s">
        <v>63</v>
      </c>
      <c r="D162" s="4" t="s">
        <v>568</v>
      </c>
      <c r="E162" s="18" t="n">
        <v>1.4</v>
      </c>
      <c r="F162" s="18" t="n">
        <f aca="false">SUMPRODUCT(MAX((Estaciones!$A$5:$A$1064=A162)*ABS(Estaciones!$D$5:$D$1064)))</f>
        <v>0.01</v>
      </c>
      <c r="G162" s="18" t="n">
        <f aca="false">_xlfn.MAXIFS(Estaciones!$T$5:$T$1064,Estaciones!$A$5:$A$1064,A162)</f>
        <v>0</v>
      </c>
      <c r="H162" s="18" t="n">
        <f aca="false">_xlfn.MAXIFS(Estaciones!$R$5:$R$1064,Estaciones!$A$5:$A$1064,A162)</f>
        <v>0.03</v>
      </c>
      <c r="I162" s="18" t="n">
        <f aca="false">SUMPRODUCT(MAX((Estaciones!$A$5:$A$1064=A162)*ABS(Estaciones!$K$5:$K$1064)))</f>
        <v>0.01</v>
      </c>
      <c r="J162" s="18" t="n">
        <f aca="false">_xlfn.MAXIFS(Estaciones!$U$5:$U$1064,Estaciones!$A$5:$A$1064,A162)</f>
        <v>0</v>
      </c>
      <c r="K162" s="18" t="n">
        <f aca="false">_xlfn.MAXIFS(Estaciones!$S$5:$S$1064,Estaciones!$A$5:$A$1064,A162)</f>
        <v>0.04</v>
      </c>
      <c r="L162" s="13" t="n">
        <f aca="false">H162/Resumen!$B$10</f>
        <v>0.0197628458498024</v>
      </c>
      <c r="M162" s="13" t="n">
        <f aca="false">K162/Resumen!$B$10</f>
        <v>0.0263504611330698</v>
      </c>
      <c r="N162" s="22" t="n">
        <f aca="false">M162-L162</f>
        <v>0.00658761528326746</v>
      </c>
      <c r="O162" s="13" t="n">
        <f aca="false">G162/Resumen!$B$11</f>
        <v>0</v>
      </c>
      <c r="P162" s="13" t="n">
        <f aca="false">J162/Resumen!$B$11</f>
        <v>0</v>
      </c>
      <c r="Q162" s="4" t="str">
        <f aca="false">IF(S162&gt;=Resumen!$B$8,"AUMENTA",IF(S162&lt;=-Resumen!$B$8,"DISMINUYE","SIN CAMBIO"))</f>
        <v>SIN CAMBIO</v>
      </c>
      <c r="R162" s="4" t="str">
        <f aca="false">IF(AND(M162&lt;=1,P162&lt;=1),"CUMPLE","NO CUMPLE")</f>
        <v>CUMPLE</v>
      </c>
      <c r="S162" s="23" t="n">
        <f aca="false">K162-H162</f>
        <v>0.01</v>
      </c>
      <c r="T162" s="12" t="n">
        <f aca="false">IF(H162&lt;0.005,"-",K162/H162-1)</f>
        <v>0.333333333333334</v>
      </c>
    </row>
    <row r="163" customFormat="false" ht="15" hidden="false" customHeight="false" outlineLevel="0" collapsed="false">
      <c r="A163" s="4" t="n">
        <v>270</v>
      </c>
      <c r="B163" s="4" t="n">
        <v>47</v>
      </c>
      <c r="C163" s="4" t="s">
        <v>63</v>
      </c>
      <c r="D163" s="4" t="s">
        <v>568</v>
      </c>
      <c r="E163" s="18" t="n">
        <v>0.11</v>
      </c>
      <c r="F163" s="18" t="n">
        <f aca="false">SUMPRODUCT(MAX((Estaciones!$A$5:$A$1064=A163)*ABS(Estaciones!$D$5:$D$1064)))</f>
        <v>0</v>
      </c>
      <c r="G163" s="18" t="n">
        <f aca="false">_xlfn.MAXIFS(Estaciones!$T$5:$T$1064,Estaciones!$A$5:$A$1064,A163)</f>
        <v>0</v>
      </c>
      <c r="H163" s="18" t="n">
        <f aca="false">_xlfn.MAXIFS(Estaciones!$R$5:$R$1064,Estaciones!$A$5:$A$1064,A163)</f>
        <v>0</v>
      </c>
      <c r="I163" s="18" t="n">
        <f aca="false">SUMPRODUCT(MAX((Estaciones!$A$5:$A$1064=A163)*ABS(Estaciones!$K$5:$K$1064)))</f>
        <v>0</v>
      </c>
      <c r="J163" s="18" t="n">
        <f aca="false">_xlfn.MAXIFS(Estaciones!$U$5:$U$1064,Estaciones!$A$5:$A$1064,A163)</f>
        <v>0</v>
      </c>
      <c r="K163" s="18" t="n">
        <f aca="false">_xlfn.MAXIFS(Estaciones!$S$5:$S$1064,Estaciones!$A$5:$A$1064,A163)</f>
        <v>0</v>
      </c>
      <c r="L163" s="13" t="n">
        <f aca="false">H163/Resumen!$B$10</f>
        <v>0</v>
      </c>
      <c r="M163" s="13" t="n">
        <f aca="false">K163/Resumen!$B$10</f>
        <v>0</v>
      </c>
      <c r="N163" s="22" t="n">
        <f aca="false">M163-L163</f>
        <v>0</v>
      </c>
      <c r="O163" s="13" t="n">
        <f aca="false">G163/Resumen!$B$11</f>
        <v>0</v>
      </c>
      <c r="P163" s="13" t="n">
        <f aca="false">J163/Resumen!$B$11</f>
        <v>0</v>
      </c>
      <c r="Q163" s="4" t="str">
        <f aca="false">IF(S163&gt;=Resumen!$B$8,"AUMENTA",IF(S163&lt;=-Resumen!$B$8,"DISMINUYE","SIN CAMBIO"))</f>
        <v>SIN CAMBIO</v>
      </c>
      <c r="R163" s="4" t="str">
        <f aca="false">IF(AND(M163&lt;=1,P163&lt;=1),"CUMPLE","NO CUMPLE")</f>
        <v>CUMPLE</v>
      </c>
      <c r="S163" s="23" t="n">
        <f aca="false">K163-H163</f>
        <v>0</v>
      </c>
      <c r="T163" s="12" t="str">
        <f aca="false">IF(H163&lt;0.005,"-",K163/H163-1)</f>
        <v>-</v>
      </c>
    </row>
    <row r="164" customFormat="false" ht="15" hidden="false" customHeight="false" outlineLevel="0" collapsed="false">
      <c r="A164" s="4" t="n">
        <v>271</v>
      </c>
      <c r="B164" s="4" t="n">
        <v>48</v>
      </c>
      <c r="C164" s="4" t="s">
        <v>63</v>
      </c>
      <c r="D164" s="4" t="s">
        <v>568</v>
      </c>
      <c r="E164" s="18" t="n">
        <v>0.11</v>
      </c>
      <c r="F164" s="18" t="n">
        <f aca="false">SUMPRODUCT(MAX((Estaciones!$A$5:$A$1064=A164)*ABS(Estaciones!$D$5:$D$1064)))</f>
        <v>0</v>
      </c>
      <c r="G164" s="18" t="n">
        <f aca="false">_xlfn.MAXIFS(Estaciones!$T$5:$T$1064,Estaciones!$A$5:$A$1064,A164)</f>
        <v>0</v>
      </c>
      <c r="H164" s="18" t="n">
        <f aca="false">_xlfn.MAXIFS(Estaciones!$R$5:$R$1064,Estaciones!$A$5:$A$1064,A164)</f>
        <v>0</v>
      </c>
      <c r="I164" s="18" t="n">
        <f aca="false">SUMPRODUCT(MAX((Estaciones!$A$5:$A$1064=A164)*ABS(Estaciones!$K$5:$K$1064)))</f>
        <v>0</v>
      </c>
      <c r="J164" s="18" t="n">
        <f aca="false">_xlfn.MAXIFS(Estaciones!$U$5:$U$1064,Estaciones!$A$5:$A$1064,A164)</f>
        <v>0</v>
      </c>
      <c r="K164" s="18" t="n">
        <f aca="false">_xlfn.MAXIFS(Estaciones!$S$5:$S$1064,Estaciones!$A$5:$A$1064,A164)</f>
        <v>0</v>
      </c>
      <c r="L164" s="13" t="n">
        <f aca="false">H164/Resumen!$B$10</f>
        <v>0</v>
      </c>
      <c r="M164" s="13" t="n">
        <f aca="false">K164/Resumen!$B$10</f>
        <v>0</v>
      </c>
      <c r="N164" s="22" t="n">
        <f aca="false">M164-L164</f>
        <v>0</v>
      </c>
      <c r="O164" s="13" t="n">
        <f aca="false">G164/Resumen!$B$11</f>
        <v>0</v>
      </c>
      <c r="P164" s="13" t="n">
        <f aca="false">J164/Resumen!$B$11</f>
        <v>0</v>
      </c>
      <c r="Q164" s="4" t="str">
        <f aca="false">IF(S164&gt;=Resumen!$B$8,"AUMENTA",IF(S164&lt;=-Resumen!$B$8,"DISMINUYE","SIN CAMBIO"))</f>
        <v>SIN CAMBIO</v>
      </c>
      <c r="R164" s="4" t="str">
        <f aca="false">IF(AND(M164&lt;=1,P164&lt;=1),"CUMPLE","NO CUMPLE")</f>
        <v>CUMPLE</v>
      </c>
      <c r="S164" s="23" t="n">
        <f aca="false">K164-H164</f>
        <v>0</v>
      </c>
      <c r="T164" s="12" t="str">
        <f aca="false">IF(H164&lt;0.005,"-",K164/H164-1)</f>
        <v>-</v>
      </c>
    </row>
    <row r="165" customFormat="false" ht="15" hidden="false" customHeight="false" outlineLevel="0" collapsed="false">
      <c r="A165" s="4" t="n">
        <v>272</v>
      </c>
      <c r="B165" s="4" t="n">
        <v>49</v>
      </c>
      <c r="C165" s="4" t="s">
        <v>63</v>
      </c>
      <c r="D165" s="4" t="s">
        <v>568</v>
      </c>
      <c r="E165" s="18" t="n">
        <v>0.11</v>
      </c>
      <c r="F165" s="18" t="n">
        <f aca="false">SUMPRODUCT(MAX((Estaciones!$A$5:$A$1064=A165)*ABS(Estaciones!$D$5:$D$1064)))</f>
        <v>0</v>
      </c>
      <c r="G165" s="18" t="n">
        <f aca="false">_xlfn.MAXIFS(Estaciones!$T$5:$T$1064,Estaciones!$A$5:$A$1064,A165)</f>
        <v>0</v>
      </c>
      <c r="H165" s="18" t="n">
        <f aca="false">_xlfn.MAXIFS(Estaciones!$R$5:$R$1064,Estaciones!$A$5:$A$1064,A165)</f>
        <v>0</v>
      </c>
      <c r="I165" s="18" t="n">
        <f aca="false">SUMPRODUCT(MAX((Estaciones!$A$5:$A$1064=A165)*ABS(Estaciones!$K$5:$K$1064)))</f>
        <v>0</v>
      </c>
      <c r="J165" s="18" t="n">
        <f aca="false">_xlfn.MAXIFS(Estaciones!$U$5:$U$1064,Estaciones!$A$5:$A$1064,A165)</f>
        <v>0</v>
      </c>
      <c r="K165" s="18" t="n">
        <f aca="false">_xlfn.MAXIFS(Estaciones!$S$5:$S$1064,Estaciones!$A$5:$A$1064,A165)</f>
        <v>0</v>
      </c>
      <c r="L165" s="13" t="n">
        <f aca="false">H165/Resumen!$B$10</f>
        <v>0</v>
      </c>
      <c r="M165" s="13" t="n">
        <f aca="false">K165/Resumen!$B$10</f>
        <v>0</v>
      </c>
      <c r="N165" s="22" t="n">
        <f aca="false">M165-L165</f>
        <v>0</v>
      </c>
      <c r="O165" s="13" t="n">
        <f aca="false">G165/Resumen!$B$11</f>
        <v>0</v>
      </c>
      <c r="P165" s="13" t="n">
        <f aca="false">J165/Resumen!$B$11</f>
        <v>0</v>
      </c>
      <c r="Q165" s="4" t="str">
        <f aca="false">IF(S165&gt;=Resumen!$B$8,"AUMENTA",IF(S165&lt;=-Resumen!$B$8,"DISMINUYE","SIN CAMBIO"))</f>
        <v>SIN CAMBIO</v>
      </c>
      <c r="R165" s="4" t="str">
        <f aca="false">IF(AND(M165&lt;=1,P165&lt;=1),"CUMPLE","NO CUMPLE")</f>
        <v>CUMPLE</v>
      </c>
      <c r="S165" s="23" t="n">
        <f aca="false">K165-H165</f>
        <v>0</v>
      </c>
      <c r="T165" s="12" t="str">
        <f aca="false">IF(H165&lt;0.005,"-",K165/H165-1)</f>
        <v>-</v>
      </c>
    </row>
    <row r="166" customFormat="false" ht="15" hidden="false" customHeight="false" outlineLevel="0" collapsed="false">
      <c r="A166" s="4" t="n">
        <v>273</v>
      </c>
      <c r="B166" s="4" t="n">
        <v>50</v>
      </c>
      <c r="C166" s="4" t="s">
        <v>63</v>
      </c>
      <c r="D166" s="4" t="s">
        <v>568</v>
      </c>
      <c r="E166" s="18" t="n">
        <v>0.11</v>
      </c>
      <c r="F166" s="18" t="n">
        <f aca="false">SUMPRODUCT(MAX((Estaciones!$A$5:$A$1064=A166)*ABS(Estaciones!$D$5:$D$1064)))</f>
        <v>0</v>
      </c>
      <c r="G166" s="18" t="n">
        <f aca="false">_xlfn.MAXIFS(Estaciones!$T$5:$T$1064,Estaciones!$A$5:$A$1064,A166)</f>
        <v>0</v>
      </c>
      <c r="H166" s="18" t="n">
        <f aca="false">_xlfn.MAXIFS(Estaciones!$R$5:$R$1064,Estaciones!$A$5:$A$1064,A166)</f>
        <v>0</v>
      </c>
      <c r="I166" s="18" t="n">
        <f aca="false">SUMPRODUCT(MAX((Estaciones!$A$5:$A$1064=A166)*ABS(Estaciones!$K$5:$K$1064)))</f>
        <v>0</v>
      </c>
      <c r="J166" s="18" t="n">
        <f aca="false">_xlfn.MAXIFS(Estaciones!$U$5:$U$1064,Estaciones!$A$5:$A$1064,A166)</f>
        <v>0</v>
      </c>
      <c r="K166" s="18" t="n">
        <f aca="false">_xlfn.MAXIFS(Estaciones!$S$5:$S$1064,Estaciones!$A$5:$A$1064,A166)</f>
        <v>0</v>
      </c>
      <c r="L166" s="13" t="n">
        <f aca="false">H166/Resumen!$B$10</f>
        <v>0</v>
      </c>
      <c r="M166" s="13" t="n">
        <f aca="false">K166/Resumen!$B$10</f>
        <v>0</v>
      </c>
      <c r="N166" s="22" t="n">
        <f aca="false">M166-L166</f>
        <v>0</v>
      </c>
      <c r="O166" s="13" t="n">
        <f aca="false">G166/Resumen!$B$11</f>
        <v>0</v>
      </c>
      <c r="P166" s="13" t="n">
        <f aca="false">J166/Resumen!$B$11</f>
        <v>0</v>
      </c>
      <c r="Q166" s="4" t="str">
        <f aca="false">IF(S166&gt;=Resumen!$B$8,"AUMENTA",IF(S166&lt;=-Resumen!$B$8,"DISMINUYE","SIN CAMBIO"))</f>
        <v>SIN CAMBIO</v>
      </c>
      <c r="R166" s="4" t="str">
        <f aca="false">IF(AND(M166&lt;=1,P166&lt;=1),"CUMPLE","NO CUMPLE")</f>
        <v>CUMPLE</v>
      </c>
      <c r="S166" s="23" t="n">
        <f aca="false">K166-H166</f>
        <v>0</v>
      </c>
      <c r="T166" s="12" t="str">
        <f aca="false">IF(H166&lt;0.005,"-",K166/H166-1)</f>
        <v>-</v>
      </c>
    </row>
    <row r="167" customFormat="false" ht="15" hidden="false" customHeight="false" outlineLevel="0" collapsed="false">
      <c r="A167" s="4" t="n">
        <v>274</v>
      </c>
      <c r="B167" s="4" t="n">
        <v>51</v>
      </c>
      <c r="C167" s="4" t="s">
        <v>63</v>
      </c>
      <c r="D167" s="4" t="s">
        <v>568</v>
      </c>
      <c r="E167" s="18" t="n">
        <v>0.11</v>
      </c>
      <c r="F167" s="18" t="n">
        <f aca="false">SUMPRODUCT(MAX((Estaciones!$A$5:$A$1064=A167)*ABS(Estaciones!$D$5:$D$1064)))</f>
        <v>0</v>
      </c>
      <c r="G167" s="18" t="n">
        <f aca="false">_xlfn.MAXIFS(Estaciones!$T$5:$T$1064,Estaciones!$A$5:$A$1064,A167)</f>
        <v>0</v>
      </c>
      <c r="H167" s="18" t="n">
        <f aca="false">_xlfn.MAXIFS(Estaciones!$R$5:$R$1064,Estaciones!$A$5:$A$1064,A167)</f>
        <v>0</v>
      </c>
      <c r="I167" s="18" t="n">
        <f aca="false">SUMPRODUCT(MAX((Estaciones!$A$5:$A$1064=A167)*ABS(Estaciones!$K$5:$K$1064)))</f>
        <v>0</v>
      </c>
      <c r="J167" s="18" t="n">
        <f aca="false">_xlfn.MAXIFS(Estaciones!$U$5:$U$1064,Estaciones!$A$5:$A$1064,A167)</f>
        <v>0</v>
      </c>
      <c r="K167" s="18" t="n">
        <f aca="false">_xlfn.MAXIFS(Estaciones!$S$5:$S$1064,Estaciones!$A$5:$A$1064,A167)</f>
        <v>0</v>
      </c>
      <c r="L167" s="13" t="n">
        <f aca="false">H167/Resumen!$B$10</f>
        <v>0</v>
      </c>
      <c r="M167" s="13" t="n">
        <f aca="false">K167/Resumen!$B$10</f>
        <v>0</v>
      </c>
      <c r="N167" s="22" t="n">
        <f aca="false">M167-L167</f>
        <v>0</v>
      </c>
      <c r="O167" s="13" t="n">
        <f aca="false">G167/Resumen!$B$11</f>
        <v>0</v>
      </c>
      <c r="P167" s="13" t="n">
        <f aca="false">J167/Resumen!$B$11</f>
        <v>0</v>
      </c>
      <c r="Q167" s="4" t="str">
        <f aca="false">IF(S167&gt;=Resumen!$B$8,"AUMENTA",IF(S167&lt;=-Resumen!$B$8,"DISMINUYE","SIN CAMBIO"))</f>
        <v>SIN CAMBIO</v>
      </c>
      <c r="R167" s="4" t="str">
        <f aca="false">IF(AND(M167&lt;=1,P167&lt;=1),"CUMPLE","NO CUMPLE")</f>
        <v>CUMPLE</v>
      </c>
      <c r="S167" s="23" t="n">
        <f aca="false">K167-H167</f>
        <v>0</v>
      </c>
      <c r="T167" s="12" t="str">
        <f aca="false">IF(H167&lt;0.005,"-",K167/H167-1)</f>
        <v>-</v>
      </c>
    </row>
    <row r="168" customFormat="false" ht="15" hidden="false" customHeight="false" outlineLevel="0" collapsed="false">
      <c r="A168" s="4" t="n">
        <v>275</v>
      </c>
      <c r="B168" s="4" t="n">
        <v>52</v>
      </c>
      <c r="C168" s="4" t="s">
        <v>63</v>
      </c>
      <c r="D168" s="4" t="s">
        <v>568</v>
      </c>
      <c r="E168" s="18" t="n">
        <v>0.11</v>
      </c>
      <c r="F168" s="18" t="n">
        <f aca="false">SUMPRODUCT(MAX((Estaciones!$A$5:$A$1064=A168)*ABS(Estaciones!$D$5:$D$1064)))</f>
        <v>0</v>
      </c>
      <c r="G168" s="18" t="n">
        <f aca="false">_xlfn.MAXIFS(Estaciones!$T$5:$T$1064,Estaciones!$A$5:$A$1064,A168)</f>
        <v>0</v>
      </c>
      <c r="H168" s="18" t="n">
        <f aca="false">_xlfn.MAXIFS(Estaciones!$R$5:$R$1064,Estaciones!$A$5:$A$1064,A168)</f>
        <v>0</v>
      </c>
      <c r="I168" s="18" t="n">
        <f aca="false">SUMPRODUCT(MAX((Estaciones!$A$5:$A$1064=A168)*ABS(Estaciones!$K$5:$K$1064)))</f>
        <v>0</v>
      </c>
      <c r="J168" s="18" t="n">
        <f aca="false">_xlfn.MAXIFS(Estaciones!$U$5:$U$1064,Estaciones!$A$5:$A$1064,A168)</f>
        <v>0</v>
      </c>
      <c r="K168" s="18" t="n">
        <f aca="false">_xlfn.MAXIFS(Estaciones!$S$5:$S$1064,Estaciones!$A$5:$A$1064,A168)</f>
        <v>0</v>
      </c>
      <c r="L168" s="13" t="n">
        <f aca="false">H168/Resumen!$B$10</f>
        <v>0</v>
      </c>
      <c r="M168" s="13" t="n">
        <f aca="false">K168/Resumen!$B$10</f>
        <v>0</v>
      </c>
      <c r="N168" s="22" t="n">
        <f aca="false">M168-L168</f>
        <v>0</v>
      </c>
      <c r="O168" s="13" t="n">
        <f aca="false">G168/Resumen!$B$11</f>
        <v>0</v>
      </c>
      <c r="P168" s="13" t="n">
        <f aca="false">J168/Resumen!$B$11</f>
        <v>0</v>
      </c>
      <c r="Q168" s="4" t="str">
        <f aca="false">IF(S168&gt;=Resumen!$B$8,"AUMENTA",IF(S168&lt;=-Resumen!$B$8,"DISMINUYE","SIN CAMBIO"))</f>
        <v>SIN CAMBIO</v>
      </c>
      <c r="R168" s="4" t="str">
        <f aca="false">IF(AND(M168&lt;=1,P168&lt;=1),"CUMPLE","NO CUMPLE")</f>
        <v>CUMPLE</v>
      </c>
      <c r="S168" s="23" t="n">
        <f aca="false">K168-H168</f>
        <v>0</v>
      </c>
      <c r="T168" s="12" t="str">
        <f aca="false">IF(H168&lt;0.005,"-",K168/H168-1)</f>
        <v>-</v>
      </c>
    </row>
    <row r="169" customFormat="false" ht="15" hidden="false" customHeight="false" outlineLevel="0" collapsed="false">
      <c r="A169" s="4" t="n">
        <v>276</v>
      </c>
      <c r="B169" s="4" t="n">
        <v>53</v>
      </c>
      <c r="C169" s="4" t="s">
        <v>63</v>
      </c>
      <c r="D169" s="4" t="s">
        <v>568</v>
      </c>
      <c r="E169" s="18" t="n">
        <v>0.11</v>
      </c>
      <c r="F169" s="18" t="n">
        <f aca="false">SUMPRODUCT(MAX((Estaciones!$A$5:$A$1064=A169)*ABS(Estaciones!$D$5:$D$1064)))</f>
        <v>0</v>
      </c>
      <c r="G169" s="18" t="n">
        <f aca="false">_xlfn.MAXIFS(Estaciones!$T$5:$T$1064,Estaciones!$A$5:$A$1064,A169)</f>
        <v>0</v>
      </c>
      <c r="H169" s="18" t="n">
        <f aca="false">_xlfn.MAXIFS(Estaciones!$R$5:$R$1064,Estaciones!$A$5:$A$1064,A169)</f>
        <v>0</v>
      </c>
      <c r="I169" s="18" t="n">
        <f aca="false">SUMPRODUCT(MAX((Estaciones!$A$5:$A$1064=A169)*ABS(Estaciones!$K$5:$K$1064)))</f>
        <v>0</v>
      </c>
      <c r="J169" s="18" t="n">
        <f aca="false">_xlfn.MAXIFS(Estaciones!$U$5:$U$1064,Estaciones!$A$5:$A$1064,A169)</f>
        <v>0</v>
      </c>
      <c r="K169" s="18" t="n">
        <f aca="false">_xlfn.MAXIFS(Estaciones!$S$5:$S$1064,Estaciones!$A$5:$A$1064,A169)</f>
        <v>0</v>
      </c>
      <c r="L169" s="13" t="n">
        <f aca="false">H169/Resumen!$B$10</f>
        <v>0</v>
      </c>
      <c r="M169" s="13" t="n">
        <f aca="false">K169/Resumen!$B$10</f>
        <v>0</v>
      </c>
      <c r="N169" s="22" t="n">
        <f aca="false">M169-L169</f>
        <v>0</v>
      </c>
      <c r="O169" s="13" t="n">
        <f aca="false">G169/Resumen!$B$11</f>
        <v>0</v>
      </c>
      <c r="P169" s="13" t="n">
        <f aca="false">J169/Resumen!$B$11</f>
        <v>0</v>
      </c>
      <c r="Q169" s="4" t="str">
        <f aca="false">IF(S169&gt;=Resumen!$B$8,"AUMENTA",IF(S169&lt;=-Resumen!$B$8,"DISMINUYE","SIN CAMBIO"))</f>
        <v>SIN CAMBIO</v>
      </c>
      <c r="R169" s="4" t="str">
        <f aca="false">IF(AND(M169&lt;=1,P169&lt;=1),"CUMPLE","NO CUMPLE")</f>
        <v>CUMPLE</v>
      </c>
      <c r="S169" s="23" t="n">
        <f aca="false">K169-H169</f>
        <v>0</v>
      </c>
      <c r="T169" s="12" t="str">
        <f aca="false">IF(H169&lt;0.005,"-",K169/H169-1)</f>
        <v>-</v>
      </c>
    </row>
    <row r="170" customFormat="false" ht="15" hidden="false" customHeight="false" outlineLevel="0" collapsed="false">
      <c r="A170" s="4" t="n">
        <v>277</v>
      </c>
      <c r="B170" s="4" t="n">
        <v>54</v>
      </c>
      <c r="C170" s="4" t="s">
        <v>63</v>
      </c>
      <c r="D170" s="4" t="s">
        <v>568</v>
      </c>
      <c r="E170" s="18" t="n">
        <v>0.11</v>
      </c>
      <c r="F170" s="18" t="n">
        <f aca="false">SUMPRODUCT(MAX((Estaciones!$A$5:$A$1064=A170)*ABS(Estaciones!$D$5:$D$1064)))</f>
        <v>0</v>
      </c>
      <c r="G170" s="18" t="n">
        <f aca="false">_xlfn.MAXIFS(Estaciones!$T$5:$T$1064,Estaciones!$A$5:$A$1064,A170)</f>
        <v>0</v>
      </c>
      <c r="H170" s="18" t="n">
        <f aca="false">_xlfn.MAXIFS(Estaciones!$R$5:$R$1064,Estaciones!$A$5:$A$1064,A170)</f>
        <v>0</v>
      </c>
      <c r="I170" s="18" t="n">
        <f aca="false">SUMPRODUCT(MAX((Estaciones!$A$5:$A$1064=A170)*ABS(Estaciones!$K$5:$K$1064)))</f>
        <v>0</v>
      </c>
      <c r="J170" s="18" t="n">
        <f aca="false">_xlfn.MAXIFS(Estaciones!$U$5:$U$1064,Estaciones!$A$5:$A$1064,A170)</f>
        <v>0</v>
      </c>
      <c r="K170" s="18" t="n">
        <f aca="false">_xlfn.MAXIFS(Estaciones!$S$5:$S$1064,Estaciones!$A$5:$A$1064,A170)</f>
        <v>0</v>
      </c>
      <c r="L170" s="13" t="n">
        <f aca="false">H170/Resumen!$B$10</f>
        <v>0</v>
      </c>
      <c r="M170" s="13" t="n">
        <f aca="false">K170/Resumen!$B$10</f>
        <v>0</v>
      </c>
      <c r="N170" s="22" t="n">
        <f aca="false">M170-L170</f>
        <v>0</v>
      </c>
      <c r="O170" s="13" t="n">
        <f aca="false">G170/Resumen!$B$11</f>
        <v>0</v>
      </c>
      <c r="P170" s="13" t="n">
        <f aca="false">J170/Resumen!$B$11</f>
        <v>0</v>
      </c>
      <c r="Q170" s="4" t="str">
        <f aca="false">IF(S170&gt;=Resumen!$B$8,"AUMENTA",IF(S170&lt;=-Resumen!$B$8,"DISMINUYE","SIN CAMBIO"))</f>
        <v>SIN CAMBIO</v>
      </c>
      <c r="R170" s="4" t="str">
        <f aca="false">IF(AND(M170&lt;=1,P170&lt;=1),"CUMPLE","NO CUMPLE")</f>
        <v>CUMPLE</v>
      </c>
      <c r="S170" s="23" t="n">
        <f aca="false">K170-H170</f>
        <v>0</v>
      </c>
      <c r="T170" s="12" t="str">
        <f aca="false">IF(H170&lt;0.005,"-",K170/H170-1)</f>
        <v>-</v>
      </c>
    </row>
    <row r="171" customFormat="false" ht="15" hidden="false" customHeight="false" outlineLevel="0" collapsed="false">
      <c r="A171" s="4" t="n">
        <v>281</v>
      </c>
      <c r="B171" s="4" t="n">
        <v>58</v>
      </c>
      <c r="C171" s="4" t="s">
        <v>63</v>
      </c>
      <c r="D171" s="4" t="s">
        <v>568</v>
      </c>
      <c r="E171" s="18" t="n">
        <v>1.18</v>
      </c>
      <c r="F171" s="18" t="n">
        <f aca="false">SUMPRODUCT(MAX((Estaciones!$A$5:$A$1064=A171)*ABS(Estaciones!$D$5:$D$1064)))</f>
        <v>0.02</v>
      </c>
      <c r="G171" s="18" t="n">
        <f aca="false">_xlfn.MAXIFS(Estaciones!$T$5:$T$1064,Estaciones!$A$5:$A$1064,A171)</f>
        <v>0.01</v>
      </c>
      <c r="H171" s="18" t="n">
        <f aca="false">_xlfn.MAXIFS(Estaciones!$R$5:$R$1064,Estaciones!$A$5:$A$1064,A171)</f>
        <v>0.1</v>
      </c>
      <c r="I171" s="18" t="n">
        <f aca="false">SUMPRODUCT(MAX((Estaciones!$A$5:$A$1064=A171)*ABS(Estaciones!$K$5:$K$1064)))</f>
        <v>0.02</v>
      </c>
      <c r="J171" s="18" t="n">
        <f aca="false">_xlfn.MAXIFS(Estaciones!$U$5:$U$1064,Estaciones!$A$5:$A$1064,A171)</f>
        <v>0.01</v>
      </c>
      <c r="K171" s="18" t="n">
        <f aca="false">_xlfn.MAXIFS(Estaciones!$S$5:$S$1064,Estaciones!$A$5:$A$1064,A171)</f>
        <v>0.11</v>
      </c>
      <c r="L171" s="13" t="n">
        <f aca="false">H171/Resumen!$B$10</f>
        <v>0.0658761528326746</v>
      </c>
      <c r="M171" s="13" t="n">
        <f aca="false">K171/Resumen!$B$10</f>
        <v>0.0724637681159421</v>
      </c>
      <c r="N171" s="22" t="n">
        <f aca="false">M171-L171</f>
        <v>0.00658761528326746</v>
      </c>
      <c r="O171" s="13" t="n">
        <f aca="false">G171/Resumen!$B$11</f>
        <v>0.00988142292490119</v>
      </c>
      <c r="P171" s="13" t="n">
        <f aca="false">J171/Resumen!$B$11</f>
        <v>0.00988142292490119</v>
      </c>
      <c r="Q171" s="4" t="str">
        <f aca="false">IF(S171&gt;=Resumen!$B$8,"AUMENTA",IF(S171&lt;=-Resumen!$B$8,"DISMINUYE","SIN CAMBIO"))</f>
        <v>SIN CAMBIO</v>
      </c>
      <c r="R171" s="4" t="str">
        <f aca="false">IF(AND(M171&lt;=1,P171&lt;=1),"CUMPLE","NO CUMPLE")</f>
        <v>CUMPLE</v>
      </c>
      <c r="S171" s="23" t="n">
        <f aca="false">K171-H171</f>
        <v>0.01</v>
      </c>
      <c r="T171" s="12" t="n">
        <f aca="false">IF(H171&lt;0.005,"-",K171/H171-1)</f>
        <v>0.0999999999999999</v>
      </c>
    </row>
    <row r="172" customFormat="false" ht="15" hidden="false" customHeight="false" outlineLevel="0" collapsed="false">
      <c r="A172" s="4" t="n">
        <v>282</v>
      </c>
      <c r="B172" s="4" t="n">
        <v>59</v>
      </c>
      <c r="C172" s="4" t="s">
        <v>63</v>
      </c>
      <c r="D172" s="4" t="s">
        <v>568</v>
      </c>
      <c r="E172" s="18" t="n">
        <v>1.4</v>
      </c>
      <c r="F172" s="18" t="n">
        <f aca="false">SUMPRODUCT(MAX((Estaciones!$A$5:$A$1064=A172)*ABS(Estaciones!$D$5:$D$1064)))</f>
        <v>0.02</v>
      </c>
      <c r="G172" s="18" t="n">
        <f aca="false">_xlfn.MAXIFS(Estaciones!$T$5:$T$1064,Estaciones!$A$5:$A$1064,A172)</f>
        <v>0</v>
      </c>
      <c r="H172" s="18" t="n">
        <f aca="false">_xlfn.MAXIFS(Estaciones!$R$5:$R$1064,Estaciones!$A$5:$A$1064,A172)</f>
        <v>0.07</v>
      </c>
      <c r="I172" s="18" t="n">
        <f aca="false">SUMPRODUCT(MAX((Estaciones!$A$5:$A$1064=A172)*ABS(Estaciones!$K$5:$K$1064)))</f>
        <v>0.02</v>
      </c>
      <c r="J172" s="18" t="n">
        <f aca="false">_xlfn.MAXIFS(Estaciones!$U$5:$U$1064,Estaciones!$A$5:$A$1064,A172)</f>
        <v>0</v>
      </c>
      <c r="K172" s="18" t="n">
        <f aca="false">_xlfn.MAXIFS(Estaciones!$S$5:$S$1064,Estaciones!$A$5:$A$1064,A172)</f>
        <v>0.08</v>
      </c>
      <c r="L172" s="13" t="n">
        <f aca="false">H172/Resumen!$B$10</f>
        <v>0.0461133069828722</v>
      </c>
      <c r="M172" s="13" t="n">
        <f aca="false">K172/Resumen!$B$10</f>
        <v>0.0527009222661397</v>
      </c>
      <c r="N172" s="22" t="n">
        <f aca="false">M172-L172</f>
        <v>0.00658761528326745</v>
      </c>
      <c r="O172" s="13" t="n">
        <f aca="false">G172/Resumen!$B$11</f>
        <v>0</v>
      </c>
      <c r="P172" s="13" t="n">
        <f aca="false">J172/Resumen!$B$11</f>
        <v>0</v>
      </c>
      <c r="Q172" s="4" t="str">
        <f aca="false">IF(S172&gt;=Resumen!$B$8,"AUMENTA",IF(S172&lt;=-Resumen!$B$8,"DISMINUYE","SIN CAMBIO"))</f>
        <v>SIN CAMBIO</v>
      </c>
      <c r="R172" s="4" t="str">
        <f aca="false">IF(AND(M172&lt;=1,P172&lt;=1),"CUMPLE","NO CUMPLE")</f>
        <v>CUMPLE</v>
      </c>
      <c r="S172" s="23" t="n">
        <f aca="false">K172-H172</f>
        <v>0.01</v>
      </c>
      <c r="T172" s="12" t="n">
        <f aca="false">IF(H172&lt;0.005,"-",K172/H172-1)</f>
        <v>0.142857142857143</v>
      </c>
    </row>
    <row r="173" customFormat="false" ht="15" hidden="false" customHeight="false" outlineLevel="0" collapsed="false">
      <c r="A173" s="4" t="n">
        <v>283</v>
      </c>
      <c r="B173" s="4" t="n">
        <v>60</v>
      </c>
      <c r="C173" s="4" t="s">
        <v>63</v>
      </c>
      <c r="D173" s="4" t="s">
        <v>568</v>
      </c>
      <c r="E173" s="18" t="n">
        <v>1.18</v>
      </c>
      <c r="F173" s="18" t="n">
        <f aca="false">SUMPRODUCT(MAX((Estaciones!$A$5:$A$1064=A173)*ABS(Estaciones!$D$5:$D$1064)))</f>
        <v>0.01</v>
      </c>
      <c r="G173" s="18" t="n">
        <f aca="false">_xlfn.MAXIFS(Estaciones!$T$5:$T$1064,Estaciones!$A$5:$A$1064,A173)</f>
        <v>0.01</v>
      </c>
      <c r="H173" s="18" t="n">
        <f aca="false">_xlfn.MAXIFS(Estaciones!$R$5:$R$1064,Estaciones!$A$5:$A$1064,A173)</f>
        <v>0.1</v>
      </c>
      <c r="I173" s="18" t="n">
        <f aca="false">SUMPRODUCT(MAX((Estaciones!$A$5:$A$1064=A173)*ABS(Estaciones!$K$5:$K$1064)))</f>
        <v>0.01</v>
      </c>
      <c r="J173" s="18" t="n">
        <f aca="false">_xlfn.MAXIFS(Estaciones!$U$5:$U$1064,Estaciones!$A$5:$A$1064,A173)</f>
        <v>0.01</v>
      </c>
      <c r="K173" s="18" t="n">
        <f aca="false">_xlfn.MAXIFS(Estaciones!$S$5:$S$1064,Estaciones!$A$5:$A$1064,A173)</f>
        <v>0.1</v>
      </c>
      <c r="L173" s="13" t="n">
        <f aca="false">H173/Resumen!$B$10</f>
        <v>0.0658761528326746</v>
      </c>
      <c r="M173" s="13" t="n">
        <f aca="false">K173/Resumen!$B$10</f>
        <v>0.0658761528326746</v>
      </c>
      <c r="N173" s="22" t="n">
        <f aca="false">M173-L173</f>
        <v>0</v>
      </c>
      <c r="O173" s="13" t="n">
        <f aca="false">G173/Resumen!$B$11</f>
        <v>0.00988142292490119</v>
      </c>
      <c r="P173" s="13" t="n">
        <f aca="false">J173/Resumen!$B$11</f>
        <v>0.00988142292490119</v>
      </c>
      <c r="Q173" s="4" t="str">
        <f aca="false">IF(S173&gt;=Resumen!$B$8,"AUMENTA",IF(S173&lt;=-Resumen!$B$8,"DISMINUYE","SIN CAMBIO"))</f>
        <v>SIN CAMBIO</v>
      </c>
      <c r="R173" s="4" t="str">
        <f aca="false">IF(AND(M173&lt;=1,P173&lt;=1),"CUMPLE","NO CUMPLE")</f>
        <v>CUMPLE</v>
      </c>
      <c r="S173" s="23" t="n">
        <f aca="false">K173-H173</f>
        <v>0</v>
      </c>
      <c r="T173" s="12" t="n">
        <f aca="false">IF(H173&lt;0.005,"-",K173/H173-1)</f>
        <v>0</v>
      </c>
    </row>
    <row r="174" customFormat="false" ht="15" hidden="false" customHeight="false" outlineLevel="0" collapsed="false">
      <c r="A174" s="4" t="n">
        <v>284</v>
      </c>
      <c r="B174" s="4" t="n">
        <v>61</v>
      </c>
      <c r="C174" s="4" t="s">
        <v>63</v>
      </c>
      <c r="D174" s="4" t="s">
        <v>568</v>
      </c>
      <c r="E174" s="18" t="n">
        <v>1.4</v>
      </c>
      <c r="F174" s="18" t="n">
        <f aca="false">SUMPRODUCT(MAX((Estaciones!$A$5:$A$1064=A174)*ABS(Estaciones!$D$5:$D$1064)))</f>
        <v>0.02</v>
      </c>
      <c r="G174" s="18" t="n">
        <f aca="false">_xlfn.MAXIFS(Estaciones!$T$5:$T$1064,Estaciones!$A$5:$A$1064,A174)</f>
        <v>0</v>
      </c>
      <c r="H174" s="18" t="n">
        <f aca="false">_xlfn.MAXIFS(Estaciones!$R$5:$R$1064,Estaciones!$A$5:$A$1064,A174)</f>
        <v>0.1</v>
      </c>
      <c r="I174" s="18" t="n">
        <f aca="false">SUMPRODUCT(MAX((Estaciones!$A$5:$A$1064=A174)*ABS(Estaciones!$K$5:$K$1064)))</f>
        <v>0.02</v>
      </c>
      <c r="J174" s="18" t="n">
        <f aca="false">_xlfn.MAXIFS(Estaciones!$U$5:$U$1064,Estaciones!$A$5:$A$1064,A174)</f>
        <v>0</v>
      </c>
      <c r="K174" s="18" t="n">
        <f aca="false">_xlfn.MAXIFS(Estaciones!$S$5:$S$1064,Estaciones!$A$5:$A$1064,A174)</f>
        <v>0.1</v>
      </c>
      <c r="L174" s="13" t="n">
        <f aca="false">H174/Resumen!$B$10</f>
        <v>0.0658761528326746</v>
      </c>
      <c r="M174" s="13" t="n">
        <f aca="false">K174/Resumen!$B$10</f>
        <v>0.0658761528326746</v>
      </c>
      <c r="N174" s="22" t="n">
        <f aca="false">M174-L174</f>
        <v>0</v>
      </c>
      <c r="O174" s="13" t="n">
        <f aca="false">G174/Resumen!$B$11</f>
        <v>0</v>
      </c>
      <c r="P174" s="13" t="n">
        <f aca="false">J174/Resumen!$B$11</f>
        <v>0</v>
      </c>
      <c r="Q174" s="4" t="str">
        <f aca="false">IF(S174&gt;=Resumen!$B$8,"AUMENTA",IF(S174&lt;=-Resumen!$B$8,"DISMINUYE","SIN CAMBIO"))</f>
        <v>SIN CAMBIO</v>
      </c>
      <c r="R174" s="4" t="str">
        <f aca="false">IF(AND(M174&lt;=1,P174&lt;=1),"CUMPLE","NO CUMPLE")</f>
        <v>CUMPLE</v>
      </c>
      <c r="S174" s="23" t="n">
        <f aca="false">K174-H174</f>
        <v>0</v>
      </c>
      <c r="T174" s="12" t="n">
        <f aca="false">IF(H174&lt;0.005,"-",K174/H174-1)</f>
        <v>0</v>
      </c>
    </row>
    <row r="175" customFormat="false" ht="15" hidden="false" customHeight="false" outlineLevel="0" collapsed="false">
      <c r="A175" s="4" t="n">
        <v>285</v>
      </c>
      <c r="B175" s="4" t="n">
        <v>62</v>
      </c>
      <c r="C175" s="4" t="s">
        <v>63</v>
      </c>
      <c r="D175" s="4" t="s">
        <v>568</v>
      </c>
      <c r="E175" s="18" t="n">
        <v>1.18</v>
      </c>
      <c r="F175" s="18" t="n">
        <f aca="false">SUMPRODUCT(MAX((Estaciones!$A$5:$A$1064=A175)*ABS(Estaciones!$D$5:$D$1064)))</f>
        <v>0</v>
      </c>
      <c r="G175" s="18" t="n">
        <f aca="false">_xlfn.MAXIFS(Estaciones!$T$5:$T$1064,Estaciones!$A$5:$A$1064,A175)</f>
        <v>0</v>
      </c>
      <c r="H175" s="18" t="n">
        <f aca="false">_xlfn.MAXIFS(Estaciones!$R$5:$R$1064,Estaciones!$A$5:$A$1064,A175)</f>
        <v>0.08</v>
      </c>
      <c r="I175" s="18" t="n">
        <f aca="false">SUMPRODUCT(MAX((Estaciones!$A$5:$A$1064=A175)*ABS(Estaciones!$K$5:$K$1064)))</f>
        <v>0</v>
      </c>
      <c r="J175" s="18" t="n">
        <f aca="false">_xlfn.MAXIFS(Estaciones!$U$5:$U$1064,Estaciones!$A$5:$A$1064,A175)</f>
        <v>0.01</v>
      </c>
      <c r="K175" s="18" t="n">
        <f aca="false">_xlfn.MAXIFS(Estaciones!$S$5:$S$1064,Estaciones!$A$5:$A$1064,A175)</f>
        <v>0.08</v>
      </c>
      <c r="L175" s="13" t="n">
        <f aca="false">H175/Resumen!$B$10</f>
        <v>0.0527009222661397</v>
      </c>
      <c r="M175" s="13" t="n">
        <f aca="false">K175/Resumen!$B$10</f>
        <v>0.0527009222661397</v>
      </c>
      <c r="N175" s="22" t="n">
        <f aca="false">M175-L175</f>
        <v>0</v>
      </c>
      <c r="O175" s="13" t="n">
        <f aca="false">G175/Resumen!$B$11</f>
        <v>0</v>
      </c>
      <c r="P175" s="13" t="n">
        <f aca="false">J175/Resumen!$B$11</f>
        <v>0.00988142292490119</v>
      </c>
      <c r="Q175" s="4" t="str">
        <f aca="false">IF(S175&gt;=Resumen!$B$8,"AUMENTA",IF(S175&lt;=-Resumen!$B$8,"DISMINUYE","SIN CAMBIO"))</f>
        <v>SIN CAMBIO</v>
      </c>
      <c r="R175" s="4" t="str">
        <f aca="false">IF(AND(M175&lt;=1,P175&lt;=1),"CUMPLE","NO CUMPLE")</f>
        <v>CUMPLE</v>
      </c>
      <c r="S175" s="23" t="n">
        <f aca="false">K175-H175</f>
        <v>0</v>
      </c>
      <c r="T175" s="12" t="n">
        <f aca="false">IF(H175&lt;0.005,"-",K175/H175-1)</f>
        <v>0</v>
      </c>
    </row>
    <row r="176" customFormat="false" ht="15" hidden="false" customHeight="false" outlineLevel="0" collapsed="false">
      <c r="A176" s="4" t="n">
        <v>286</v>
      </c>
      <c r="B176" s="4" t="n">
        <v>63</v>
      </c>
      <c r="C176" s="4" t="s">
        <v>63</v>
      </c>
      <c r="D176" s="4" t="s">
        <v>568</v>
      </c>
      <c r="E176" s="18" t="n">
        <v>1.4</v>
      </c>
      <c r="F176" s="18" t="n">
        <f aca="false">SUMPRODUCT(MAX((Estaciones!$A$5:$A$1064=A176)*ABS(Estaciones!$D$5:$D$1064)))</f>
        <v>0</v>
      </c>
      <c r="G176" s="18" t="n">
        <f aca="false">_xlfn.MAXIFS(Estaciones!$T$5:$T$1064,Estaciones!$A$5:$A$1064,A176)</f>
        <v>0</v>
      </c>
      <c r="H176" s="18" t="n">
        <f aca="false">_xlfn.MAXIFS(Estaciones!$R$5:$R$1064,Estaciones!$A$5:$A$1064,A176)</f>
        <v>0.08</v>
      </c>
      <c r="I176" s="18" t="n">
        <f aca="false">SUMPRODUCT(MAX((Estaciones!$A$5:$A$1064=A176)*ABS(Estaciones!$K$5:$K$1064)))</f>
        <v>0</v>
      </c>
      <c r="J176" s="18" t="n">
        <f aca="false">_xlfn.MAXIFS(Estaciones!$U$5:$U$1064,Estaciones!$A$5:$A$1064,A176)</f>
        <v>0</v>
      </c>
      <c r="K176" s="18" t="n">
        <f aca="false">_xlfn.MAXIFS(Estaciones!$S$5:$S$1064,Estaciones!$A$5:$A$1064,A176)</f>
        <v>0.08</v>
      </c>
      <c r="L176" s="13" t="n">
        <f aca="false">H176/Resumen!$B$10</f>
        <v>0.0527009222661397</v>
      </c>
      <c r="M176" s="13" t="n">
        <f aca="false">K176/Resumen!$B$10</f>
        <v>0.0527009222661397</v>
      </c>
      <c r="N176" s="22" t="n">
        <f aca="false">M176-L176</f>
        <v>0</v>
      </c>
      <c r="O176" s="13" t="n">
        <f aca="false">G176/Resumen!$B$11</f>
        <v>0</v>
      </c>
      <c r="P176" s="13" t="n">
        <f aca="false">J176/Resumen!$B$11</f>
        <v>0</v>
      </c>
      <c r="Q176" s="4" t="str">
        <f aca="false">IF(S176&gt;=Resumen!$B$8,"AUMENTA",IF(S176&lt;=-Resumen!$B$8,"DISMINUYE","SIN CAMBIO"))</f>
        <v>SIN CAMBIO</v>
      </c>
      <c r="R176" s="4" t="str">
        <f aca="false">IF(AND(M176&lt;=1,P176&lt;=1),"CUMPLE","NO CUMPLE")</f>
        <v>CUMPLE</v>
      </c>
      <c r="S176" s="23" t="n">
        <f aca="false">K176-H176</f>
        <v>0</v>
      </c>
      <c r="T176" s="12" t="n">
        <f aca="false">IF(H176&lt;0.005,"-",K176/H176-1)</f>
        <v>0</v>
      </c>
    </row>
    <row r="177" customFormat="false" ht="15" hidden="false" customHeight="false" outlineLevel="0" collapsed="false">
      <c r="A177" s="4" t="n">
        <v>287</v>
      </c>
      <c r="B177" s="4" t="n">
        <v>64</v>
      </c>
      <c r="C177" s="4" t="s">
        <v>63</v>
      </c>
      <c r="D177" s="4" t="s">
        <v>568</v>
      </c>
      <c r="E177" s="18" t="n">
        <v>1.18</v>
      </c>
      <c r="F177" s="18" t="n">
        <f aca="false">SUMPRODUCT(MAX((Estaciones!$A$5:$A$1064=A177)*ABS(Estaciones!$D$5:$D$1064)))</f>
        <v>0.01</v>
      </c>
      <c r="G177" s="18" t="n">
        <f aca="false">_xlfn.MAXIFS(Estaciones!$T$5:$T$1064,Estaciones!$A$5:$A$1064,A177)</f>
        <v>0</v>
      </c>
      <c r="H177" s="18" t="n">
        <f aca="false">_xlfn.MAXIFS(Estaciones!$R$5:$R$1064,Estaciones!$A$5:$A$1064,A177)</f>
        <v>0.07</v>
      </c>
      <c r="I177" s="18" t="n">
        <f aca="false">SUMPRODUCT(MAX((Estaciones!$A$5:$A$1064=A177)*ABS(Estaciones!$K$5:$K$1064)))</f>
        <v>0.01</v>
      </c>
      <c r="J177" s="18" t="n">
        <f aca="false">_xlfn.MAXIFS(Estaciones!$U$5:$U$1064,Estaciones!$A$5:$A$1064,A177)</f>
        <v>0</v>
      </c>
      <c r="K177" s="18" t="n">
        <f aca="false">_xlfn.MAXIFS(Estaciones!$S$5:$S$1064,Estaciones!$A$5:$A$1064,A177)</f>
        <v>0.07</v>
      </c>
      <c r="L177" s="13" t="n">
        <f aca="false">H177/Resumen!$B$10</f>
        <v>0.0461133069828722</v>
      </c>
      <c r="M177" s="13" t="n">
        <f aca="false">K177/Resumen!$B$10</f>
        <v>0.0461133069828722</v>
      </c>
      <c r="N177" s="22" t="n">
        <f aca="false">M177-L177</f>
        <v>0</v>
      </c>
      <c r="O177" s="13" t="n">
        <f aca="false">G177/Resumen!$B$11</f>
        <v>0</v>
      </c>
      <c r="P177" s="13" t="n">
        <f aca="false">J177/Resumen!$B$11</f>
        <v>0</v>
      </c>
      <c r="Q177" s="4" t="str">
        <f aca="false">IF(S177&gt;=Resumen!$B$8,"AUMENTA",IF(S177&lt;=-Resumen!$B$8,"DISMINUYE","SIN CAMBIO"))</f>
        <v>SIN CAMBIO</v>
      </c>
      <c r="R177" s="4" t="str">
        <f aca="false">IF(AND(M177&lt;=1,P177&lt;=1),"CUMPLE","NO CUMPLE")</f>
        <v>CUMPLE</v>
      </c>
      <c r="S177" s="23" t="n">
        <f aca="false">K177-H177</f>
        <v>0</v>
      </c>
      <c r="T177" s="12" t="n">
        <f aca="false">IF(H177&lt;0.005,"-",K177/H177-1)</f>
        <v>0</v>
      </c>
    </row>
    <row r="178" customFormat="false" ht="15" hidden="false" customHeight="false" outlineLevel="0" collapsed="false">
      <c r="A178" s="4" t="n">
        <v>288</v>
      </c>
      <c r="B178" s="4" t="n">
        <v>65</v>
      </c>
      <c r="C178" s="4" t="s">
        <v>63</v>
      </c>
      <c r="D178" s="4" t="s">
        <v>568</v>
      </c>
      <c r="E178" s="18" t="n">
        <v>1.4</v>
      </c>
      <c r="F178" s="18" t="n">
        <f aca="false">SUMPRODUCT(MAX((Estaciones!$A$5:$A$1064=A178)*ABS(Estaciones!$D$5:$D$1064)))</f>
        <v>0.02</v>
      </c>
      <c r="G178" s="18" t="n">
        <f aca="false">_xlfn.MAXIFS(Estaciones!$T$5:$T$1064,Estaciones!$A$5:$A$1064,A178)</f>
        <v>0</v>
      </c>
      <c r="H178" s="18" t="n">
        <f aca="false">_xlfn.MAXIFS(Estaciones!$R$5:$R$1064,Estaciones!$A$5:$A$1064,A178)</f>
        <v>0.08</v>
      </c>
      <c r="I178" s="18" t="n">
        <f aca="false">SUMPRODUCT(MAX((Estaciones!$A$5:$A$1064=A178)*ABS(Estaciones!$K$5:$K$1064)))</f>
        <v>0.02</v>
      </c>
      <c r="J178" s="18" t="n">
        <f aca="false">_xlfn.MAXIFS(Estaciones!$U$5:$U$1064,Estaciones!$A$5:$A$1064,A178)</f>
        <v>0</v>
      </c>
      <c r="K178" s="18" t="n">
        <f aca="false">_xlfn.MAXIFS(Estaciones!$S$5:$S$1064,Estaciones!$A$5:$A$1064,A178)</f>
        <v>0.08</v>
      </c>
      <c r="L178" s="13" t="n">
        <f aca="false">H178/Resumen!$B$10</f>
        <v>0.0527009222661397</v>
      </c>
      <c r="M178" s="13" t="n">
        <f aca="false">K178/Resumen!$B$10</f>
        <v>0.0527009222661397</v>
      </c>
      <c r="N178" s="22" t="n">
        <f aca="false">M178-L178</f>
        <v>0</v>
      </c>
      <c r="O178" s="13" t="n">
        <f aca="false">G178/Resumen!$B$11</f>
        <v>0</v>
      </c>
      <c r="P178" s="13" t="n">
        <f aca="false">J178/Resumen!$B$11</f>
        <v>0</v>
      </c>
      <c r="Q178" s="4" t="str">
        <f aca="false">IF(S178&gt;=Resumen!$B$8,"AUMENTA",IF(S178&lt;=-Resumen!$B$8,"DISMINUYE","SIN CAMBIO"))</f>
        <v>SIN CAMBIO</v>
      </c>
      <c r="R178" s="4" t="str">
        <f aca="false">IF(AND(M178&lt;=1,P178&lt;=1),"CUMPLE","NO CUMPLE")</f>
        <v>CUMPLE</v>
      </c>
      <c r="S178" s="23" t="n">
        <f aca="false">K178-H178</f>
        <v>0</v>
      </c>
      <c r="T178" s="12" t="n">
        <f aca="false">IF(H178&lt;0.005,"-",K178/H178-1)</f>
        <v>0</v>
      </c>
    </row>
    <row r="179" customFormat="false" ht="15" hidden="false" customHeight="false" outlineLevel="0" collapsed="false">
      <c r="A179" s="4" t="n">
        <v>289</v>
      </c>
      <c r="B179" s="4" t="n">
        <v>66</v>
      </c>
      <c r="C179" s="4" t="s">
        <v>63</v>
      </c>
      <c r="D179" s="4" t="s">
        <v>568</v>
      </c>
      <c r="E179" s="18" t="n">
        <v>1.18</v>
      </c>
      <c r="F179" s="18" t="n">
        <f aca="false">SUMPRODUCT(MAX((Estaciones!$A$5:$A$1064=A179)*ABS(Estaciones!$D$5:$D$1064)))</f>
        <v>0.01</v>
      </c>
      <c r="G179" s="18" t="n">
        <f aca="false">_xlfn.MAXIFS(Estaciones!$T$5:$T$1064,Estaciones!$A$5:$A$1064,A179)</f>
        <v>0</v>
      </c>
      <c r="H179" s="18" t="n">
        <f aca="false">_xlfn.MAXIFS(Estaciones!$R$5:$R$1064,Estaciones!$A$5:$A$1064,A179)</f>
        <v>0.07</v>
      </c>
      <c r="I179" s="18" t="n">
        <f aca="false">SUMPRODUCT(MAX((Estaciones!$A$5:$A$1064=A179)*ABS(Estaciones!$K$5:$K$1064)))</f>
        <v>0.01</v>
      </c>
      <c r="J179" s="18" t="n">
        <f aca="false">_xlfn.MAXIFS(Estaciones!$U$5:$U$1064,Estaciones!$A$5:$A$1064,A179)</f>
        <v>0</v>
      </c>
      <c r="K179" s="18" t="n">
        <f aca="false">_xlfn.MAXIFS(Estaciones!$S$5:$S$1064,Estaciones!$A$5:$A$1064,A179)</f>
        <v>0.06</v>
      </c>
      <c r="L179" s="13" t="n">
        <f aca="false">H179/Resumen!$B$10</f>
        <v>0.0461133069828722</v>
      </c>
      <c r="M179" s="13" t="n">
        <f aca="false">K179/Resumen!$B$10</f>
        <v>0.0395256916996047</v>
      </c>
      <c r="N179" s="22" t="n">
        <f aca="false">M179-L179</f>
        <v>-0.00658761528326747</v>
      </c>
      <c r="O179" s="13" t="n">
        <f aca="false">G179/Resumen!$B$11</f>
        <v>0</v>
      </c>
      <c r="P179" s="13" t="n">
        <f aca="false">J179/Resumen!$B$11</f>
        <v>0</v>
      </c>
      <c r="Q179" s="4" t="str">
        <f aca="false">IF(S179&gt;=Resumen!$B$8,"AUMENTA",IF(S179&lt;=-Resumen!$B$8,"DISMINUYE","SIN CAMBIO"))</f>
        <v>SIN CAMBIO</v>
      </c>
      <c r="R179" s="4" t="str">
        <f aca="false">IF(AND(M179&lt;=1,P179&lt;=1),"CUMPLE","NO CUMPLE")</f>
        <v>CUMPLE</v>
      </c>
      <c r="S179" s="23" t="n">
        <f aca="false">K179-H179</f>
        <v>-0.01</v>
      </c>
      <c r="T179" s="12" t="n">
        <f aca="false">IF(H179&lt;0.005,"-",K179/H179-1)</f>
        <v>-0.142857142857143</v>
      </c>
    </row>
    <row r="180" customFormat="false" ht="15" hidden="false" customHeight="false" outlineLevel="0" collapsed="false">
      <c r="A180" s="4" t="n">
        <v>290</v>
      </c>
      <c r="B180" s="4" t="n">
        <v>67</v>
      </c>
      <c r="C180" s="4" t="s">
        <v>63</v>
      </c>
      <c r="D180" s="4" t="s">
        <v>568</v>
      </c>
      <c r="E180" s="18" t="n">
        <v>1.4</v>
      </c>
      <c r="F180" s="18" t="n">
        <f aca="false">SUMPRODUCT(MAX((Estaciones!$A$5:$A$1064=A180)*ABS(Estaciones!$D$5:$D$1064)))</f>
        <v>0.01</v>
      </c>
      <c r="G180" s="18" t="n">
        <f aca="false">_xlfn.MAXIFS(Estaciones!$T$5:$T$1064,Estaciones!$A$5:$A$1064,A180)</f>
        <v>0</v>
      </c>
      <c r="H180" s="18" t="n">
        <f aca="false">_xlfn.MAXIFS(Estaciones!$R$5:$R$1064,Estaciones!$A$5:$A$1064,A180)</f>
        <v>0.06</v>
      </c>
      <c r="I180" s="18" t="n">
        <f aca="false">SUMPRODUCT(MAX((Estaciones!$A$5:$A$1064=A180)*ABS(Estaciones!$K$5:$K$1064)))</f>
        <v>0.01</v>
      </c>
      <c r="J180" s="18" t="n">
        <f aca="false">_xlfn.MAXIFS(Estaciones!$U$5:$U$1064,Estaciones!$A$5:$A$1064,A180)</f>
        <v>0</v>
      </c>
      <c r="K180" s="18" t="n">
        <f aca="false">_xlfn.MAXIFS(Estaciones!$S$5:$S$1064,Estaciones!$A$5:$A$1064,A180)</f>
        <v>0.08</v>
      </c>
      <c r="L180" s="13" t="n">
        <f aca="false">H180/Resumen!$B$10</f>
        <v>0.0395256916996047</v>
      </c>
      <c r="M180" s="13" t="n">
        <f aca="false">K180/Resumen!$B$10</f>
        <v>0.0527009222661397</v>
      </c>
      <c r="N180" s="22" t="n">
        <f aca="false">M180-L180</f>
        <v>0.0131752305665349</v>
      </c>
      <c r="O180" s="13" t="n">
        <f aca="false">G180/Resumen!$B$11</f>
        <v>0</v>
      </c>
      <c r="P180" s="13" t="n">
        <f aca="false">J180/Resumen!$B$11</f>
        <v>0</v>
      </c>
      <c r="Q180" s="4" t="str">
        <f aca="false">IF(S180&gt;=Resumen!$B$8,"AUMENTA",IF(S180&lt;=-Resumen!$B$8,"DISMINUYE","SIN CAMBIO"))</f>
        <v>AUMENTA</v>
      </c>
      <c r="R180" s="4" t="str">
        <f aca="false">IF(AND(M180&lt;=1,P180&lt;=1),"CUMPLE","NO CUMPLE")</f>
        <v>CUMPLE</v>
      </c>
      <c r="S180" s="23" t="n">
        <f aca="false">K180-H180</f>
        <v>0.02</v>
      </c>
      <c r="T180" s="12" t="n">
        <f aca="false">IF(H180&lt;0.005,"-",K180/H180-1)</f>
        <v>0.333333333333334</v>
      </c>
    </row>
    <row r="181" customFormat="false" ht="15" hidden="false" customHeight="false" outlineLevel="0" collapsed="false">
      <c r="A181" s="4" t="n">
        <v>291</v>
      </c>
      <c r="B181" s="4" t="n">
        <v>68</v>
      </c>
      <c r="C181" s="4" t="s">
        <v>63</v>
      </c>
      <c r="D181" s="4" t="s">
        <v>568</v>
      </c>
      <c r="E181" s="18" t="n">
        <v>1.18</v>
      </c>
      <c r="F181" s="18" t="n">
        <f aca="false">SUMPRODUCT(MAX((Estaciones!$A$5:$A$1064=A181)*ABS(Estaciones!$D$5:$D$1064)))</f>
        <v>0</v>
      </c>
      <c r="G181" s="18" t="n">
        <f aca="false">_xlfn.MAXIFS(Estaciones!$T$5:$T$1064,Estaciones!$A$5:$A$1064,A181)</f>
        <v>0</v>
      </c>
      <c r="H181" s="18" t="n">
        <f aca="false">_xlfn.MAXIFS(Estaciones!$R$5:$R$1064,Estaciones!$A$5:$A$1064,A181)</f>
        <v>0.07</v>
      </c>
      <c r="I181" s="18" t="n">
        <f aca="false">SUMPRODUCT(MAX((Estaciones!$A$5:$A$1064=A181)*ABS(Estaciones!$K$5:$K$1064)))</f>
        <v>0</v>
      </c>
      <c r="J181" s="18" t="n">
        <f aca="false">_xlfn.MAXIFS(Estaciones!$U$5:$U$1064,Estaciones!$A$5:$A$1064,A181)</f>
        <v>0</v>
      </c>
      <c r="K181" s="18" t="n">
        <f aca="false">_xlfn.MAXIFS(Estaciones!$S$5:$S$1064,Estaciones!$A$5:$A$1064,A181)</f>
        <v>0.07</v>
      </c>
      <c r="L181" s="13" t="n">
        <f aca="false">H181/Resumen!$B$10</f>
        <v>0.0461133069828722</v>
      </c>
      <c r="M181" s="13" t="n">
        <f aca="false">K181/Resumen!$B$10</f>
        <v>0.0461133069828722</v>
      </c>
      <c r="N181" s="22" t="n">
        <f aca="false">M181-L181</f>
        <v>0</v>
      </c>
      <c r="O181" s="13" t="n">
        <f aca="false">G181/Resumen!$B$11</f>
        <v>0</v>
      </c>
      <c r="P181" s="13" t="n">
        <f aca="false">J181/Resumen!$B$11</f>
        <v>0</v>
      </c>
      <c r="Q181" s="4" t="str">
        <f aca="false">IF(S181&gt;=Resumen!$B$8,"AUMENTA",IF(S181&lt;=-Resumen!$B$8,"DISMINUYE","SIN CAMBIO"))</f>
        <v>SIN CAMBIO</v>
      </c>
      <c r="R181" s="4" t="str">
        <f aca="false">IF(AND(M181&lt;=1,P181&lt;=1),"CUMPLE","NO CUMPLE")</f>
        <v>CUMPLE</v>
      </c>
      <c r="S181" s="23" t="n">
        <f aca="false">K181-H181</f>
        <v>0</v>
      </c>
      <c r="T181" s="12" t="n">
        <f aca="false">IF(H181&lt;0.005,"-",K181/H181-1)</f>
        <v>0</v>
      </c>
    </row>
    <row r="182" customFormat="false" ht="15" hidden="false" customHeight="false" outlineLevel="0" collapsed="false">
      <c r="A182" s="4" t="n">
        <v>292</v>
      </c>
      <c r="B182" s="4" t="n">
        <v>69</v>
      </c>
      <c r="C182" s="4" t="s">
        <v>63</v>
      </c>
      <c r="D182" s="4" t="s">
        <v>568</v>
      </c>
      <c r="E182" s="18" t="n">
        <v>1.4</v>
      </c>
      <c r="F182" s="18" t="n">
        <f aca="false">SUMPRODUCT(MAX((Estaciones!$A$5:$A$1064=A182)*ABS(Estaciones!$D$5:$D$1064)))</f>
        <v>0.01</v>
      </c>
      <c r="G182" s="18" t="n">
        <f aca="false">_xlfn.MAXIFS(Estaciones!$T$5:$T$1064,Estaciones!$A$5:$A$1064,A182)</f>
        <v>0</v>
      </c>
      <c r="H182" s="18" t="n">
        <f aca="false">_xlfn.MAXIFS(Estaciones!$R$5:$R$1064,Estaciones!$A$5:$A$1064,A182)</f>
        <v>0.09</v>
      </c>
      <c r="I182" s="18" t="n">
        <f aca="false">SUMPRODUCT(MAX((Estaciones!$A$5:$A$1064=A182)*ABS(Estaciones!$K$5:$K$1064)))</f>
        <v>0.01</v>
      </c>
      <c r="J182" s="18" t="n">
        <f aca="false">_xlfn.MAXIFS(Estaciones!$U$5:$U$1064,Estaciones!$A$5:$A$1064,A182)</f>
        <v>0</v>
      </c>
      <c r="K182" s="18" t="n">
        <f aca="false">_xlfn.MAXIFS(Estaciones!$S$5:$S$1064,Estaciones!$A$5:$A$1064,A182)</f>
        <v>0.09</v>
      </c>
      <c r="L182" s="13" t="n">
        <f aca="false">H182/Resumen!$B$10</f>
        <v>0.0592885375494071</v>
      </c>
      <c r="M182" s="13" t="n">
        <f aca="false">K182/Resumen!$B$10</f>
        <v>0.0592885375494071</v>
      </c>
      <c r="N182" s="22" t="n">
        <f aca="false">M182-L182</f>
        <v>0</v>
      </c>
      <c r="O182" s="13" t="n">
        <f aca="false">G182/Resumen!$B$11</f>
        <v>0</v>
      </c>
      <c r="P182" s="13" t="n">
        <f aca="false">J182/Resumen!$B$11</f>
        <v>0</v>
      </c>
      <c r="Q182" s="4" t="str">
        <f aca="false">IF(S182&gt;=Resumen!$B$8,"AUMENTA",IF(S182&lt;=-Resumen!$B$8,"DISMINUYE","SIN CAMBIO"))</f>
        <v>SIN CAMBIO</v>
      </c>
      <c r="R182" s="4" t="str">
        <f aca="false">IF(AND(M182&lt;=1,P182&lt;=1),"CUMPLE","NO CUMPLE")</f>
        <v>CUMPLE</v>
      </c>
      <c r="S182" s="23" t="n">
        <f aca="false">K182-H182</f>
        <v>0</v>
      </c>
      <c r="T182" s="12" t="n">
        <f aca="false">IF(H182&lt;0.005,"-",K182/H182-1)</f>
        <v>0</v>
      </c>
    </row>
    <row r="183" customFormat="false" ht="15" hidden="false" customHeight="false" outlineLevel="0" collapsed="false">
      <c r="A183" s="4" t="n">
        <v>293</v>
      </c>
      <c r="B183" s="4" t="n">
        <v>70</v>
      </c>
      <c r="C183" s="4" t="s">
        <v>63</v>
      </c>
      <c r="D183" s="4" t="s">
        <v>568</v>
      </c>
      <c r="E183" s="18" t="n">
        <v>1.18</v>
      </c>
      <c r="F183" s="18" t="n">
        <f aca="false">SUMPRODUCT(MAX((Estaciones!$A$5:$A$1064=A183)*ABS(Estaciones!$D$5:$D$1064)))</f>
        <v>0.01</v>
      </c>
      <c r="G183" s="18" t="n">
        <f aca="false">_xlfn.MAXIFS(Estaciones!$T$5:$T$1064,Estaciones!$A$5:$A$1064,A183)</f>
        <v>0.01</v>
      </c>
      <c r="H183" s="18" t="n">
        <f aca="false">_xlfn.MAXIFS(Estaciones!$R$5:$R$1064,Estaciones!$A$5:$A$1064,A183)</f>
        <v>0.1</v>
      </c>
      <c r="I183" s="18" t="n">
        <f aca="false">SUMPRODUCT(MAX((Estaciones!$A$5:$A$1064=A183)*ABS(Estaciones!$K$5:$K$1064)))</f>
        <v>0.01</v>
      </c>
      <c r="J183" s="18" t="n">
        <f aca="false">_xlfn.MAXIFS(Estaciones!$U$5:$U$1064,Estaciones!$A$5:$A$1064,A183)</f>
        <v>0.01</v>
      </c>
      <c r="K183" s="18" t="n">
        <f aca="false">_xlfn.MAXIFS(Estaciones!$S$5:$S$1064,Estaciones!$A$5:$A$1064,A183)</f>
        <v>0.11</v>
      </c>
      <c r="L183" s="13" t="n">
        <f aca="false">H183/Resumen!$B$10</f>
        <v>0.0658761528326746</v>
      </c>
      <c r="M183" s="13" t="n">
        <f aca="false">K183/Resumen!$B$10</f>
        <v>0.0724637681159421</v>
      </c>
      <c r="N183" s="22" t="n">
        <f aca="false">M183-L183</f>
        <v>0.00658761528326746</v>
      </c>
      <c r="O183" s="13" t="n">
        <f aca="false">G183/Resumen!$B$11</f>
        <v>0.00988142292490119</v>
      </c>
      <c r="P183" s="13" t="n">
        <f aca="false">J183/Resumen!$B$11</f>
        <v>0.00988142292490119</v>
      </c>
      <c r="Q183" s="4" t="str">
        <f aca="false">IF(S183&gt;=Resumen!$B$8,"AUMENTA",IF(S183&lt;=-Resumen!$B$8,"DISMINUYE","SIN CAMBIO"))</f>
        <v>SIN CAMBIO</v>
      </c>
      <c r="R183" s="4" t="str">
        <f aca="false">IF(AND(M183&lt;=1,P183&lt;=1),"CUMPLE","NO CUMPLE")</f>
        <v>CUMPLE</v>
      </c>
      <c r="S183" s="23" t="n">
        <f aca="false">K183-H183</f>
        <v>0.01</v>
      </c>
      <c r="T183" s="12" t="n">
        <f aca="false">IF(H183&lt;0.005,"-",K183/H183-1)</f>
        <v>0.0999999999999999</v>
      </c>
    </row>
    <row r="184" customFormat="false" ht="15" hidden="false" customHeight="false" outlineLevel="0" collapsed="false">
      <c r="A184" s="4" t="n">
        <v>294</v>
      </c>
      <c r="B184" s="4" t="n">
        <v>71</v>
      </c>
      <c r="C184" s="4" t="s">
        <v>63</v>
      </c>
      <c r="D184" s="4" t="s">
        <v>568</v>
      </c>
      <c r="E184" s="18" t="n">
        <v>1.4</v>
      </c>
      <c r="F184" s="18" t="n">
        <f aca="false">SUMPRODUCT(MAX((Estaciones!$A$5:$A$1064=A184)*ABS(Estaciones!$D$5:$D$1064)))</f>
        <v>0.02</v>
      </c>
      <c r="G184" s="18" t="n">
        <f aca="false">_xlfn.MAXIFS(Estaciones!$T$5:$T$1064,Estaciones!$A$5:$A$1064,A184)</f>
        <v>0</v>
      </c>
      <c r="H184" s="18" t="n">
        <f aca="false">_xlfn.MAXIFS(Estaciones!$R$5:$R$1064,Estaciones!$A$5:$A$1064,A184)</f>
        <v>0.1</v>
      </c>
      <c r="I184" s="18" t="n">
        <f aca="false">SUMPRODUCT(MAX((Estaciones!$A$5:$A$1064=A184)*ABS(Estaciones!$K$5:$K$1064)))</f>
        <v>0.02</v>
      </c>
      <c r="J184" s="18" t="n">
        <f aca="false">_xlfn.MAXIFS(Estaciones!$U$5:$U$1064,Estaciones!$A$5:$A$1064,A184)</f>
        <v>0</v>
      </c>
      <c r="K184" s="18" t="n">
        <f aca="false">_xlfn.MAXIFS(Estaciones!$S$5:$S$1064,Estaciones!$A$5:$A$1064,A184)</f>
        <v>0.1</v>
      </c>
      <c r="L184" s="13" t="n">
        <f aca="false">H184/Resumen!$B$10</f>
        <v>0.0658761528326746</v>
      </c>
      <c r="M184" s="13" t="n">
        <f aca="false">K184/Resumen!$B$10</f>
        <v>0.0658761528326746</v>
      </c>
      <c r="N184" s="22" t="n">
        <f aca="false">M184-L184</f>
        <v>0</v>
      </c>
      <c r="O184" s="13" t="n">
        <f aca="false">G184/Resumen!$B$11</f>
        <v>0</v>
      </c>
      <c r="P184" s="13" t="n">
        <f aca="false">J184/Resumen!$B$11</f>
        <v>0</v>
      </c>
      <c r="Q184" s="4" t="str">
        <f aca="false">IF(S184&gt;=Resumen!$B$8,"AUMENTA",IF(S184&lt;=-Resumen!$B$8,"DISMINUYE","SIN CAMBIO"))</f>
        <v>SIN CAMBIO</v>
      </c>
      <c r="R184" s="4" t="str">
        <f aca="false">IF(AND(M184&lt;=1,P184&lt;=1),"CUMPLE","NO CUMPLE")</f>
        <v>CUMPLE</v>
      </c>
      <c r="S184" s="23" t="n">
        <f aca="false">K184-H184</f>
        <v>0</v>
      </c>
      <c r="T184" s="12" t="n">
        <f aca="false">IF(H184&lt;0.005,"-",K184/H184-1)</f>
        <v>0</v>
      </c>
    </row>
    <row r="185" customFormat="false" ht="15" hidden="false" customHeight="false" outlineLevel="0" collapsed="false">
      <c r="A185" s="4" t="n">
        <v>295</v>
      </c>
      <c r="B185" s="4" t="n">
        <v>72</v>
      </c>
      <c r="C185" s="4" t="s">
        <v>63</v>
      </c>
      <c r="D185" s="4" t="s">
        <v>568</v>
      </c>
      <c r="E185" s="18" t="n">
        <v>1.18</v>
      </c>
      <c r="F185" s="18" t="n">
        <f aca="false">SUMPRODUCT(MAX((Estaciones!$A$5:$A$1064=A185)*ABS(Estaciones!$D$5:$D$1064)))</f>
        <v>0.01</v>
      </c>
      <c r="G185" s="18" t="n">
        <f aca="false">_xlfn.MAXIFS(Estaciones!$T$5:$T$1064,Estaciones!$A$5:$A$1064,A185)</f>
        <v>0</v>
      </c>
      <c r="H185" s="18" t="n">
        <f aca="false">_xlfn.MAXIFS(Estaciones!$R$5:$R$1064,Estaciones!$A$5:$A$1064,A185)</f>
        <v>0.1</v>
      </c>
      <c r="I185" s="18" t="n">
        <f aca="false">SUMPRODUCT(MAX((Estaciones!$A$5:$A$1064=A185)*ABS(Estaciones!$K$5:$K$1064)))</f>
        <v>0.01</v>
      </c>
      <c r="J185" s="18" t="n">
        <f aca="false">_xlfn.MAXIFS(Estaciones!$U$5:$U$1064,Estaciones!$A$5:$A$1064,A185)</f>
        <v>0.01</v>
      </c>
      <c r="K185" s="18" t="n">
        <f aca="false">_xlfn.MAXIFS(Estaciones!$S$5:$S$1064,Estaciones!$A$5:$A$1064,A185)</f>
        <v>0.1</v>
      </c>
      <c r="L185" s="13" t="n">
        <f aca="false">H185/Resumen!$B$10</f>
        <v>0.0658761528326746</v>
      </c>
      <c r="M185" s="13" t="n">
        <f aca="false">K185/Resumen!$B$10</f>
        <v>0.0658761528326746</v>
      </c>
      <c r="N185" s="22" t="n">
        <f aca="false">M185-L185</f>
        <v>0</v>
      </c>
      <c r="O185" s="13" t="n">
        <f aca="false">G185/Resumen!$B$11</f>
        <v>0</v>
      </c>
      <c r="P185" s="13" t="n">
        <f aca="false">J185/Resumen!$B$11</f>
        <v>0.00988142292490119</v>
      </c>
      <c r="Q185" s="4" t="str">
        <f aca="false">IF(S185&gt;=Resumen!$B$8,"AUMENTA",IF(S185&lt;=-Resumen!$B$8,"DISMINUYE","SIN CAMBIO"))</f>
        <v>SIN CAMBIO</v>
      </c>
      <c r="R185" s="4" t="str">
        <f aca="false">IF(AND(M185&lt;=1,P185&lt;=1),"CUMPLE","NO CUMPLE")</f>
        <v>CUMPLE</v>
      </c>
      <c r="S185" s="23" t="n">
        <f aca="false">K185-H185</f>
        <v>0</v>
      </c>
      <c r="T185" s="12" t="n">
        <f aca="false">IF(H185&lt;0.005,"-",K185/H185-1)</f>
        <v>0</v>
      </c>
    </row>
    <row r="186" customFormat="false" ht="15" hidden="false" customHeight="false" outlineLevel="0" collapsed="false">
      <c r="A186" s="4" t="n">
        <v>296</v>
      </c>
      <c r="B186" s="4" t="n">
        <v>73</v>
      </c>
      <c r="C186" s="4" t="s">
        <v>63</v>
      </c>
      <c r="D186" s="4" t="s">
        <v>568</v>
      </c>
      <c r="E186" s="18" t="n">
        <v>1.4</v>
      </c>
      <c r="F186" s="18" t="n">
        <f aca="false">SUMPRODUCT(MAX((Estaciones!$A$5:$A$1064=A186)*ABS(Estaciones!$D$5:$D$1064)))</f>
        <v>0.01</v>
      </c>
      <c r="G186" s="18" t="n">
        <f aca="false">_xlfn.MAXIFS(Estaciones!$T$5:$T$1064,Estaciones!$A$5:$A$1064,A186)</f>
        <v>0</v>
      </c>
      <c r="H186" s="18" t="n">
        <f aca="false">_xlfn.MAXIFS(Estaciones!$R$5:$R$1064,Estaciones!$A$5:$A$1064,A186)</f>
        <v>0.07</v>
      </c>
      <c r="I186" s="18" t="n">
        <f aca="false">SUMPRODUCT(MAX((Estaciones!$A$5:$A$1064=A186)*ABS(Estaciones!$K$5:$K$1064)))</f>
        <v>0.01</v>
      </c>
      <c r="J186" s="18" t="n">
        <f aca="false">_xlfn.MAXIFS(Estaciones!$U$5:$U$1064,Estaciones!$A$5:$A$1064,A186)</f>
        <v>0</v>
      </c>
      <c r="K186" s="18" t="n">
        <f aca="false">_xlfn.MAXIFS(Estaciones!$S$5:$S$1064,Estaciones!$A$5:$A$1064,A186)</f>
        <v>0.07</v>
      </c>
      <c r="L186" s="13" t="n">
        <f aca="false">H186/Resumen!$B$10</f>
        <v>0.0461133069828722</v>
      </c>
      <c r="M186" s="13" t="n">
        <f aca="false">K186/Resumen!$B$10</f>
        <v>0.0461133069828722</v>
      </c>
      <c r="N186" s="22" t="n">
        <f aca="false">M186-L186</f>
        <v>0</v>
      </c>
      <c r="O186" s="13" t="n">
        <f aca="false">G186/Resumen!$B$11</f>
        <v>0</v>
      </c>
      <c r="P186" s="13" t="n">
        <f aca="false">J186/Resumen!$B$11</f>
        <v>0</v>
      </c>
      <c r="Q186" s="4" t="str">
        <f aca="false">IF(S186&gt;=Resumen!$B$8,"AUMENTA",IF(S186&lt;=-Resumen!$B$8,"DISMINUYE","SIN CAMBIO"))</f>
        <v>SIN CAMBIO</v>
      </c>
      <c r="R186" s="4" t="str">
        <f aca="false">IF(AND(M186&lt;=1,P186&lt;=1),"CUMPLE","NO CUMPLE")</f>
        <v>CUMPLE</v>
      </c>
      <c r="S186" s="23" t="n">
        <f aca="false">K186-H186</f>
        <v>0</v>
      </c>
      <c r="T186" s="12" t="n">
        <f aca="false">IF(H186&lt;0.005,"-",K186/H186-1)</f>
        <v>0</v>
      </c>
    </row>
    <row r="187" customFormat="false" ht="15" hidden="false" customHeight="false" outlineLevel="0" collapsed="false">
      <c r="A187" s="4" t="n">
        <v>315</v>
      </c>
      <c r="B187" s="4" t="n">
        <v>92</v>
      </c>
      <c r="C187" s="4" t="s">
        <v>63</v>
      </c>
      <c r="D187" s="4" t="s">
        <v>568</v>
      </c>
      <c r="E187" s="18" t="n">
        <v>0.11</v>
      </c>
      <c r="F187" s="18" t="n">
        <f aca="false">SUMPRODUCT(MAX((Estaciones!$A$5:$A$1064=A187)*ABS(Estaciones!$D$5:$D$1064)))</f>
        <v>0</v>
      </c>
      <c r="G187" s="18" t="n">
        <f aca="false">_xlfn.MAXIFS(Estaciones!$T$5:$T$1064,Estaciones!$A$5:$A$1064,A187)</f>
        <v>0</v>
      </c>
      <c r="H187" s="18" t="n">
        <f aca="false">_xlfn.MAXIFS(Estaciones!$R$5:$R$1064,Estaciones!$A$5:$A$1064,A187)</f>
        <v>0</v>
      </c>
      <c r="I187" s="18" t="n">
        <f aca="false">SUMPRODUCT(MAX((Estaciones!$A$5:$A$1064=A187)*ABS(Estaciones!$K$5:$K$1064)))</f>
        <v>0</v>
      </c>
      <c r="J187" s="18" t="n">
        <f aca="false">_xlfn.MAXIFS(Estaciones!$U$5:$U$1064,Estaciones!$A$5:$A$1064,A187)</f>
        <v>0</v>
      </c>
      <c r="K187" s="18" t="n">
        <f aca="false">_xlfn.MAXIFS(Estaciones!$S$5:$S$1064,Estaciones!$A$5:$A$1064,A187)</f>
        <v>0</v>
      </c>
      <c r="L187" s="13" t="n">
        <f aca="false">H187/Resumen!$B$10</f>
        <v>0</v>
      </c>
      <c r="M187" s="13" t="n">
        <f aca="false">K187/Resumen!$B$10</f>
        <v>0</v>
      </c>
      <c r="N187" s="22" t="n">
        <f aca="false">M187-L187</f>
        <v>0</v>
      </c>
      <c r="O187" s="13" t="n">
        <f aca="false">G187/Resumen!$B$11</f>
        <v>0</v>
      </c>
      <c r="P187" s="13" t="n">
        <f aca="false">J187/Resumen!$B$11</f>
        <v>0</v>
      </c>
      <c r="Q187" s="4" t="str">
        <f aca="false">IF(S187&gt;=Resumen!$B$8,"AUMENTA",IF(S187&lt;=-Resumen!$B$8,"DISMINUYE","SIN CAMBIO"))</f>
        <v>SIN CAMBIO</v>
      </c>
      <c r="R187" s="4" t="str">
        <f aca="false">IF(AND(M187&lt;=1,P187&lt;=1),"CUMPLE","NO CUMPLE")</f>
        <v>CUMPLE</v>
      </c>
      <c r="S187" s="23" t="n">
        <f aca="false">K187-H187</f>
        <v>0</v>
      </c>
      <c r="T187" s="12" t="str">
        <f aca="false">IF(H187&lt;0.005,"-",K187/H187-1)</f>
        <v>-</v>
      </c>
    </row>
    <row r="188" customFormat="false" ht="15" hidden="false" customHeight="false" outlineLevel="0" collapsed="false">
      <c r="A188" s="4" t="n">
        <v>316</v>
      </c>
      <c r="B188" s="4" t="n">
        <v>93</v>
      </c>
      <c r="C188" s="4" t="s">
        <v>63</v>
      </c>
      <c r="D188" s="4" t="s">
        <v>568</v>
      </c>
      <c r="E188" s="18" t="n">
        <v>0.11</v>
      </c>
      <c r="F188" s="18" t="n">
        <f aca="false">SUMPRODUCT(MAX((Estaciones!$A$5:$A$1064=A188)*ABS(Estaciones!$D$5:$D$1064)))</f>
        <v>0</v>
      </c>
      <c r="G188" s="18" t="n">
        <f aca="false">_xlfn.MAXIFS(Estaciones!$T$5:$T$1064,Estaciones!$A$5:$A$1064,A188)</f>
        <v>0</v>
      </c>
      <c r="H188" s="18" t="n">
        <f aca="false">_xlfn.MAXIFS(Estaciones!$R$5:$R$1064,Estaciones!$A$5:$A$1064,A188)</f>
        <v>0</v>
      </c>
      <c r="I188" s="18" t="n">
        <f aca="false">SUMPRODUCT(MAX((Estaciones!$A$5:$A$1064=A188)*ABS(Estaciones!$K$5:$K$1064)))</f>
        <v>0</v>
      </c>
      <c r="J188" s="18" t="n">
        <f aca="false">_xlfn.MAXIFS(Estaciones!$U$5:$U$1064,Estaciones!$A$5:$A$1064,A188)</f>
        <v>0</v>
      </c>
      <c r="K188" s="18" t="n">
        <f aca="false">_xlfn.MAXIFS(Estaciones!$S$5:$S$1064,Estaciones!$A$5:$A$1064,A188)</f>
        <v>0</v>
      </c>
      <c r="L188" s="13" t="n">
        <f aca="false">H188/Resumen!$B$10</f>
        <v>0</v>
      </c>
      <c r="M188" s="13" t="n">
        <f aca="false">K188/Resumen!$B$10</f>
        <v>0</v>
      </c>
      <c r="N188" s="22" t="n">
        <f aca="false">M188-L188</f>
        <v>0</v>
      </c>
      <c r="O188" s="13" t="n">
        <f aca="false">G188/Resumen!$B$11</f>
        <v>0</v>
      </c>
      <c r="P188" s="13" t="n">
        <f aca="false">J188/Resumen!$B$11</f>
        <v>0</v>
      </c>
      <c r="Q188" s="4" t="str">
        <f aca="false">IF(S188&gt;=Resumen!$B$8,"AUMENTA",IF(S188&lt;=-Resumen!$B$8,"DISMINUYE","SIN CAMBIO"))</f>
        <v>SIN CAMBIO</v>
      </c>
      <c r="R188" s="4" t="str">
        <f aca="false">IF(AND(M188&lt;=1,P188&lt;=1),"CUMPLE","NO CUMPLE")</f>
        <v>CUMPLE</v>
      </c>
      <c r="S188" s="23" t="n">
        <f aca="false">K188-H188</f>
        <v>0</v>
      </c>
      <c r="T188" s="12" t="str">
        <f aca="false">IF(H188&lt;0.005,"-",K188/H188-1)</f>
        <v>-</v>
      </c>
    </row>
    <row r="189" customFormat="false" ht="15" hidden="false" customHeight="false" outlineLevel="0" collapsed="false">
      <c r="A189" s="4" t="n">
        <v>317</v>
      </c>
      <c r="B189" s="4" t="n">
        <v>94</v>
      </c>
      <c r="C189" s="4" t="s">
        <v>63</v>
      </c>
      <c r="D189" s="4" t="s">
        <v>568</v>
      </c>
      <c r="E189" s="18" t="n">
        <v>0.11</v>
      </c>
      <c r="F189" s="18" t="n">
        <f aca="false">SUMPRODUCT(MAX((Estaciones!$A$5:$A$1064=A189)*ABS(Estaciones!$D$5:$D$1064)))</f>
        <v>0</v>
      </c>
      <c r="G189" s="18" t="n">
        <f aca="false">_xlfn.MAXIFS(Estaciones!$T$5:$T$1064,Estaciones!$A$5:$A$1064,A189)</f>
        <v>0</v>
      </c>
      <c r="H189" s="18" t="n">
        <f aca="false">_xlfn.MAXIFS(Estaciones!$R$5:$R$1064,Estaciones!$A$5:$A$1064,A189)</f>
        <v>0</v>
      </c>
      <c r="I189" s="18" t="n">
        <f aca="false">SUMPRODUCT(MAX((Estaciones!$A$5:$A$1064=A189)*ABS(Estaciones!$K$5:$K$1064)))</f>
        <v>0</v>
      </c>
      <c r="J189" s="18" t="n">
        <f aca="false">_xlfn.MAXIFS(Estaciones!$U$5:$U$1064,Estaciones!$A$5:$A$1064,A189)</f>
        <v>0</v>
      </c>
      <c r="K189" s="18" t="n">
        <f aca="false">_xlfn.MAXIFS(Estaciones!$S$5:$S$1064,Estaciones!$A$5:$A$1064,A189)</f>
        <v>0</v>
      </c>
      <c r="L189" s="13" t="n">
        <f aca="false">H189/Resumen!$B$10</f>
        <v>0</v>
      </c>
      <c r="M189" s="13" t="n">
        <f aca="false">K189/Resumen!$B$10</f>
        <v>0</v>
      </c>
      <c r="N189" s="22" t="n">
        <f aca="false">M189-L189</f>
        <v>0</v>
      </c>
      <c r="O189" s="13" t="n">
        <f aca="false">G189/Resumen!$B$11</f>
        <v>0</v>
      </c>
      <c r="P189" s="13" t="n">
        <f aca="false">J189/Resumen!$B$11</f>
        <v>0</v>
      </c>
      <c r="Q189" s="4" t="str">
        <f aca="false">IF(S189&gt;=Resumen!$B$8,"AUMENTA",IF(S189&lt;=-Resumen!$B$8,"DISMINUYE","SIN CAMBIO"))</f>
        <v>SIN CAMBIO</v>
      </c>
      <c r="R189" s="4" t="str">
        <f aca="false">IF(AND(M189&lt;=1,P189&lt;=1),"CUMPLE","NO CUMPLE")</f>
        <v>CUMPLE</v>
      </c>
      <c r="S189" s="23" t="n">
        <f aca="false">K189-H189</f>
        <v>0</v>
      </c>
      <c r="T189" s="12" t="str">
        <f aca="false">IF(H189&lt;0.005,"-",K189/H189-1)</f>
        <v>-</v>
      </c>
    </row>
    <row r="190" customFormat="false" ht="15" hidden="false" customHeight="false" outlineLevel="0" collapsed="false">
      <c r="A190" s="4" t="n">
        <v>318</v>
      </c>
      <c r="B190" s="4" t="n">
        <v>95</v>
      </c>
      <c r="C190" s="4" t="s">
        <v>63</v>
      </c>
      <c r="D190" s="4" t="s">
        <v>568</v>
      </c>
      <c r="E190" s="18" t="n">
        <v>0.11</v>
      </c>
      <c r="F190" s="18" t="n">
        <f aca="false">SUMPRODUCT(MAX((Estaciones!$A$5:$A$1064=A190)*ABS(Estaciones!$D$5:$D$1064)))</f>
        <v>0</v>
      </c>
      <c r="G190" s="18" t="n">
        <f aca="false">_xlfn.MAXIFS(Estaciones!$T$5:$T$1064,Estaciones!$A$5:$A$1064,A190)</f>
        <v>0</v>
      </c>
      <c r="H190" s="18" t="n">
        <f aca="false">_xlfn.MAXIFS(Estaciones!$R$5:$R$1064,Estaciones!$A$5:$A$1064,A190)</f>
        <v>0</v>
      </c>
      <c r="I190" s="18" t="n">
        <f aca="false">SUMPRODUCT(MAX((Estaciones!$A$5:$A$1064=A190)*ABS(Estaciones!$K$5:$K$1064)))</f>
        <v>0</v>
      </c>
      <c r="J190" s="18" t="n">
        <f aca="false">_xlfn.MAXIFS(Estaciones!$U$5:$U$1064,Estaciones!$A$5:$A$1064,A190)</f>
        <v>0</v>
      </c>
      <c r="K190" s="18" t="n">
        <f aca="false">_xlfn.MAXIFS(Estaciones!$S$5:$S$1064,Estaciones!$A$5:$A$1064,A190)</f>
        <v>0</v>
      </c>
      <c r="L190" s="13" t="n">
        <f aca="false">H190/Resumen!$B$10</f>
        <v>0</v>
      </c>
      <c r="M190" s="13" t="n">
        <f aca="false">K190/Resumen!$B$10</f>
        <v>0</v>
      </c>
      <c r="N190" s="22" t="n">
        <f aca="false">M190-L190</f>
        <v>0</v>
      </c>
      <c r="O190" s="13" t="n">
        <f aca="false">G190/Resumen!$B$11</f>
        <v>0</v>
      </c>
      <c r="P190" s="13" t="n">
        <f aca="false">J190/Resumen!$B$11</f>
        <v>0</v>
      </c>
      <c r="Q190" s="4" t="str">
        <f aca="false">IF(S190&gt;=Resumen!$B$8,"AUMENTA",IF(S190&lt;=-Resumen!$B$8,"DISMINUYE","SIN CAMBIO"))</f>
        <v>SIN CAMBIO</v>
      </c>
      <c r="R190" s="4" t="str">
        <f aca="false">IF(AND(M190&lt;=1,P190&lt;=1),"CUMPLE","NO CUMPLE")</f>
        <v>CUMPLE</v>
      </c>
      <c r="S190" s="23" t="n">
        <f aca="false">K190-H190</f>
        <v>0</v>
      </c>
      <c r="T190" s="12" t="str">
        <f aca="false">IF(H190&lt;0.005,"-",K190/H190-1)</f>
        <v>-</v>
      </c>
    </row>
    <row r="191" customFormat="false" ht="15" hidden="false" customHeight="false" outlineLevel="0" collapsed="false">
      <c r="A191" s="4" t="n">
        <v>319</v>
      </c>
      <c r="B191" s="4" t="n">
        <v>96</v>
      </c>
      <c r="C191" s="4" t="s">
        <v>63</v>
      </c>
      <c r="D191" s="4" t="s">
        <v>568</v>
      </c>
      <c r="E191" s="18" t="n">
        <v>0.11</v>
      </c>
      <c r="F191" s="18" t="n">
        <f aca="false">SUMPRODUCT(MAX((Estaciones!$A$5:$A$1064=A191)*ABS(Estaciones!$D$5:$D$1064)))</f>
        <v>0</v>
      </c>
      <c r="G191" s="18" t="n">
        <f aca="false">_xlfn.MAXIFS(Estaciones!$T$5:$T$1064,Estaciones!$A$5:$A$1064,A191)</f>
        <v>0</v>
      </c>
      <c r="H191" s="18" t="n">
        <f aca="false">_xlfn.MAXIFS(Estaciones!$R$5:$R$1064,Estaciones!$A$5:$A$1064,A191)</f>
        <v>0</v>
      </c>
      <c r="I191" s="18" t="n">
        <f aca="false">SUMPRODUCT(MAX((Estaciones!$A$5:$A$1064=A191)*ABS(Estaciones!$K$5:$K$1064)))</f>
        <v>0</v>
      </c>
      <c r="J191" s="18" t="n">
        <f aca="false">_xlfn.MAXIFS(Estaciones!$U$5:$U$1064,Estaciones!$A$5:$A$1064,A191)</f>
        <v>0</v>
      </c>
      <c r="K191" s="18" t="n">
        <f aca="false">_xlfn.MAXIFS(Estaciones!$S$5:$S$1064,Estaciones!$A$5:$A$1064,A191)</f>
        <v>0</v>
      </c>
      <c r="L191" s="13" t="n">
        <f aca="false">H191/Resumen!$B$10</f>
        <v>0</v>
      </c>
      <c r="M191" s="13" t="n">
        <f aca="false">K191/Resumen!$B$10</f>
        <v>0</v>
      </c>
      <c r="N191" s="22" t="n">
        <f aca="false">M191-L191</f>
        <v>0</v>
      </c>
      <c r="O191" s="13" t="n">
        <f aca="false">G191/Resumen!$B$11</f>
        <v>0</v>
      </c>
      <c r="P191" s="13" t="n">
        <f aca="false">J191/Resumen!$B$11</f>
        <v>0</v>
      </c>
      <c r="Q191" s="4" t="str">
        <f aca="false">IF(S191&gt;=Resumen!$B$8,"AUMENTA",IF(S191&lt;=-Resumen!$B$8,"DISMINUYE","SIN CAMBIO"))</f>
        <v>SIN CAMBIO</v>
      </c>
      <c r="R191" s="4" t="str">
        <f aca="false">IF(AND(M191&lt;=1,P191&lt;=1),"CUMPLE","NO CUMPLE")</f>
        <v>CUMPLE</v>
      </c>
      <c r="S191" s="23" t="n">
        <f aca="false">K191-H191</f>
        <v>0</v>
      </c>
      <c r="T191" s="12" t="str">
        <f aca="false">IF(H191&lt;0.005,"-",K191/H191-1)</f>
        <v>-</v>
      </c>
    </row>
    <row r="192" customFormat="false" ht="15" hidden="false" customHeight="false" outlineLevel="0" collapsed="false">
      <c r="A192" s="4" t="n">
        <v>320</v>
      </c>
      <c r="B192" s="4" t="n">
        <v>97</v>
      </c>
      <c r="C192" s="4" t="s">
        <v>63</v>
      </c>
      <c r="D192" s="4" t="s">
        <v>568</v>
      </c>
      <c r="E192" s="18" t="n">
        <v>0.11</v>
      </c>
      <c r="F192" s="18" t="n">
        <f aca="false">SUMPRODUCT(MAX((Estaciones!$A$5:$A$1064=A192)*ABS(Estaciones!$D$5:$D$1064)))</f>
        <v>0</v>
      </c>
      <c r="G192" s="18" t="n">
        <f aca="false">_xlfn.MAXIFS(Estaciones!$T$5:$T$1064,Estaciones!$A$5:$A$1064,A192)</f>
        <v>0</v>
      </c>
      <c r="H192" s="18" t="n">
        <f aca="false">_xlfn.MAXIFS(Estaciones!$R$5:$R$1064,Estaciones!$A$5:$A$1064,A192)</f>
        <v>0</v>
      </c>
      <c r="I192" s="18" t="n">
        <f aca="false">SUMPRODUCT(MAX((Estaciones!$A$5:$A$1064=A192)*ABS(Estaciones!$K$5:$K$1064)))</f>
        <v>0</v>
      </c>
      <c r="J192" s="18" t="n">
        <f aca="false">_xlfn.MAXIFS(Estaciones!$U$5:$U$1064,Estaciones!$A$5:$A$1064,A192)</f>
        <v>0</v>
      </c>
      <c r="K192" s="18" t="n">
        <f aca="false">_xlfn.MAXIFS(Estaciones!$S$5:$S$1064,Estaciones!$A$5:$A$1064,A192)</f>
        <v>0</v>
      </c>
      <c r="L192" s="13" t="n">
        <f aca="false">H192/Resumen!$B$10</f>
        <v>0</v>
      </c>
      <c r="M192" s="13" t="n">
        <f aca="false">K192/Resumen!$B$10</f>
        <v>0</v>
      </c>
      <c r="N192" s="22" t="n">
        <f aca="false">M192-L192</f>
        <v>0</v>
      </c>
      <c r="O192" s="13" t="n">
        <f aca="false">G192/Resumen!$B$11</f>
        <v>0</v>
      </c>
      <c r="P192" s="13" t="n">
        <f aca="false">J192/Resumen!$B$11</f>
        <v>0</v>
      </c>
      <c r="Q192" s="4" t="str">
        <f aca="false">IF(S192&gt;=Resumen!$B$8,"AUMENTA",IF(S192&lt;=-Resumen!$B$8,"DISMINUYE","SIN CAMBIO"))</f>
        <v>SIN CAMBIO</v>
      </c>
      <c r="R192" s="4" t="str">
        <f aca="false">IF(AND(M192&lt;=1,P192&lt;=1),"CUMPLE","NO CUMPLE")</f>
        <v>CUMPLE</v>
      </c>
      <c r="S192" s="23" t="n">
        <f aca="false">K192-H192</f>
        <v>0</v>
      </c>
      <c r="T192" s="12" t="str">
        <f aca="false">IF(H192&lt;0.005,"-",K192/H192-1)</f>
        <v>-</v>
      </c>
    </row>
    <row r="193" customFormat="false" ht="15" hidden="false" customHeight="false" outlineLevel="0" collapsed="false">
      <c r="A193" s="4" t="n">
        <v>321</v>
      </c>
      <c r="B193" s="4" t="n">
        <v>98</v>
      </c>
      <c r="C193" s="4" t="s">
        <v>63</v>
      </c>
      <c r="D193" s="4" t="s">
        <v>568</v>
      </c>
      <c r="E193" s="18" t="n">
        <v>0.11</v>
      </c>
      <c r="F193" s="18" t="n">
        <f aca="false">SUMPRODUCT(MAX((Estaciones!$A$5:$A$1064=A193)*ABS(Estaciones!$D$5:$D$1064)))</f>
        <v>0</v>
      </c>
      <c r="G193" s="18" t="n">
        <f aca="false">_xlfn.MAXIFS(Estaciones!$T$5:$T$1064,Estaciones!$A$5:$A$1064,A193)</f>
        <v>0</v>
      </c>
      <c r="H193" s="18" t="n">
        <f aca="false">_xlfn.MAXIFS(Estaciones!$R$5:$R$1064,Estaciones!$A$5:$A$1064,A193)</f>
        <v>0</v>
      </c>
      <c r="I193" s="18" t="n">
        <f aca="false">SUMPRODUCT(MAX((Estaciones!$A$5:$A$1064=A193)*ABS(Estaciones!$K$5:$K$1064)))</f>
        <v>0</v>
      </c>
      <c r="J193" s="18" t="n">
        <f aca="false">_xlfn.MAXIFS(Estaciones!$U$5:$U$1064,Estaciones!$A$5:$A$1064,A193)</f>
        <v>0</v>
      </c>
      <c r="K193" s="18" t="n">
        <f aca="false">_xlfn.MAXIFS(Estaciones!$S$5:$S$1064,Estaciones!$A$5:$A$1064,A193)</f>
        <v>0</v>
      </c>
      <c r="L193" s="13" t="n">
        <f aca="false">H193/Resumen!$B$10</f>
        <v>0</v>
      </c>
      <c r="M193" s="13" t="n">
        <f aca="false">K193/Resumen!$B$10</f>
        <v>0</v>
      </c>
      <c r="N193" s="22" t="n">
        <f aca="false">M193-L193</f>
        <v>0</v>
      </c>
      <c r="O193" s="13" t="n">
        <f aca="false">G193/Resumen!$B$11</f>
        <v>0</v>
      </c>
      <c r="P193" s="13" t="n">
        <f aca="false">J193/Resumen!$B$11</f>
        <v>0</v>
      </c>
      <c r="Q193" s="4" t="str">
        <f aca="false">IF(S193&gt;=Resumen!$B$8,"AUMENTA",IF(S193&lt;=-Resumen!$B$8,"DISMINUYE","SIN CAMBIO"))</f>
        <v>SIN CAMBIO</v>
      </c>
      <c r="R193" s="4" t="str">
        <f aca="false">IF(AND(M193&lt;=1,P193&lt;=1),"CUMPLE","NO CUMPLE")</f>
        <v>CUMPLE</v>
      </c>
      <c r="S193" s="23" t="n">
        <f aca="false">K193-H193</f>
        <v>0</v>
      </c>
      <c r="T193" s="12" t="str">
        <f aca="false">IF(H193&lt;0.005,"-",K193/H193-1)</f>
        <v>-</v>
      </c>
    </row>
    <row r="194" customFormat="false" ht="15" hidden="false" customHeight="false" outlineLevel="0" collapsed="false">
      <c r="A194" s="4" t="n">
        <v>322</v>
      </c>
      <c r="B194" s="4" t="n">
        <v>99</v>
      </c>
      <c r="C194" s="4" t="s">
        <v>63</v>
      </c>
      <c r="D194" s="4" t="s">
        <v>568</v>
      </c>
      <c r="E194" s="18" t="n">
        <v>0.11</v>
      </c>
      <c r="F194" s="18" t="n">
        <f aca="false">SUMPRODUCT(MAX((Estaciones!$A$5:$A$1064=A194)*ABS(Estaciones!$D$5:$D$1064)))</f>
        <v>0</v>
      </c>
      <c r="G194" s="18" t="n">
        <f aca="false">_xlfn.MAXIFS(Estaciones!$T$5:$T$1064,Estaciones!$A$5:$A$1064,A194)</f>
        <v>0</v>
      </c>
      <c r="H194" s="18" t="n">
        <f aca="false">_xlfn.MAXIFS(Estaciones!$R$5:$R$1064,Estaciones!$A$5:$A$1064,A194)</f>
        <v>0</v>
      </c>
      <c r="I194" s="18" t="n">
        <f aca="false">SUMPRODUCT(MAX((Estaciones!$A$5:$A$1064=A194)*ABS(Estaciones!$K$5:$K$1064)))</f>
        <v>0</v>
      </c>
      <c r="J194" s="18" t="n">
        <f aca="false">_xlfn.MAXIFS(Estaciones!$U$5:$U$1064,Estaciones!$A$5:$A$1064,A194)</f>
        <v>0</v>
      </c>
      <c r="K194" s="18" t="n">
        <f aca="false">_xlfn.MAXIFS(Estaciones!$S$5:$S$1064,Estaciones!$A$5:$A$1064,A194)</f>
        <v>0</v>
      </c>
      <c r="L194" s="13" t="n">
        <f aca="false">H194/Resumen!$B$10</f>
        <v>0</v>
      </c>
      <c r="M194" s="13" t="n">
        <f aca="false">K194/Resumen!$B$10</f>
        <v>0</v>
      </c>
      <c r="N194" s="22" t="n">
        <f aca="false">M194-L194</f>
        <v>0</v>
      </c>
      <c r="O194" s="13" t="n">
        <f aca="false">G194/Resumen!$B$11</f>
        <v>0</v>
      </c>
      <c r="P194" s="13" t="n">
        <f aca="false">J194/Resumen!$B$11</f>
        <v>0</v>
      </c>
      <c r="Q194" s="4" t="str">
        <f aca="false">IF(S194&gt;=Resumen!$B$8,"AUMENTA",IF(S194&lt;=-Resumen!$B$8,"DISMINUYE","SIN CAMBIO"))</f>
        <v>SIN CAMBIO</v>
      </c>
      <c r="R194" s="4" t="str">
        <f aca="false">IF(AND(M194&lt;=1,P194&lt;=1),"CUMPLE","NO CUMPLE")</f>
        <v>CUMPLE</v>
      </c>
      <c r="S194" s="23" t="n">
        <f aca="false">K194-H194</f>
        <v>0</v>
      </c>
      <c r="T194" s="12" t="str">
        <f aca="false">IF(H194&lt;0.005,"-",K194/H194-1)</f>
        <v>-</v>
      </c>
    </row>
    <row r="195" customFormat="false" ht="15" hidden="false" customHeight="false" outlineLevel="0" collapsed="false">
      <c r="A195" s="4" t="n">
        <v>326</v>
      </c>
      <c r="B195" s="4" t="n">
        <v>103</v>
      </c>
      <c r="C195" s="4" t="s">
        <v>63</v>
      </c>
      <c r="D195" s="4" t="s">
        <v>568</v>
      </c>
      <c r="E195" s="18" t="n">
        <v>1.18</v>
      </c>
      <c r="F195" s="18" t="n">
        <f aca="false">SUMPRODUCT(MAX((Estaciones!$A$5:$A$1064=A195)*ABS(Estaciones!$D$5:$D$1064)))</f>
        <v>0.01</v>
      </c>
      <c r="G195" s="18" t="n">
        <f aca="false">_xlfn.MAXIFS(Estaciones!$T$5:$T$1064,Estaciones!$A$5:$A$1064,A195)</f>
        <v>0</v>
      </c>
      <c r="H195" s="18" t="n">
        <f aca="false">_xlfn.MAXIFS(Estaciones!$R$5:$R$1064,Estaciones!$A$5:$A$1064,A195)</f>
        <v>0.07</v>
      </c>
      <c r="I195" s="18" t="n">
        <f aca="false">SUMPRODUCT(MAX((Estaciones!$A$5:$A$1064=A195)*ABS(Estaciones!$K$5:$K$1064)))</f>
        <v>0.01</v>
      </c>
      <c r="J195" s="18" t="n">
        <f aca="false">_xlfn.MAXIFS(Estaciones!$U$5:$U$1064,Estaciones!$A$5:$A$1064,A195)</f>
        <v>0</v>
      </c>
      <c r="K195" s="18" t="n">
        <f aca="false">_xlfn.MAXIFS(Estaciones!$S$5:$S$1064,Estaciones!$A$5:$A$1064,A195)</f>
        <v>0.07</v>
      </c>
      <c r="L195" s="13" t="n">
        <f aca="false">H195/Resumen!$B$10</f>
        <v>0.0461133069828722</v>
      </c>
      <c r="M195" s="13" t="n">
        <f aca="false">K195/Resumen!$B$10</f>
        <v>0.0461133069828722</v>
      </c>
      <c r="N195" s="22" t="n">
        <f aca="false">M195-L195</f>
        <v>0</v>
      </c>
      <c r="O195" s="13" t="n">
        <f aca="false">G195/Resumen!$B$11</f>
        <v>0</v>
      </c>
      <c r="P195" s="13" t="n">
        <f aca="false">J195/Resumen!$B$11</f>
        <v>0</v>
      </c>
      <c r="Q195" s="4" t="str">
        <f aca="false">IF(S195&gt;=Resumen!$B$8,"AUMENTA",IF(S195&lt;=-Resumen!$B$8,"DISMINUYE","SIN CAMBIO"))</f>
        <v>SIN CAMBIO</v>
      </c>
      <c r="R195" s="4" t="str">
        <f aca="false">IF(AND(M195&lt;=1,P195&lt;=1),"CUMPLE","NO CUMPLE")</f>
        <v>CUMPLE</v>
      </c>
      <c r="S195" s="23" t="n">
        <f aca="false">K195-H195</f>
        <v>0</v>
      </c>
      <c r="T195" s="12" t="n">
        <f aca="false">IF(H195&lt;0.005,"-",K195/H195-1)</f>
        <v>0</v>
      </c>
    </row>
    <row r="196" customFormat="false" ht="15" hidden="false" customHeight="false" outlineLevel="0" collapsed="false">
      <c r="A196" s="4" t="n">
        <v>327</v>
      </c>
      <c r="B196" s="4" t="n">
        <v>104</v>
      </c>
      <c r="C196" s="4" t="s">
        <v>63</v>
      </c>
      <c r="D196" s="4" t="s">
        <v>568</v>
      </c>
      <c r="E196" s="18" t="n">
        <v>1.4</v>
      </c>
      <c r="F196" s="18" t="n">
        <f aca="false">SUMPRODUCT(MAX((Estaciones!$A$5:$A$1064=A196)*ABS(Estaciones!$D$5:$D$1064)))</f>
        <v>0.01</v>
      </c>
      <c r="G196" s="18" t="n">
        <f aca="false">_xlfn.MAXIFS(Estaciones!$T$5:$T$1064,Estaciones!$A$5:$A$1064,A196)</f>
        <v>0</v>
      </c>
      <c r="H196" s="18" t="n">
        <f aca="false">_xlfn.MAXIFS(Estaciones!$R$5:$R$1064,Estaciones!$A$5:$A$1064,A196)</f>
        <v>0.05</v>
      </c>
      <c r="I196" s="18" t="n">
        <f aca="false">SUMPRODUCT(MAX((Estaciones!$A$5:$A$1064=A196)*ABS(Estaciones!$K$5:$K$1064)))</f>
        <v>0.01</v>
      </c>
      <c r="J196" s="18" t="n">
        <f aca="false">_xlfn.MAXIFS(Estaciones!$U$5:$U$1064,Estaciones!$A$5:$A$1064,A196)</f>
        <v>0</v>
      </c>
      <c r="K196" s="18" t="n">
        <f aca="false">_xlfn.MAXIFS(Estaciones!$S$5:$S$1064,Estaciones!$A$5:$A$1064,A196)</f>
        <v>0.05</v>
      </c>
      <c r="L196" s="13" t="n">
        <f aca="false">H196/Resumen!$B$10</f>
        <v>0.0329380764163373</v>
      </c>
      <c r="M196" s="13" t="n">
        <f aca="false">K196/Resumen!$B$10</f>
        <v>0.0329380764163373</v>
      </c>
      <c r="N196" s="22" t="n">
        <f aca="false">M196-L196</f>
        <v>0</v>
      </c>
      <c r="O196" s="13" t="n">
        <f aca="false">G196/Resumen!$B$11</f>
        <v>0</v>
      </c>
      <c r="P196" s="13" t="n">
        <f aca="false">J196/Resumen!$B$11</f>
        <v>0</v>
      </c>
      <c r="Q196" s="4" t="str">
        <f aca="false">IF(S196&gt;=Resumen!$B$8,"AUMENTA",IF(S196&lt;=-Resumen!$B$8,"DISMINUYE","SIN CAMBIO"))</f>
        <v>SIN CAMBIO</v>
      </c>
      <c r="R196" s="4" t="str">
        <f aca="false">IF(AND(M196&lt;=1,P196&lt;=1),"CUMPLE","NO CUMPLE")</f>
        <v>CUMPLE</v>
      </c>
      <c r="S196" s="23" t="n">
        <f aca="false">K196-H196</f>
        <v>0</v>
      </c>
      <c r="T196" s="12" t="n">
        <f aca="false">IF(H196&lt;0.005,"-",K196/H196-1)</f>
        <v>0</v>
      </c>
    </row>
    <row r="197" customFormat="false" ht="15" hidden="false" customHeight="false" outlineLevel="0" collapsed="false">
      <c r="A197" s="4" t="n">
        <v>328</v>
      </c>
      <c r="B197" s="4" t="n">
        <v>105</v>
      </c>
      <c r="C197" s="4" t="s">
        <v>63</v>
      </c>
      <c r="D197" s="4" t="s">
        <v>568</v>
      </c>
      <c r="E197" s="18" t="n">
        <v>1.18</v>
      </c>
      <c r="F197" s="18" t="n">
        <f aca="false">SUMPRODUCT(MAX((Estaciones!$A$5:$A$1064=A197)*ABS(Estaciones!$D$5:$D$1064)))</f>
        <v>0.01</v>
      </c>
      <c r="G197" s="18" t="n">
        <f aca="false">_xlfn.MAXIFS(Estaciones!$T$5:$T$1064,Estaciones!$A$5:$A$1064,A197)</f>
        <v>0</v>
      </c>
      <c r="H197" s="18" t="n">
        <f aca="false">_xlfn.MAXIFS(Estaciones!$R$5:$R$1064,Estaciones!$A$5:$A$1064,A197)</f>
        <v>0.07</v>
      </c>
      <c r="I197" s="18" t="n">
        <f aca="false">SUMPRODUCT(MAX((Estaciones!$A$5:$A$1064=A197)*ABS(Estaciones!$K$5:$K$1064)))</f>
        <v>0.01</v>
      </c>
      <c r="J197" s="18" t="n">
        <f aca="false">_xlfn.MAXIFS(Estaciones!$U$5:$U$1064,Estaciones!$A$5:$A$1064,A197)</f>
        <v>0</v>
      </c>
      <c r="K197" s="18" t="n">
        <f aca="false">_xlfn.MAXIFS(Estaciones!$S$5:$S$1064,Estaciones!$A$5:$A$1064,A197)</f>
        <v>0.08</v>
      </c>
      <c r="L197" s="13" t="n">
        <f aca="false">H197/Resumen!$B$10</f>
        <v>0.0461133069828722</v>
      </c>
      <c r="M197" s="13" t="n">
        <f aca="false">K197/Resumen!$B$10</f>
        <v>0.0527009222661397</v>
      </c>
      <c r="N197" s="22" t="n">
        <f aca="false">M197-L197</f>
        <v>0.00658761528326745</v>
      </c>
      <c r="O197" s="13" t="n">
        <f aca="false">G197/Resumen!$B$11</f>
        <v>0</v>
      </c>
      <c r="P197" s="13" t="n">
        <f aca="false">J197/Resumen!$B$11</f>
        <v>0</v>
      </c>
      <c r="Q197" s="4" t="str">
        <f aca="false">IF(S197&gt;=Resumen!$B$8,"AUMENTA",IF(S197&lt;=-Resumen!$B$8,"DISMINUYE","SIN CAMBIO"))</f>
        <v>SIN CAMBIO</v>
      </c>
      <c r="R197" s="4" t="str">
        <f aca="false">IF(AND(M197&lt;=1,P197&lt;=1),"CUMPLE","NO CUMPLE")</f>
        <v>CUMPLE</v>
      </c>
      <c r="S197" s="23" t="n">
        <f aca="false">K197-H197</f>
        <v>0.01</v>
      </c>
      <c r="T197" s="12" t="n">
        <f aca="false">IF(H197&lt;0.005,"-",K197/H197-1)</f>
        <v>0.142857142857143</v>
      </c>
    </row>
    <row r="198" customFormat="false" ht="15" hidden="false" customHeight="false" outlineLevel="0" collapsed="false">
      <c r="A198" s="4" t="n">
        <v>329</v>
      </c>
      <c r="B198" s="4" t="n">
        <v>106</v>
      </c>
      <c r="C198" s="4" t="s">
        <v>63</v>
      </c>
      <c r="D198" s="4" t="s">
        <v>568</v>
      </c>
      <c r="E198" s="18" t="n">
        <v>1.4</v>
      </c>
      <c r="F198" s="18" t="n">
        <f aca="false">SUMPRODUCT(MAX((Estaciones!$A$5:$A$1064=A198)*ABS(Estaciones!$D$5:$D$1064)))</f>
        <v>0.02</v>
      </c>
      <c r="G198" s="18" t="n">
        <f aca="false">_xlfn.MAXIFS(Estaciones!$T$5:$T$1064,Estaciones!$A$5:$A$1064,A198)</f>
        <v>0</v>
      </c>
      <c r="H198" s="18" t="n">
        <f aca="false">_xlfn.MAXIFS(Estaciones!$R$5:$R$1064,Estaciones!$A$5:$A$1064,A198)</f>
        <v>0.08</v>
      </c>
      <c r="I198" s="18" t="n">
        <f aca="false">SUMPRODUCT(MAX((Estaciones!$A$5:$A$1064=A198)*ABS(Estaciones!$K$5:$K$1064)))</f>
        <v>0.02</v>
      </c>
      <c r="J198" s="18" t="n">
        <f aca="false">_xlfn.MAXIFS(Estaciones!$U$5:$U$1064,Estaciones!$A$5:$A$1064,A198)</f>
        <v>0</v>
      </c>
      <c r="K198" s="18" t="n">
        <f aca="false">_xlfn.MAXIFS(Estaciones!$S$5:$S$1064,Estaciones!$A$5:$A$1064,A198)</f>
        <v>0.08</v>
      </c>
      <c r="L198" s="13" t="n">
        <f aca="false">H198/Resumen!$B$10</f>
        <v>0.0527009222661397</v>
      </c>
      <c r="M198" s="13" t="n">
        <f aca="false">K198/Resumen!$B$10</f>
        <v>0.0527009222661397</v>
      </c>
      <c r="N198" s="22" t="n">
        <f aca="false">M198-L198</f>
        <v>0</v>
      </c>
      <c r="O198" s="13" t="n">
        <f aca="false">G198/Resumen!$B$11</f>
        <v>0</v>
      </c>
      <c r="P198" s="13" t="n">
        <f aca="false">J198/Resumen!$B$11</f>
        <v>0</v>
      </c>
      <c r="Q198" s="4" t="str">
        <f aca="false">IF(S198&gt;=Resumen!$B$8,"AUMENTA",IF(S198&lt;=-Resumen!$B$8,"DISMINUYE","SIN CAMBIO"))</f>
        <v>SIN CAMBIO</v>
      </c>
      <c r="R198" s="4" t="str">
        <f aca="false">IF(AND(M198&lt;=1,P198&lt;=1),"CUMPLE","NO CUMPLE")</f>
        <v>CUMPLE</v>
      </c>
      <c r="S198" s="23" t="n">
        <f aca="false">K198-H198</f>
        <v>0</v>
      </c>
      <c r="T198" s="12" t="n">
        <f aca="false">IF(H198&lt;0.005,"-",K198/H198-1)</f>
        <v>0</v>
      </c>
    </row>
    <row r="199" customFormat="false" ht="15" hidden="false" customHeight="false" outlineLevel="0" collapsed="false">
      <c r="A199" s="4" t="n">
        <v>330</v>
      </c>
      <c r="B199" s="4" t="n">
        <v>107</v>
      </c>
      <c r="C199" s="4" t="s">
        <v>63</v>
      </c>
      <c r="D199" s="4" t="s">
        <v>568</v>
      </c>
      <c r="E199" s="18" t="n">
        <v>1.18</v>
      </c>
      <c r="F199" s="18" t="n">
        <f aca="false">SUMPRODUCT(MAX((Estaciones!$A$5:$A$1064=A199)*ABS(Estaciones!$D$5:$D$1064)))</f>
        <v>0</v>
      </c>
      <c r="G199" s="18" t="n">
        <f aca="false">_xlfn.MAXIFS(Estaciones!$T$5:$T$1064,Estaciones!$A$5:$A$1064,A199)</f>
        <v>0</v>
      </c>
      <c r="H199" s="18" t="n">
        <f aca="false">_xlfn.MAXIFS(Estaciones!$R$5:$R$1064,Estaciones!$A$5:$A$1064,A199)</f>
        <v>0.05</v>
      </c>
      <c r="I199" s="18" t="n">
        <f aca="false">SUMPRODUCT(MAX((Estaciones!$A$5:$A$1064=A199)*ABS(Estaciones!$K$5:$K$1064)))</f>
        <v>0</v>
      </c>
      <c r="J199" s="18" t="n">
        <f aca="false">_xlfn.MAXIFS(Estaciones!$U$5:$U$1064,Estaciones!$A$5:$A$1064,A199)</f>
        <v>0</v>
      </c>
      <c r="K199" s="18" t="n">
        <f aca="false">_xlfn.MAXIFS(Estaciones!$S$5:$S$1064,Estaciones!$A$5:$A$1064,A199)</f>
        <v>0.05</v>
      </c>
      <c r="L199" s="13" t="n">
        <f aca="false">H199/Resumen!$B$10</f>
        <v>0.0329380764163373</v>
      </c>
      <c r="M199" s="13" t="n">
        <f aca="false">K199/Resumen!$B$10</f>
        <v>0.0329380764163373</v>
      </c>
      <c r="N199" s="22" t="n">
        <f aca="false">M199-L199</f>
        <v>0</v>
      </c>
      <c r="O199" s="13" t="n">
        <f aca="false">G199/Resumen!$B$11</f>
        <v>0</v>
      </c>
      <c r="P199" s="13" t="n">
        <f aca="false">J199/Resumen!$B$11</f>
        <v>0</v>
      </c>
      <c r="Q199" s="4" t="str">
        <f aca="false">IF(S199&gt;=Resumen!$B$8,"AUMENTA",IF(S199&lt;=-Resumen!$B$8,"DISMINUYE","SIN CAMBIO"))</f>
        <v>SIN CAMBIO</v>
      </c>
      <c r="R199" s="4" t="str">
        <f aca="false">IF(AND(M199&lt;=1,P199&lt;=1),"CUMPLE","NO CUMPLE")</f>
        <v>CUMPLE</v>
      </c>
      <c r="S199" s="23" t="n">
        <f aca="false">K199-H199</f>
        <v>0</v>
      </c>
      <c r="T199" s="12" t="n">
        <f aca="false">IF(H199&lt;0.005,"-",K199/H199-1)</f>
        <v>0</v>
      </c>
    </row>
    <row r="200" customFormat="false" ht="15" hidden="false" customHeight="false" outlineLevel="0" collapsed="false">
      <c r="A200" s="4" t="n">
        <v>331</v>
      </c>
      <c r="B200" s="4" t="n">
        <v>108</v>
      </c>
      <c r="C200" s="4" t="s">
        <v>63</v>
      </c>
      <c r="D200" s="4" t="s">
        <v>568</v>
      </c>
      <c r="E200" s="18" t="n">
        <v>1.4</v>
      </c>
      <c r="F200" s="18" t="n">
        <f aca="false">SUMPRODUCT(MAX((Estaciones!$A$5:$A$1064=A200)*ABS(Estaciones!$D$5:$D$1064)))</f>
        <v>0</v>
      </c>
      <c r="G200" s="18" t="n">
        <f aca="false">_xlfn.MAXIFS(Estaciones!$T$5:$T$1064,Estaciones!$A$5:$A$1064,A200)</f>
        <v>0</v>
      </c>
      <c r="H200" s="18" t="n">
        <f aca="false">_xlfn.MAXIFS(Estaciones!$R$5:$R$1064,Estaciones!$A$5:$A$1064,A200)</f>
        <v>0.05</v>
      </c>
      <c r="I200" s="18" t="n">
        <f aca="false">SUMPRODUCT(MAX((Estaciones!$A$5:$A$1064=A200)*ABS(Estaciones!$K$5:$K$1064)))</f>
        <v>0</v>
      </c>
      <c r="J200" s="18" t="n">
        <f aca="false">_xlfn.MAXIFS(Estaciones!$U$5:$U$1064,Estaciones!$A$5:$A$1064,A200)</f>
        <v>0</v>
      </c>
      <c r="K200" s="18" t="n">
        <f aca="false">_xlfn.MAXIFS(Estaciones!$S$5:$S$1064,Estaciones!$A$5:$A$1064,A200)</f>
        <v>0.05</v>
      </c>
      <c r="L200" s="13" t="n">
        <f aca="false">H200/Resumen!$B$10</f>
        <v>0.0329380764163373</v>
      </c>
      <c r="M200" s="13" t="n">
        <f aca="false">K200/Resumen!$B$10</f>
        <v>0.0329380764163373</v>
      </c>
      <c r="N200" s="22" t="n">
        <f aca="false">M200-L200</f>
        <v>0</v>
      </c>
      <c r="O200" s="13" t="n">
        <f aca="false">G200/Resumen!$B$11</f>
        <v>0</v>
      </c>
      <c r="P200" s="13" t="n">
        <f aca="false">J200/Resumen!$B$11</f>
        <v>0</v>
      </c>
      <c r="Q200" s="4" t="str">
        <f aca="false">IF(S200&gt;=Resumen!$B$8,"AUMENTA",IF(S200&lt;=-Resumen!$B$8,"DISMINUYE","SIN CAMBIO"))</f>
        <v>SIN CAMBIO</v>
      </c>
      <c r="R200" s="4" t="str">
        <f aca="false">IF(AND(M200&lt;=1,P200&lt;=1),"CUMPLE","NO CUMPLE")</f>
        <v>CUMPLE</v>
      </c>
      <c r="S200" s="23" t="n">
        <f aca="false">K200-H200</f>
        <v>0</v>
      </c>
      <c r="T200" s="12" t="n">
        <f aca="false">IF(H200&lt;0.005,"-",K200/H200-1)</f>
        <v>0</v>
      </c>
    </row>
    <row r="201" customFormat="false" ht="15" hidden="false" customHeight="false" outlineLevel="0" collapsed="false">
      <c r="A201" s="4" t="n">
        <v>332</v>
      </c>
      <c r="B201" s="4" t="n">
        <v>109</v>
      </c>
      <c r="C201" s="4" t="s">
        <v>63</v>
      </c>
      <c r="D201" s="4" t="s">
        <v>568</v>
      </c>
      <c r="E201" s="18" t="n">
        <v>1.18</v>
      </c>
      <c r="F201" s="18" t="n">
        <f aca="false">SUMPRODUCT(MAX((Estaciones!$A$5:$A$1064=A201)*ABS(Estaciones!$D$5:$D$1064)))</f>
        <v>0</v>
      </c>
      <c r="G201" s="18" t="n">
        <f aca="false">_xlfn.MAXIFS(Estaciones!$T$5:$T$1064,Estaciones!$A$5:$A$1064,A201)</f>
        <v>0</v>
      </c>
      <c r="H201" s="18" t="n">
        <f aca="false">_xlfn.MAXIFS(Estaciones!$R$5:$R$1064,Estaciones!$A$5:$A$1064,A201)</f>
        <v>0.05</v>
      </c>
      <c r="I201" s="18" t="n">
        <f aca="false">SUMPRODUCT(MAX((Estaciones!$A$5:$A$1064=A201)*ABS(Estaciones!$K$5:$K$1064)))</f>
        <v>0</v>
      </c>
      <c r="J201" s="18" t="n">
        <f aca="false">_xlfn.MAXIFS(Estaciones!$U$5:$U$1064,Estaciones!$A$5:$A$1064,A201)</f>
        <v>0</v>
      </c>
      <c r="K201" s="18" t="n">
        <f aca="false">_xlfn.MAXIFS(Estaciones!$S$5:$S$1064,Estaciones!$A$5:$A$1064,A201)</f>
        <v>0.04</v>
      </c>
      <c r="L201" s="13" t="n">
        <f aca="false">H201/Resumen!$B$10</f>
        <v>0.0329380764163373</v>
      </c>
      <c r="M201" s="13" t="n">
        <f aca="false">K201/Resumen!$B$10</f>
        <v>0.0263504611330698</v>
      </c>
      <c r="N201" s="22" t="n">
        <f aca="false">M201-L201</f>
        <v>-0.00658761528326746</v>
      </c>
      <c r="O201" s="13" t="n">
        <f aca="false">G201/Resumen!$B$11</f>
        <v>0</v>
      </c>
      <c r="P201" s="13" t="n">
        <f aca="false">J201/Resumen!$B$11</f>
        <v>0</v>
      </c>
      <c r="Q201" s="4" t="str">
        <f aca="false">IF(S201&gt;=Resumen!$B$8,"AUMENTA",IF(S201&lt;=-Resumen!$B$8,"DISMINUYE","SIN CAMBIO"))</f>
        <v>SIN CAMBIO</v>
      </c>
      <c r="R201" s="4" t="str">
        <f aca="false">IF(AND(M201&lt;=1,P201&lt;=1),"CUMPLE","NO CUMPLE")</f>
        <v>CUMPLE</v>
      </c>
      <c r="S201" s="23" t="n">
        <f aca="false">K201-H201</f>
        <v>-0.01</v>
      </c>
      <c r="T201" s="12" t="n">
        <f aca="false">IF(H201&lt;0.005,"-",K201/H201-1)</f>
        <v>-0.2</v>
      </c>
    </row>
    <row r="202" customFormat="false" ht="15" hidden="false" customHeight="false" outlineLevel="0" collapsed="false">
      <c r="A202" s="4" t="n">
        <v>333</v>
      </c>
      <c r="B202" s="4" t="n">
        <v>110</v>
      </c>
      <c r="C202" s="4" t="s">
        <v>63</v>
      </c>
      <c r="D202" s="4" t="s">
        <v>568</v>
      </c>
      <c r="E202" s="18" t="n">
        <v>1.4</v>
      </c>
      <c r="F202" s="18" t="n">
        <f aca="false">SUMPRODUCT(MAX((Estaciones!$A$5:$A$1064=A202)*ABS(Estaciones!$D$5:$D$1064)))</f>
        <v>0</v>
      </c>
      <c r="G202" s="18" t="n">
        <f aca="false">_xlfn.MAXIFS(Estaciones!$T$5:$T$1064,Estaciones!$A$5:$A$1064,A202)</f>
        <v>0</v>
      </c>
      <c r="H202" s="18" t="n">
        <f aca="false">_xlfn.MAXIFS(Estaciones!$R$5:$R$1064,Estaciones!$A$5:$A$1064,A202)</f>
        <v>0.04</v>
      </c>
      <c r="I202" s="18" t="n">
        <f aca="false">SUMPRODUCT(MAX((Estaciones!$A$5:$A$1064=A202)*ABS(Estaciones!$K$5:$K$1064)))</f>
        <v>0</v>
      </c>
      <c r="J202" s="18" t="n">
        <f aca="false">_xlfn.MAXIFS(Estaciones!$U$5:$U$1064,Estaciones!$A$5:$A$1064,A202)</f>
        <v>0</v>
      </c>
      <c r="K202" s="18" t="n">
        <f aca="false">_xlfn.MAXIFS(Estaciones!$S$5:$S$1064,Estaciones!$A$5:$A$1064,A202)</f>
        <v>0.04</v>
      </c>
      <c r="L202" s="13" t="n">
        <f aca="false">H202/Resumen!$B$10</f>
        <v>0.0263504611330698</v>
      </c>
      <c r="M202" s="13" t="n">
        <f aca="false">K202/Resumen!$B$10</f>
        <v>0.0263504611330698</v>
      </c>
      <c r="N202" s="22" t="n">
        <f aca="false">M202-L202</f>
        <v>0</v>
      </c>
      <c r="O202" s="13" t="n">
        <f aca="false">G202/Resumen!$B$11</f>
        <v>0</v>
      </c>
      <c r="P202" s="13" t="n">
        <f aca="false">J202/Resumen!$B$11</f>
        <v>0</v>
      </c>
      <c r="Q202" s="4" t="str">
        <f aca="false">IF(S202&gt;=Resumen!$B$8,"AUMENTA",IF(S202&lt;=-Resumen!$B$8,"DISMINUYE","SIN CAMBIO"))</f>
        <v>SIN CAMBIO</v>
      </c>
      <c r="R202" s="4" t="str">
        <f aca="false">IF(AND(M202&lt;=1,P202&lt;=1),"CUMPLE","NO CUMPLE")</f>
        <v>CUMPLE</v>
      </c>
      <c r="S202" s="23" t="n">
        <f aca="false">K202-H202</f>
        <v>0</v>
      </c>
      <c r="T202" s="12" t="n">
        <f aca="false">IF(H202&lt;0.005,"-",K202/H202-1)</f>
        <v>0</v>
      </c>
    </row>
    <row r="203" customFormat="false" ht="15" hidden="false" customHeight="false" outlineLevel="0" collapsed="false">
      <c r="A203" s="4" t="n">
        <v>334</v>
      </c>
      <c r="B203" s="4" t="n">
        <v>111</v>
      </c>
      <c r="C203" s="4" t="s">
        <v>63</v>
      </c>
      <c r="D203" s="4" t="s">
        <v>568</v>
      </c>
      <c r="E203" s="18" t="n">
        <v>1.18</v>
      </c>
      <c r="F203" s="18" t="n">
        <f aca="false">SUMPRODUCT(MAX((Estaciones!$A$5:$A$1064=A203)*ABS(Estaciones!$D$5:$D$1064)))</f>
        <v>0</v>
      </c>
      <c r="G203" s="18" t="n">
        <f aca="false">_xlfn.MAXIFS(Estaciones!$T$5:$T$1064,Estaciones!$A$5:$A$1064,A203)</f>
        <v>0</v>
      </c>
      <c r="H203" s="18" t="n">
        <f aca="false">_xlfn.MAXIFS(Estaciones!$R$5:$R$1064,Estaciones!$A$5:$A$1064,A203)</f>
        <v>0.05</v>
      </c>
      <c r="I203" s="18" t="n">
        <f aca="false">SUMPRODUCT(MAX((Estaciones!$A$5:$A$1064=A203)*ABS(Estaciones!$K$5:$K$1064)))</f>
        <v>0</v>
      </c>
      <c r="J203" s="18" t="n">
        <f aca="false">_xlfn.MAXIFS(Estaciones!$U$5:$U$1064,Estaciones!$A$5:$A$1064,A203)</f>
        <v>0</v>
      </c>
      <c r="K203" s="18" t="n">
        <f aca="false">_xlfn.MAXIFS(Estaciones!$S$5:$S$1064,Estaciones!$A$5:$A$1064,A203)</f>
        <v>0.06</v>
      </c>
      <c r="L203" s="13" t="n">
        <f aca="false">H203/Resumen!$B$10</f>
        <v>0.0329380764163373</v>
      </c>
      <c r="M203" s="13" t="n">
        <f aca="false">K203/Resumen!$B$10</f>
        <v>0.0395256916996047</v>
      </c>
      <c r="N203" s="22" t="n">
        <f aca="false">M203-L203</f>
        <v>0.00658761528326745</v>
      </c>
      <c r="O203" s="13" t="n">
        <f aca="false">G203/Resumen!$B$11</f>
        <v>0</v>
      </c>
      <c r="P203" s="13" t="n">
        <f aca="false">J203/Resumen!$B$11</f>
        <v>0</v>
      </c>
      <c r="Q203" s="4" t="str">
        <f aca="false">IF(S203&gt;=Resumen!$B$8,"AUMENTA",IF(S203&lt;=-Resumen!$B$8,"DISMINUYE","SIN CAMBIO"))</f>
        <v>SIN CAMBIO</v>
      </c>
      <c r="R203" s="4" t="str">
        <f aca="false">IF(AND(M203&lt;=1,P203&lt;=1),"CUMPLE","NO CUMPLE")</f>
        <v>CUMPLE</v>
      </c>
      <c r="S203" s="23" t="n">
        <f aca="false">K203-H203</f>
        <v>0.01</v>
      </c>
      <c r="T203" s="12" t="n">
        <f aca="false">IF(H203&lt;0.005,"-",K203/H203-1)</f>
        <v>0.2</v>
      </c>
    </row>
    <row r="204" customFormat="false" ht="15" hidden="false" customHeight="false" outlineLevel="0" collapsed="false">
      <c r="A204" s="4" t="n">
        <v>335</v>
      </c>
      <c r="B204" s="4" t="n">
        <v>112</v>
      </c>
      <c r="C204" s="4" t="s">
        <v>63</v>
      </c>
      <c r="D204" s="4" t="s">
        <v>568</v>
      </c>
      <c r="E204" s="18" t="n">
        <v>1.4</v>
      </c>
      <c r="F204" s="18" t="n">
        <f aca="false">SUMPRODUCT(MAX((Estaciones!$A$5:$A$1064=A204)*ABS(Estaciones!$D$5:$D$1064)))</f>
        <v>0</v>
      </c>
      <c r="G204" s="18" t="n">
        <f aca="false">_xlfn.MAXIFS(Estaciones!$T$5:$T$1064,Estaciones!$A$5:$A$1064,A204)</f>
        <v>0</v>
      </c>
      <c r="H204" s="18" t="n">
        <f aca="false">_xlfn.MAXIFS(Estaciones!$R$5:$R$1064,Estaciones!$A$5:$A$1064,A204)</f>
        <v>0.05</v>
      </c>
      <c r="I204" s="18" t="n">
        <f aca="false">SUMPRODUCT(MAX((Estaciones!$A$5:$A$1064=A204)*ABS(Estaciones!$K$5:$K$1064)))</f>
        <v>0</v>
      </c>
      <c r="J204" s="18" t="n">
        <f aca="false">_xlfn.MAXIFS(Estaciones!$U$5:$U$1064,Estaciones!$A$5:$A$1064,A204)</f>
        <v>0</v>
      </c>
      <c r="K204" s="18" t="n">
        <f aca="false">_xlfn.MAXIFS(Estaciones!$S$5:$S$1064,Estaciones!$A$5:$A$1064,A204)</f>
        <v>0.05</v>
      </c>
      <c r="L204" s="13" t="n">
        <f aca="false">H204/Resumen!$B$10</f>
        <v>0.0329380764163373</v>
      </c>
      <c r="M204" s="13" t="n">
        <f aca="false">K204/Resumen!$B$10</f>
        <v>0.0329380764163373</v>
      </c>
      <c r="N204" s="22" t="n">
        <f aca="false">M204-L204</f>
        <v>0</v>
      </c>
      <c r="O204" s="13" t="n">
        <f aca="false">G204/Resumen!$B$11</f>
        <v>0</v>
      </c>
      <c r="P204" s="13" t="n">
        <f aca="false">J204/Resumen!$B$11</f>
        <v>0</v>
      </c>
      <c r="Q204" s="4" t="str">
        <f aca="false">IF(S204&gt;=Resumen!$B$8,"AUMENTA",IF(S204&lt;=-Resumen!$B$8,"DISMINUYE","SIN CAMBIO"))</f>
        <v>SIN CAMBIO</v>
      </c>
      <c r="R204" s="4" t="str">
        <f aca="false">IF(AND(M204&lt;=1,P204&lt;=1),"CUMPLE","NO CUMPLE")</f>
        <v>CUMPLE</v>
      </c>
      <c r="S204" s="23" t="n">
        <f aca="false">K204-H204</f>
        <v>0</v>
      </c>
      <c r="T204" s="12" t="n">
        <f aca="false">IF(H204&lt;0.005,"-",K204/H204-1)</f>
        <v>0</v>
      </c>
    </row>
    <row r="205" customFormat="false" ht="15" hidden="false" customHeight="false" outlineLevel="0" collapsed="false">
      <c r="A205" s="4" t="n">
        <v>336</v>
      </c>
      <c r="B205" s="4" t="n">
        <v>113</v>
      </c>
      <c r="C205" s="4" t="s">
        <v>63</v>
      </c>
      <c r="D205" s="4" t="s">
        <v>568</v>
      </c>
      <c r="E205" s="18" t="n">
        <v>1.18</v>
      </c>
      <c r="F205" s="18" t="n">
        <f aca="false">SUMPRODUCT(MAX((Estaciones!$A$5:$A$1064=A205)*ABS(Estaciones!$D$5:$D$1064)))</f>
        <v>0.01</v>
      </c>
      <c r="G205" s="18" t="n">
        <f aca="false">_xlfn.MAXIFS(Estaciones!$T$5:$T$1064,Estaciones!$A$5:$A$1064,A205)</f>
        <v>0</v>
      </c>
      <c r="H205" s="18" t="n">
        <f aca="false">_xlfn.MAXIFS(Estaciones!$R$5:$R$1064,Estaciones!$A$5:$A$1064,A205)</f>
        <v>0.07</v>
      </c>
      <c r="I205" s="18" t="n">
        <f aca="false">SUMPRODUCT(MAX((Estaciones!$A$5:$A$1064=A205)*ABS(Estaciones!$K$5:$K$1064)))</f>
        <v>0.01</v>
      </c>
      <c r="J205" s="18" t="n">
        <f aca="false">_xlfn.MAXIFS(Estaciones!$U$5:$U$1064,Estaciones!$A$5:$A$1064,A205)</f>
        <v>0</v>
      </c>
      <c r="K205" s="18" t="n">
        <f aca="false">_xlfn.MAXIFS(Estaciones!$S$5:$S$1064,Estaciones!$A$5:$A$1064,A205)</f>
        <v>0.07</v>
      </c>
      <c r="L205" s="13" t="n">
        <f aca="false">H205/Resumen!$B$10</f>
        <v>0.0461133069828722</v>
      </c>
      <c r="M205" s="13" t="n">
        <f aca="false">K205/Resumen!$B$10</f>
        <v>0.0461133069828722</v>
      </c>
      <c r="N205" s="22" t="n">
        <f aca="false">M205-L205</f>
        <v>0</v>
      </c>
      <c r="O205" s="13" t="n">
        <f aca="false">G205/Resumen!$B$11</f>
        <v>0</v>
      </c>
      <c r="P205" s="13" t="n">
        <f aca="false">J205/Resumen!$B$11</f>
        <v>0</v>
      </c>
      <c r="Q205" s="4" t="str">
        <f aca="false">IF(S205&gt;=Resumen!$B$8,"AUMENTA",IF(S205&lt;=-Resumen!$B$8,"DISMINUYE","SIN CAMBIO"))</f>
        <v>SIN CAMBIO</v>
      </c>
      <c r="R205" s="4" t="str">
        <f aca="false">IF(AND(M205&lt;=1,P205&lt;=1),"CUMPLE","NO CUMPLE")</f>
        <v>CUMPLE</v>
      </c>
      <c r="S205" s="23" t="n">
        <f aca="false">K205-H205</f>
        <v>0</v>
      </c>
      <c r="T205" s="12" t="n">
        <f aca="false">IF(H205&lt;0.005,"-",K205/H205-1)</f>
        <v>0</v>
      </c>
    </row>
    <row r="206" customFormat="false" ht="15" hidden="false" customHeight="false" outlineLevel="0" collapsed="false">
      <c r="A206" s="4" t="n">
        <v>337</v>
      </c>
      <c r="B206" s="4" t="n">
        <v>114</v>
      </c>
      <c r="C206" s="4" t="s">
        <v>63</v>
      </c>
      <c r="D206" s="4" t="s">
        <v>568</v>
      </c>
      <c r="E206" s="18" t="n">
        <v>1.4</v>
      </c>
      <c r="F206" s="18" t="n">
        <f aca="false">SUMPRODUCT(MAX((Estaciones!$A$5:$A$1064=A206)*ABS(Estaciones!$D$5:$D$1064)))</f>
        <v>0</v>
      </c>
      <c r="G206" s="18" t="n">
        <f aca="false">_xlfn.MAXIFS(Estaciones!$T$5:$T$1064,Estaciones!$A$5:$A$1064,A206)</f>
        <v>0</v>
      </c>
      <c r="H206" s="18" t="n">
        <f aca="false">_xlfn.MAXIFS(Estaciones!$R$5:$R$1064,Estaciones!$A$5:$A$1064,A206)</f>
        <v>0.05</v>
      </c>
      <c r="I206" s="18" t="n">
        <f aca="false">SUMPRODUCT(MAX((Estaciones!$A$5:$A$1064=A206)*ABS(Estaciones!$K$5:$K$1064)))</f>
        <v>0</v>
      </c>
      <c r="J206" s="18" t="n">
        <f aca="false">_xlfn.MAXIFS(Estaciones!$U$5:$U$1064,Estaciones!$A$5:$A$1064,A206)</f>
        <v>0</v>
      </c>
      <c r="K206" s="18" t="n">
        <f aca="false">_xlfn.MAXIFS(Estaciones!$S$5:$S$1064,Estaciones!$A$5:$A$1064,A206)</f>
        <v>0.06</v>
      </c>
      <c r="L206" s="13" t="n">
        <f aca="false">H206/Resumen!$B$10</f>
        <v>0.0329380764163373</v>
      </c>
      <c r="M206" s="13" t="n">
        <f aca="false">K206/Resumen!$B$10</f>
        <v>0.0395256916996048</v>
      </c>
      <c r="N206" s="22" t="n">
        <f aca="false">M206-L206</f>
        <v>0.00658761528326746</v>
      </c>
      <c r="O206" s="13" t="n">
        <f aca="false">G206/Resumen!$B$11</f>
        <v>0</v>
      </c>
      <c r="P206" s="13" t="n">
        <f aca="false">J206/Resumen!$B$11</f>
        <v>0</v>
      </c>
      <c r="Q206" s="4" t="str">
        <f aca="false">IF(S206&gt;=Resumen!$B$8,"AUMENTA",IF(S206&lt;=-Resumen!$B$8,"DISMINUYE","SIN CAMBIO"))</f>
        <v>SIN CAMBIO</v>
      </c>
      <c r="R206" s="4" t="str">
        <f aca="false">IF(AND(M206&lt;=1,P206&lt;=1),"CUMPLE","NO CUMPLE")</f>
        <v>CUMPLE</v>
      </c>
      <c r="S206" s="23" t="n">
        <f aca="false">K206-H206</f>
        <v>0.01</v>
      </c>
      <c r="T206" s="12" t="n">
        <f aca="false">IF(H206&lt;0.005,"-",K206/H206-1)</f>
        <v>0.2</v>
      </c>
    </row>
    <row r="207" customFormat="false" ht="15" hidden="false" customHeight="false" outlineLevel="0" collapsed="false">
      <c r="A207" s="4" t="n">
        <v>338</v>
      </c>
      <c r="B207" s="4" t="n">
        <v>115</v>
      </c>
      <c r="C207" s="4" t="s">
        <v>63</v>
      </c>
      <c r="D207" s="4" t="s">
        <v>568</v>
      </c>
      <c r="E207" s="18" t="n">
        <v>1.18</v>
      </c>
      <c r="F207" s="18" t="n">
        <f aca="false">SUMPRODUCT(MAX((Estaciones!$A$5:$A$1064=A207)*ABS(Estaciones!$D$5:$D$1064)))</f>
        <v>0.01</v>
      </c>
      <c r="G207" s="18" t="n">
        <f aca="false">_xlfn.MAXIFS(Estaciones!$T$5:$T$1064,Estaciones!$A$5:$A$1064,A207)</f>
        <v>0</v>
      </c>
      <c r="H207" s="18" t="n">
        <f aca="false">_xlfn.MAXIFS(Estaciones!$R$5:$R$1064,Estaciones!$A$5:$A$1064,A207)</f>
        <v>0.08</v>
      </c>
      <c r="I207" s="18" t="n">
        <f aca="false">SUMPRODUCT(MAX((Estaciones!$A$5:$A$1064=A207)*ABS(Estaciones!$K$5:$K$1064)))</f>
        <v>0.01</v>
      </c>
      <c r="J207" s="18" t="n">
        <f aca="false">_xlfn.MAXIFS(Estaciones!$U$5:$U$1064,Estaciones!$A$5:$A$1064,A207)</f>
        <v>0</v>
      </c>
      <c r="K207" s="18" t="n">
        <f aca="false">_xlfn.MAXIFS(Estaciones!$S$5:$S$1064,Estaciones!$A$5:$A$1064,A207)</f>
        <v>0.08</v>
      </c>
      <c r="L207" s="13" t="n">
        <f aca="false">H207/Resumen!$B$10</f>
        <v>0.0527009222661397</v>
      </c>
      <c r="M207" s="13" t="n">
        <f aca="false">K207/Resumen!$B$10</f>
        <v>0.0527009222661397</v>
      </c>
      <c r="N207" s="22" t="n">
        <f aca="false">M207-L207</f>
        <v>0</v>
      </c>
      <c r="O207" s="13" t="n">
        <f aca="false">G207/Resumen!$B$11</f>
        <v>0</v>
      </c>
      <c r="P207" s="13" t="n">
        <f aca="false">J207/Resumen!$B$11</f>
        <v>0</v>
      </c>
      <c r="Q207" s="4" t="str">
        <f aca="false">IF(S207&gt;=Resumen!$B$8,"AUMENTA",IF(S207&lt;=-Resumen!$B$8,"DISMINUYE","SIN CAMBIO"))</f>
        <v>SIN CAMBIO</v>
      </c>
      <c r="R207" s="4" t="str">
        <f aca="false">IF(AND(M207&lt;=1,P207&lt;=1),"CUMPLE","NO CUMPLE")</f>
        <v>CUMPLE</v>
      </c>
      <c r="S207" s="23" t="n">
        <f aca="false">K207-H207</f>
        <v>0</v>
      </c>
      <c r="T207" s="12" t="n">
        <f aca="false">IF(H207&lt;0.005,"-",K207/H207-1)</f>
        <v>0</v>
      </c>
    </row>
    <row r="208" customFormat="false" ht="15" hidden="false" customHeight="false" outlineLevel="0" collapsed="false">
      <c r="A208" s="4" t="n">
        <v>339</v>
      </c>
      <c r="B208" s="4" t="n">
        <v>116</v>
      </c>
      <c r="C208" s="4" t="s">
        <v>63</v>
      </c>
      <c r="D208" s="4" t="s">
        <v>568</v>
      </c>
      <c r="E208" s="18" t="n">
        <v>1.4</v>
      </c>
      <c r="F208" s="18" t="n">
        <f aca="false">SUMPRODUCT(MAX((Estaciones!$A$5:$A$1064=A208)*ABS(Estaciones!$D$5:$D$1064)))</f>
        <v>0.01</v>
      </c>
      <c r="G208" s="18" t="n">
        <f aca="false">_xlfn.MAXIFS(Estaciones!$T$5:$T$1064,Estaciones!$A$5:$A$1064,A208)</f>
        <v>0</v>
      </c>
      <c r="H208" s="18" t="n">
        <f aca="false">_xlfn.MAXIFS(Estaciones!$R$5:$R$1064,Estaciones!$A$5:$A$1064,A208)</f>
        <v>0.07</v>
      </c>
      <c r="I208" s="18" t="n">
        <f aca="false">SUMPRODUCT(MAX((Estaciones!$A$5:$A$1064=A208)*ABS(Estaciones!$K$5:$K$1064)))</f>
        <v>0.01</v>
      </c>
      <c r="J208" s="18" t="n">
        <f aca="false">_xlfn.MAXIFS(Estaciones!$U$5:$U$1064,Estaciones!$A$5:$A$1064,A208)</f>
        <v>0</v>
      </c>
      <c r="K208" s="18" t="n">
        <f aca="false">_xlfn.MAXIFS(Estaciones!$S$5:$S$1064,Estaciones!$A$5:$A$1064,A208)</f>
        <v>0.07</v>
      </c>
      <c r="L208" s="13" t="n">
        <f aca="false">H208/Resumen!$B$10</f>
        <v>0.0461133069828722</v>
      </c>
      <c r="M208" s="13" t="n">
        <f aca="false">K208/Resumen!$B$10</f>
        <v>0.0461133069828722</v>
      </c>
      <c r="N208" s="22" t="n">
        <f aca="false">M208-L208</f>
        <v>0</v>
      </c>
      <c r="O208" s="13" t="n">
        <f aca="false">G208/Resumen!$B$11</f>
        <v>0</v>
      </c>
      <c r="P208" s="13" t="n">
        <f aca="false">J208/Resumen!$B$11</f>
        <v>0</v>
      </c>
      <c r="Q208" s="4" t="str">
        <f aca="false">IF(S208&gt;=Resumen!$B$8,"AUMENTA",IF(S208&lt;=-Resumen!$B$8,"DISMINUYE","SIN CAMBIO"))</f>
        <v>SIN CAMBIO</v>
      </c>
      <c r="R208" s="4" t="str">
        <f aca="false">IF(AND(M208&lt;=1,P208&lt;=1),"CUMPLE","NO CUMPLE")</f>
        <v>CUMPLE</v>
      </c>
      <c r="S208" s="23" t="n">
        <f aca="false">K208-H208</f>
        <v>0</v>
      </c>
      <c r="T208" s="12" t="n">
        <f aca="false">IF(H208&lt;0.005,"-",K208/H208-1)</f>
        <v>0</v>
      </c>
    </row>
    <row r="209" customFormat="false" ht="15" hidden="false" customHeight="false" outlineLevel="0" collapsed="false">
      <c r="A209" s="4" t="n">
        <v>340</v>
      </c>
      <c r="B209" s="4" t="n">
        <v>117</v>
      </c>
      <c r="C209" s="4" t="s">
        <v>63</v>
      </c>
      <c r="D209" s="4" t="s">
        <v>568</v>
      </c>
      <c r="E209" s="18" t="n">
        <v>1.18</v>
      </c>
      <c r="F209" s="18" t="n">
        <f aca="false">SUMPRODUCT(MAX((Estaciones!$A$5:$A$1064=A209)*ABS(Estaciones!$D$5:$D$1064)))</f>
        <v>0.01</v>
      </c>
      <c r="G209" s="18" t="n">
        <f aca="false">_xlfn.MAXIFS(Estaciones!$T$5:$T$1064,Estaciones!$A$5:$A$1064,A209)</f>
        <v>0</v>
      </c>
      <c r="H209" s="18" t="n">
        <f aca="false">_xlfn.MAXIFS(Estaciones!$R$5:$R$1064,Estaciones!$A$5:$A$1064,A209)</f>
        <v>0.07</v>
      </c>
      <c r="I209" s="18" t="n">
        <f aca="false">SUMPRODUCT(MAX((Estaciones!$A$5:$A$1064=A209)*ABS(Estaciones!$K$5:$K$1064)))</f>
        <v>0.02</v>
      </c>
      <c r="J209" s="18" t="n">
        <f aca="false">_xlfn.MAXIFS(Estaciones!$U$5:$U$1064,Estaciones!$A$5:$A$1064,A209)</f>
        <v>0</v>
      </c>
      <c r="K209" s="18" t="n">
        <f aca="false">_xlfn.MAXIFS(Estaciones!$S$5:$S$1064,Estaciones!$A$5:$A$1064,A209)</f>
        <v>0.08</v>
      </c>
      <c r="L209" s="13" t="n">
        <f aca="false">H209/Resumen!$B$10</f>
        <v>0.0461133069828722</v>
      </c>
      <c r="M209" s="13" t="n">
        <f aca="false">K209/Resumen!$B$10</f>
        <v>0.0527009222661397</v>
      </c>
      <c r="N209" s="22" t="n">
        <f aca="false">M209-L209</f>
        <v>0.00658761528326745</v>
      </c>
      <c r="O209" s="13" t="n">
        <f aca="false">G209/Resumen!$B$11</f>
        <v>0</v>
      </c>
      <c r="P209" s="13" t="n">
        <f aca="false">J209/Resumen!$B$11</f>
        <v>0</v>
      </c>
      <c r="Q209" s="4" t="str">
        <f aca="false">IF(S209&gt;=Resumen!$B$8,"AUMENTA",IF(S209&lt;=-Resumen!$B$8,"DISMINUYE","SIN CAMBIO"))</f>
        <v>SIN CAMBIO</v>
      </c>
      <c r="R209" s="4" t="str">
        <f aca="false">IF(AND(M209&lt;=1,P209&lt;=1),"CUMPLE","NO CUMPLE")</f>
        <v>CUMPLE</v>
      </c>
      <c r="S209" s="23" t="n">
        <f aca="false">K209-H209</f>
        <v>0.01</v>
      </c>
      <c r="T209" s="12" t="n">
        <f aca="false">IF(H209&lt;0.005,"-",K209/H209-1)</f>
        <v>0.142857142857143</v>
      </c>
    </row>
    <row r="210" customFormat="false" ht="15" hidden="false" customHeight="false" outlineLevel="0" collapsed="false">
      <c r="A210" s="4" t="n">
        <v>341</v>
      </c>
      <c r="B210" s="4" t="n">
        <v>118</v>
      </c>
      <c r="C210" s="4" t="s">
        <v>63</v>
      </c>
      <c r="D210" s="4" t="s">
        <v>568</v>
      </c>
      <c r="E210" s="18" t="n">
        <v>1.4</v>
      </c>
      <c r="F210" s="18" t="n">
        <f aca="false">SUMPRODUCT(MAX((Estaciones!$A$5:$A$1064=A210)*ABS(Estaciones!$D$5:$D$1064)))</f>
        <v>0.02</v>
      </c>
      <c r="G210" s="18" t="n">
        <f aca="false">_xlfn.MAXIFS(Estaciones!$T$5:$T$1064,Estaciones!$A$5:$A$1064,A210)</f>
        <v>0</v>
      </c>
      <c r="H210" s="18" t="n">
        <f aca="false">_xlfn.MAXIFS(Estaciones!$R$5:$R$1064,Estaciones!$A$5:$A$1064,A210)</f>
        <v>0.06</v>
      </c>
      <c r="I210" s="18" t="n">
        <f aca="false">SUMPRODUCT(MAX((Estaciones!$A$5:$A$1064=A210)*ABS(Estaciones!$K$5:$K$1064)))</f>
        <v>0.02</v>
      </c>
      <c r="J210" s="18" t="n">
        <f aca="false">_xlfn.MAXIFS(Estaciones!$U$5:$U$1064,Estaciones!$A$5:$A$1064,A210)</f>
        <v>0</v>
      </c>
      <c r="K210" s="18" t="n">
        <f aca="false">_xlfn.MAXIFS(Estaciones!$S$5:$S$1064,Estaciones!$A$5:$A$1064,A210)</f>
        <v>0.06</v>
      </c>
      <c r="L210" s="13" t="n">
        <f aca="false">H210/Resumen!$B$10</f>
        <v>0.0395256916996047</v>
      </c>
      <c r="M210" s="13" t="n">
        <f aca="false">K210/Resumen!$B$10</f>
        <v>0.0395256916996047</v>
      </c>
      <c r="N210" s="22" t="n">
        <f aca="false">M210-L210</f>
        <v>0</v>
      </c>
      <c r="O210" s="13" t="n">
        <f aca="false">G210/Resumen!$B$11</f>
        <v>0</v>
      </c>
      <c r="P210" s="13" t="n">
        <f aca="false">J210/Resumen!$B$11</f>
        <v>0</v>
      </c>
      <c r="Q210" s="4" t="str">
        <f aca="false">IF(S210&gt;=Resumen!$B$8,"AUMENTA",IF(S210&lt;=-Resumen!$B$8,"DISMINUYE","SIN CAMBIO"))</f>
        <v>SIN CAMBIO</v>
      </c>
      <c r="R210" s="4" t="str">
        <f aca="false">IF(AND(M210&lt;=1,P210&lt;=1),"CUMPLE","NO CUMPLE")</f>
        <v>CUMPLE</v>
      </c>
      <c r="S210" s="23" t="n">
        <f aca="false">K210-H210</f>
        <v>0</v>
      </c>
      <c r="T210" s="12" t="n">
        <f aca="false">IF(H210&lt;0.005,"-",K210/H210-1)</f>
        <v>0</v>
      </c>
    </row>
    <row r="211" customFormat="false" ht="15" hidden="false" customHeight="false" outlineLevel="0" collapsed="false">
      <c r="A211" s="4" t="n">
        <v>364</v>
      </c>
      <c r="B211" s="4" t="n">
        <v>141</v>
      </c>
      <c r="C211" s="4" t="s">
        <v>348</v>
      </c>
      <c r="D211" s="4" t="s">
        <v>569</v>
      </c>
      <c r="E211" s="18" t="n">
        <v>1.5</v>
      </c>
      <c r="F211" s="18" t="n">
        <f aca="false">SUMPRODUCT(MAX((Estaciones!$A$5:$A$1064=A211)*ABS(Estaciones!$D$5:$D$1064)))</f>
        <v>0</v>
      </c>
      <c r="G211" s="18" t="n">
        <f aca="false">_xlfn.MAXIFS(Estaciones!$T$5:$T$1064,Estaciones!$A$5:$A$1064,A211)</f>
        <v>0</v>
      </c>
      <c r="H211" s="18" t="n">
        <f aca="false">_xlfn.MAXIFS(Estaciones!$R$5:$R$1064,Estaciones!$A$5:$A$1064,A211)</f>
        <v>0.01</v>
      </c>
      <c r="I211" s="18" t="n">
        <f aca="false">SUMPRODUCT(MAX((Estaciones!$A$5:$A$1064=A211)*ABS(Estaciones!$K$5:$K$1064)))</f>
        <v>0</v>
      </c>
      <c r="J211" s="18" t="n">
        <f aca="false">_xlfn.MAXIFS(Estaciones!$U$5:$U$1064,Estaciones!$A$5:$A$1064,A211)</f>
        <v>0</v>
      </c>
      <c r="K211" s="18" t="n">
        <f aca="false">_xlfn.MAXIFS(Estaciones!$S$5:$S$1064,Estaciones!$A$5:$A$1064,A211)</f>
        <v>0.01</v>
      </c>
      <c r="L211" s="13" t="n">
        <f aca="false">H211/Resumen!$B$10</f>
        <v>0.00658761528326746</v>
      </c>
      <c r="M211" s="13" t="n">
        <f aca="false">K211/Resumen!$B$10</f>
        <v>0.00658761528326746</v>
      </c>
      <c r="N211" s="22" t="n">
        <f aca="false">M211-L211</f>
        <v>0</v>
      </c>
      <c r="O211" s="13" t="n">
        <f aca="false">G211/Resumen!$B$11</f>
        <v>0</v>
      </c>
      <c r="P211" s="13" t="n">
        <f aca="false">J211/Resumen!$B$11</f>
        <v>0</v>
      </c>
      <c r="Q211" s="4" t="str">
        <f aca="false">IF(S211&gt;=Resumen!$B$8,"AUMENTA",IF(S211&lt;=-Resumen!$B$8,"DISMINUYE","SIN CAMBIO"))</f>
        <v>SIN CAMBIO</v>
      </c>
      <c r="R211" s="4" t="str">
        <f aca="false">IF(AND(M211&lt;=1,P211&lt;=1),"CUMPLE","NO CUMPLE")</f>
        <v>CUMPLE</v>
      </c>
      <c r="S211" s="23" t="n">
        <f aca="false">K211-H211</f>
        <v>0</v>
      </c>
      <c r="T211" s="12" t="n">
        <f aca="false">IF(H211&lt;0.005,"-",K211/H211-1)</f>
        <v>0</v>
      </c>
    </row>
    <row r="212" customFormat="false" ht="15" hidden="false" customHeight="false" outlineLevel="0" collapsed="false">
      <c r="A212" s="4" t="n">
        <v>365</v>
      </c>
      <c r="B212" s="4" t="n">
        <v>142</v>
      </c>
      <c r="C212" s="4" t="s">
        <v>348</v>
      </c>
      <c r="D212" s="4" t="s">
        <v>569</v>
      </c>
      <c r="E212" s="18" t="n">
        <v>1.5</v>
      </c>
      <c r="F212" s="18" t="n">
        <f aca="false">SUMPRODUCT(MAX((Estaciones!$A$5:$A$1064=A212)*ABS(Estaciones!$D$5:$D$1064)))</f>
        <v>0</v>
      </c>
      <c r="G212" s="18" t="n">
        <f aca="false">_xlfn.MAXIFS(Estaciones!$T$5:$T$1064,Estaciones!$A$5:$A$1064,A212)</f>
        <v>0</v>
      </c>
      <c r="H212" s="18" t="n">
        <f aca="false">_xlfn.MAXIFS(Estaciones!$R$5:$R$1064,Estaciones!$A$5:$A$1064,A212)</f>
        <v>0.01</v>
      </c>
      <c r="I212" s="18" t="n">
        <f aca="false">SUMPRODUCT(MAX((Estaciones!$A$5:$A$1064=A212)*ABS(Estaciones!$K$5:$K$1064)))</f>
        <v>0</v>
      </c>
      <c r="J212" s="18" t="n">
        <f aca="false">_xlfn.MAXIFS(Estaciones!$U$5:$U$1064,Estaciones!$A$5:$A$1064,A212)</f>
        <v>0</v>
      </c>
      <c r="K212" s="18" t="n">
        <f aca="false">_xlfn.MAXIFS(Estaciones!$S$5:$S$1064,Estaciones!$A$5:$A$1064,A212)</f>
        <v>0.01</v>
      </c>
      <c r="L212" s="13" t="n">
        <f aca="false">H212/Resumen!$B$10</f>
        <v>0.00658761528326746</v>
      </c>
      <c r="M212" s="13" t="n">
        <f aca="false">K212/Resumen!$B$10</f>
        <v>0.00658761528326746</v>
      </c>
      <c r="N212" s="22" t="n">
        <f aca="false">M212-L212</f>
        <v>0</v>
      </c>
      <c r="O212" s="13" t="n">
        <f aca="false">G212/Resumen!$B$11</f>
        <v>0</v>
      </c>
      <c r="P212" s="13" t="n">
        <f aca="false">J212/Resumen!$B$11</f>
        <v>0</v>
      </c>
      <c r="Q212" s="4" t="str">
        <f aca="false">IF(S212&gt;=Resumen!$B$8,"AUMENTA",IF(S212&lt;=-Resumen!$B$8,"DISMINUYE","SIN CAMBIO"))</f>
        <v>SIN CAMBIO</v>
      </c>
      <c r="R212" s="4" t="str">
        <f aca="false">IF(AND(M212&lt;=1,P212&lt;=1),"CUMPLE","NO CUMPLE")</f>
        <v>CUMPLE</v>
      </c>
      <c r="S212" s="23" t="n">
        <f aca="false">K212-H212</f>
        <v>0</v>
      </c>
      <c r="T212" s="12" t="n">
        <f aca="false">IF(H212&lt;0.005,"-",K212/H212-1)</f>
        <v>0</v>
      </c>
    </row>
    <row r="213" customFormat="false" ht="15" hidden="false" customHeight="false" outlineLevel="0" collapsed="false">
      <c r="A213" s="4" t="n">
        <v>366</v>
      </c>
      <c r="B213" s="4" t="n">
        <v>143</v>
      </c>
      <c r="C213" s="4" t="s">
        <v>348</v>
      </c>
      <c r="D213" s="4" t="s">
        <v>569</v>
      </c>
      <c r="E213" s="18" t="n">
        <v>1.5</v>
      </c>
      <c r="F213" s="18" t="n">
        <f aca="false">SUMPRODUCT(MAX((Estaciones!$A$5:$A$1064=A213)*ABS(Estaciones!$D$5:$D$1064)))</f>
        <v>0</v>
      </c>
      <c r="G213" s="18" t="n">
        <f aca="false">_xlfn.MAXIFS(Estaciones!$T$5:$T$1064,Estaciones!$A$5:$A$1064,A213)</f>
        <v>0</v>
      </c>
      <c r="H213" s="18" t="n">
        <f aca="false">_xlfn.MAXIFS(Estaciones!$R$5:$R$1064,Estaciones!$A$5:$A$1064,A213)</f>
        <v>0.01</v>
      </c>
      <c r="I213" s="18" t="n">
        <f aca="false">SUMPRODUCT(MAX((Estaciones!$A$5:$A$1064=A213)*ABS(Estaciones!$K$5:$K$1064)))</f>
        <v>0</v>
      </c>
      <c r="J213" s="18" t="n">
        <f aca="false">_xlfn.MAXIFS(Estaciones!$U$5:$U$1064,Estaciones!$A$5:$A$1064,A213)</f>
        <v>0</v>
      </c>
      <c r="K213" s="18" t="n">
        <f aca="false">_xlfn.MAXIFS(Estaciones!$S$5:$S$1064,Estaciones!$A$5:$A$1064,A213)</f>
        <v>0.01</v>
      </c>
      <c r="L213" s="13" t="n">
        <f aca="false">H213/Resumen!$B$10</f>
        <v>0.00658761528326746</v>
      </c>
      <c r="M213" s="13" t="n">
        <f aca="false">K213/Resumen!$B$10</f>
        <v>0.00658761528326746</v>
      </c>
      <c r="N213" s="22" t="n">
        <f aca="false">M213-L213</f>
        <v>0</v>
      </c>
      <c r="O213" s="13" t="n">
        <f aca="false">G213/Resumen!$B$11</f>
        <v>0</v>
      </c>
      <c r="P213" s="13" t="n">
        <f aca="false">J213/Resumen!$B$11</f>
        <v>0</v>
      </c>
      <c r="Q213" s="4" t="str">
        <f aca="false">IF(S213&gt;=Resumen!$B$8,"AUMENTA",IF(S213&lt;=-Resumen!$B$8,"DISMINUYE","SIN CAMBIO"))</f>
        <v>SIN CAMBIO</v>
      </c>
      <c r="R213" s="4" t="str">
        <f aca="false">IF(AND(M213&lt;=1,P213&lt;=1),"CUMPLE","NO CUMPLE")</f>
        <v>CUMPLE</v>
      </c>
      <c r="S213" s="23" t="n">
        <f aca="false">K213-H213</f>
        <v>0</v>
      </c>
      <c r="T213" s="12" t="n">
        <f aca="false">IF(H213&lt;0.005,"-",K213/H213-1)</f>
        <v>0</v>
      </c>
    </row>
    <row r="214" customFormat="false" ht="15" hidden="false" customHeight="false" outlineLevel="0" collapsed="false">
      <c r="A214" s="4" t="n">
        <v>367</v>
      </c>
      <c r="B214" s="4" t="n">
        <v>144</v>
      </c>
      <c r="C214" s="4" t="s">
        <v>348</v>
      </c>
      <c r="D214" s="4" t="s">
        <v>569</v>
      </c>
      <c r="E214" s="18" t="n">
        <v>1.5</v>
      </c>
      <c r="F214" s="18" t="n">
        <f aca="false">SUMPRODUCT(MAX((Estaciones!$A$5:$A$1064=A214)*ABS(Estaciones!$D$5:$D$1064)))</f>
        <v>0</v>
      </c>
      <c r="G214" s="18" t="n">
        <f aca="false">_xlfn.MAXIFS(Estaciones!$T$5:$T$1064,Estaciones!$A$5:$A$1064,A214)</f>
        <v>0</v>
      </c>
      <c r="H214" s="18" t="n">
        <f aca="false">_xlfn.MAXIFS(Estaciones!$R$5:$R$1064,Estaciones!$A$5:$A$1064,A214)</f>
        <v>0.01</v>
      </c>
      <c r="I214" s="18" t="n">
        <f aca="false">SUMPRODUCT(MAX((Estaciones!$A$5:$A$1064=A214)*ABS(Estaciones!$K$5:$K$1064)))</f>
        <v>0</v>
      </c>
      <c r="J214" s="18" t="n">
        <f aca="false">_xlfn.MAXIFS(Estaciones!$U$5:$U$1064,Estaciones!$A$5:$A$1064,A214)</f>
        <v>0</v>
      </c>
      <c r="K214" s="18" t="n">
        <f aca="false">_xlfn.MAXIFS(Estaciones!$S$5:$S$1064,Estaciones!$A$5:$A$1064,A214)</f>
        <v>0.01</v>
      </c>
      <c r="L214" s="13" t="n">
        <f aca="false">H214/Resumen!$B$10</f>
        <v>0.00658761528326746</v>
      </c>
      <c r="M214" s="13" t="n">
        <f aca="false">K214/Resumen!$B$10</f>
        <v>0.00658761528326746</v>
      </c>
      <c r="N214" s="22" t="n">
        <f aca="false">M214-L214</f>
        <v>0</v>
      </c>
      <c r="O214" s="13" t="n">
        <f aca="false">G214/Resumen!$B$11</f>
        <v>0</v>
      </c>
      <c r="P214" s="13" t="n">
        <f aca="false">J214/Resumen!$B$11</f>
        <v>0</v>
      </c>
      <c r="Q214" s="4" t="str">
        <f aca="false">IF(S214&gt;=Resumen!$B$8,"AUMENTA",IF(S214&lt;=-Resumen!$B$8,"DISMINUYE","SIN CAMBIO"))</f>
        <v>SIN CAMBIO</v>
      </c>
      <c r="R214" s="4" t="str">
        <f aca="false">IF(AND(M214&lt;=1,P214&lt;=1),"CUMPLE","NO CUMPLE")</f>
        <v>CUMPLE</v>
      </c>
      <c r="S214" s="23" t="n">
        <f aca="false">K214-H214</f>
        <v>0</v>
      </c>
      <c r="T214" s="12" t="n">
        <f aca="false">IF(H214&lt;0.005,"-",K214/H214-1)</f>
        <v>0</v>
      </c>
    </row>
    <row r="215" customFormat="false" ht="15" hidden="false" customHeight="false" outlineLevel="0" collapsed="false">
      <c r="A215" s="4" t="n">
        <v>368</v>
      </c>
      <c r="B215" s="4" t="n">
        <v>145</v>
      </c>
      <c r="C215" s="4" t="s">
        <v>348</v>
      </c>
      <c r="D215" s="4" t="s">
        <v>569</v>
      </c>
      <c r="E215" s="18" t="n">
        <v>1.5</v>
      </c>
      <c r="F215" s="18" t="n">
        <f aca="false">SUMPRODUCT(MAX((Estaciones!$A$5:$A$1064=A215)*ABS(Estaciones!$D$5:$D$1064)))</f>
        <v>0</v>
      </c>
      <c r="G215" s="18" t="n">
        <f aca="false">_xlfn.MAXIFS(Estaciones!$T$5:$T$1064,Estaciones!$A$5:$A$1064,A215)</f>
        <v>0</v>
      </c>
      <c r="H215" s="18" t="n">
        <f aca="false">_xlfn.MAXIFS(Estaciones!$R$5:$R$1064,Estaciones!$A$5:$A$1064,A215)</f>
        <v>0.01</v>
      </c>
      <c r="I215" s="18" t="n">
        <f aca="false">SUMPRODUCT(MAX((Estaciones!$A$5:$A$1064=A215)*ABS(Estaciones!$K$5:$K$1064)))</f>
        <v>0</v>
      </c>
      <c r="J215" s="18" t="n">
        <f aca="false">_xlfn.MAXIFS(Estaciones!$U$5:$U$1064,Estaciones!$A$5:$A$1064,A215)</f>
        <v>0</v>
      </c>
      <c r="K215" s="18" t="n">
        <f aca="false">_xlfn.MAXIFS(Estaciones!$S$5:$S$1064,Estaciones!$A$5:$A$1064,A215)</f>
        <v>0.01</v>
      </c>
      <c r="L215" s="13" t="n">
        <f aca="false">H215/Resumen!$B$10</f>
        <v>0.00658761528326746</v>
      </c>
      <c r="M215" s="13" t="n">
        <f aca="false">K215/Resumen!$B$10</f>
        <v>0.00658761528326746</v>
      </c>
      <c r="N215" s="22" t="n">
        <f aca="false">M215-L215</f>
        <v>0</v>
      </c>
      <c r="O215" s="13" t="n">
        <f aca="false">G215/Resumen!$B$11</f>
        <v>0</v>
      </c>
      <c r="P215" s="13" t="n">
        <f aca="false">J215/Resumen!$B$11</f>
        <v>0</v>
      </c>
      <c r="Q215" s="4" t="str">
        <f aca="false">IF(S215&gt;=Resumen!$B$8,"AUMENTA",IF(S215&lt;=-Resumen!$B$8,"DISMINUYE","SIN CAMBIO"))</f>
        <v>SIN CAMBIO</v>
      </c>
      <c r="R215" s="4" t="str">
        <f aca="false">IF(AND(M215&lt;=1,P215&lt;=1),"CUMPLE","NO CUMPLE")</f>
        <v>CUMPLE</v>
      </c>
      <c r="S215" s="23" t="n">
        <f aca="false">K215-H215</f>
        <v>0</v>
      </c>
      <c r="T215" s="12" t="n">
        <f aca="false">IF(H215&lt;0.005,"-",K215/H215-1)</f>
        <v>0</v>
      </c>
    </row>
    <row r="216" customFormat="false" ht="15" hidden="false" customHeight="false" outlineLevel="0" collapsed="false">
      <c r="A216" s="4" t="n">
        <v>369</v>
      </c>
      <c r="B216" s="4" t="n">
        <v>146</v>
      </c>
      <c r="C216" s="4" t="s">
        <v>348</v>
      </c>
      <c r="D216" s="4" t="s">
        <v>569</v>
      </c>
      <c r="E216" s="18" t="n">
        <v>1.5</v>
      </c>
      <c r="F216" s="18" t="n">
        <f aca="false">SUMPRODUCT(MAX((Estaciones!$A$5:$A$1064=A216)*ABS(Estaciones!$D$5:$D$1064)))</f>
        <v>0</v>
      </c>
      <c r="G216" s="18" t="n">
        <f aca="false">_xlfn.MAXIFS(Estaciones!$T$5:$T$1064,Estaciones!$A$5:$A$1064,A216)</f>
        <v>0</v>
      </c>
      <c r="H216" s="18" t="n">
        <f aca="false">_xlfn.MAXIFS(Estaciones!$R$5:$R$1064,Estaciones!$A$5:$A$1064,A216)</f>
        <v>0.01</v>
      </c>
      <c r="I216" s="18" t="n">
        <f aca="false">SUMPRODUCT(MAX((Estaciones!$A$5:$A$1064=A216)*ABS(Estaciones!$K$5:$K$1064)))</f>
        <v>0</v>
      </c>
      <c r="J216" s="18" t="n">
        <f aca="false">_xlfn.MAXIFS(Estaciones!$U$5:$U$1064,Estaciones!$A$5:$A$1064,A216)</f>
        <v>0</v>
      </c>
      <c r="K216" s="18" t="n">
        <f aca="false">_xlfn.MAXIFS(Estaciones!$S$5:$S$1064,Estaciones!$A$5:$A$1064,A216)</f>
        <v>0.01</v>
      </c>
      <c r="L216" s="13" t="n">
        <f aca="false">H216/Resumen!$B$10</f>
        <v>0.00658761528326746</v>
      </c>
      <c r="M216" s="13" t="n">
        <f aca="false">K216/Resumen!$B$10</f>
        <v>0.00658761528326746</v>
      </c>
      <c r="N216" s="22" t="n">
        <f aca="false">M216-L216</f>
        <v>0</v>
      </c>
      <c r="O216" s="13" t="n">
        <f aca="false">G216/Resumen!$B$11</f>
        <v>0</v>
      </c>
      <c r="P216" s="13" t="n">
        <f aca="false">J216/Resumen!$B$11</f>
        <v>0</v>
      </c>
      <c r="Q216" s="4" t="str">
        <f aca="false">IF(S216&gt;=Resumen!$B$8,"AUMENTA",IF(S216&lt;=-Resumen!$B$8,"DISMINUYE","SIN CAMBIO"))</f>
        <v>SIN CAMBIO</v>
      </c>
      <c r="R216" s="4" t="str">
        <f aca="false">IF(AND(M216&lt;=1,P216&lt;=1),"CUMPLE","NO CUMPLE")</f>
        <v>CUMPLE</v>
      </c>
      <c r="S216" s="23" t="n">
        <f aca="false">K216-H216</f>
        <v>0</v>
      </c>
      <c r="T216" s="12" t="n">
        <f aca="false">IF(H216&lt;0.005,"-",K216/H216-1)</f>
        <v>0</v>
      </c>
    </row>
  </sheetData>
  <autoFilter ref="A4:T216"/>
  <conditionalFormatting sqref="Q5:Q216">
    <cfRule type="cellIs" priority="2" operator="equal" aboveAverage="0" equalAverage="0" bottom="0" percent="0" rank="0" text="" dxfId="8">
      <formula>"AUMENTA"</formula>
    </cfRule>
    <cfRule type="cellIs" priority="3" operator="equal" aboveAverage="0" equalAverage="0" bottom="0" percent="0" rank="0" text="" dxfId="9">
      <formula>"DISMINUYE"</formula>
    </cfRule>
  </conditionalFormatting>
  <conditionalFormatting sqref="R5:R216">
    <cfRule type="cellIs" priority="4" operator="equal" aboveAverage="0" equalAverage="0" bottom="0" percent="0" rank="0" text="" dxfId="8">
      <formula>"NO CUMPLE"</formula>
    </cfRule>
    <cfRule type="cellIs" priority="5" operator="equal" aboveAverage="0" equalAverage="0" bottom="0" percent="0" rank="0" text="" dxfId="10">
      <formula>"CUMPLE"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9"/>
    <col collapsed="false" customWidth="true" hidden="false" outlineLevel="0" max="5" min="4" style="0" width="11"/>
    <col collapsed="false" customWidth="true" hidden="false" outlineLevel="0" max="6" min="6" style="0" width="9"/>
    <col collapsed="false" customWidth="true" hidden="false" outlineLevel="0" max="8" min="7" style="0" width="12"/>
    <col collapsed="false" customWidth="true" hidden="false" outlineLevel="0" max="10" min="9" style="0" width="11"/>
    <col collapsed="false" customWidth="true" hidden="false" outlineLevel="0" max="11" min="11" style="0" width="12"/>
  </cols>
  <sheetData>
    <row r="1" customFormat="false" ht="17.35" hidden="false" customHeight="false" outlineLevel="0" collapsed="false">
      <c r="A1" s="1" t="s">
        <v>570</v>
      </c>
    </row>
    <row r="2" customFormat="false" ht="15" hidden="false" customHeight="false" outlineLevel="0" collapsed="false">
      <c r="A2" s="2" t="s">
        <v>571</v>
      </c>
    </row>
    <row r="4" customFormat="false" ht="42" hidden="false" customHeight="true" outlineLevel="0" collapsed="false">
      <c r="A4" s="17" t="s">
        <v>57</v>
      </c>
      <c r="B4" s="17" t="s">
        <v>551</v>
      </c>
      <c r="C4" s="17" t="s">
        <v>572</v>
      </c>
      <c r="D4" s="17" t="s">
        <v>573</v>
      </c>
      <c r="E4" s="17" t="s">
        <v>574</v>
      </c>
      <c r="F4" s="17" t="s">
        <v>25</v>
      </c>
      <c r="G4" s="17" t="s">
        <v>575</v>
      </c>
      <c r="H4" s="17" t="s">
        <v>576</v>
      </c>
      <c r="I4" s="17" t="s">
        <v>577</v>
      </c>
      <c r="J4" s="17" t="s">
        <v>578</v>
      </c>
      <c r="K4" s="17" t="s">
        <v>561</v>
      </c>
    </row>
    <row r="5" customFormat="false" ht="15" hidden="false" customHeight="false" outlineLevel="0" collapsed="false">
      <c r="A5" s="4" t="s">
        <v>85</v>
      </c>
      <c r="B5" s="4" t="s">
        <v>564</v>
      </c>
      <c r="C5" s="4" t="n">
        <f aca="false">COUNTIF(Tensiones!$C$5:$C$216,A5)</f>
        <v>42</v>
      </c>
      <c r="D5" s="18" t="n">
        <f aca="false">_xlfn.MAXIFS(Tensiones!$H$5:$H$216,Tensiones!$C$5:$C$216,A5)</f>
        <v>0.42</v>
      </c>
      <c r="E5" s="18" t="n">
        <f aca="false">_xlfn.MAXIFS(Tensiones!$K$5:$K$216,Tensiones!$C$5:$C$216,A5)</f>
        <v>0.44</v>
      </c>
      <c r="F5" s="12" t="n">
        <f aca="false">IF(D5&lt;0.005,"-",E5/D5-1)</f>
        <v>0.0476190476190477</v>
      </c>
      <c r="G5" s="13" t="n">
        <f aca="false">_xlfn.MAXIFS(Tensiones!$L$5:$L$216,Tensiones!$C$5:$C$216,A5)</f>
        <v>0.276679841897233</v>
      </c>
      <c r="H5" s="13" t="n">
        <f aca="false">_xlfn.MAXIFS(Tensiones!$M$5:$M$216,Tensiones!$C$5:$C$216,A5)</f>
        <v>0.289855072463768</v>
      </c>
      <c r="I5" s="4" t="n">
        <f aca="false">COUNTIFS(Tensiones!$C$5:$C$216,A5,Tensiones!$Q$5:$Q$216,"AUMENTA")</f>
        <v>6</v>
      </c>
      <c r="J5" s="4" t="n">
        <f aca="false">COUNTIFS(Tensiones!$C$5:$C$216,A5,Tensiones!$Q$5:$Q$216,"DISMINUYE")</f>
        <v>3</v>
      </c>
      <c r="K5" s="4" t="str">
        <f aca="false">IF(COUNTIFS(Tensiones!$C$5:$C$216,A5,Tensiones!$R$5:$R$216,"NO CUMPLE")=0,"CUMPLE","NO CUMPLE")</f>
        <v>CUMPLE</v>
      </c>
    </row>
    <row r="6" customFormat="false" ht="15" hidden="false" customHeight="false" outlineLevel="0" collapsed="false">
      <c r="A6" s="4" t="s">
        <v>81</v>
      </c>
      <c r="B6" s="4" t="s">
        <v>564</v>
      </c>
      <c r="C6" s="4" t="n">
        <f aca="false">COUNTIF(Tensiones!$C$5:$C$216,A6)</f>
        <v>33</v>
      </c>
      <c r="D6" s="18" t="n">
        <f aca="false">_xlfn.MAXIFS(Tensiones!$H$5:$H$216,Tensiones!$C$5:$C$216,A6)</f>
        <v>0.18</v>
      </c>
      <c r="E6" s="18" t="n">
        <f aca="false">_xlfn.MAXIFS(Tensiones!$K$5:$K$216,Tensiones!$C$5:$C$216,A6)</f>
        <v>0.2</v>
      </c>
      <c r="F6" s="12" t="n">
        <f aca="false">IF(D6&lt;0.005,"-",E6/D6-1)</f>
        <v>0.111111111111111</v>
      </c>
      <c r="G6" s="13" t="n">
        <f aca="false">_xlfn.MAXIFS(Tensiones!$L$5:$L$216,Tensiones!$C$5:$C$216,A6)</f>
        <v>0.118577075098814</v>
      </c>
      <c r="H6" s="13" t="n">
        <f aca="false">_xlfn.MAXIFS(Tensiones!$M$5:$M$216,Tensiones!$C$5:$C$216,A6)</f>
        <v>0.131752305665349</v>
      </c>
      <c r="I6" s="4" t="n">
        <f aca="false">COUNTIFS(Tensiones!$C$5:$C$216,A6,Tensiones!$Q$5:$Q$216,"AUMENTA")</f>
        <v>12</v>
      </c>
      <c r="J6" s="4" t="n">
        <f aca="false">COUNTIFS(Tensiones!$C$5:$C$216,A6,Tensiones!$Q$5:$Q$216,"DISMINUYE")</f>
        <v>4</v>
      </c>
      <c r="K6" s="4" t="str">
        <f aca="false">IF(COUNTIFS(Tensiones!$C$5:$C$216,A6,Tensiones!$R$5:$R$216,"NO CUMPLE")=0,"CUMPLE","NO CUMPLE")</f>
        <v>CUMPLE</v>
      </c>
    </row>
    <row r="7" customFormat="false" ht="15" hidden="false" customHeight="false" outlineLevel="0" collapsed="false">
      <c r="A7" s="4" t="s">
        <v>338</v>
      </c>
      <c r="B7" s="4" t="s">
        <v>565</v>
      </c>
      <c r="C7" s="4" t="n">
        <f aca="false">COUNTIF(Tensiones!$C$5:$C$216,A7)</f>
        <v>4</v>
      </c>
      <c r="D7" s="18" t="n">
        <f aca="false">_xlfn.MAXIFS(Tensiones!$H$5:$H$216,Tensiones!$C$5:$C$216,A7)</f>
        <v>0.01</v>
      </c>
      <c r="E7" s="18" t="n">
        <f aca="false">_xlfn.MAXIFS(Tensiones!$K$5:$K$216,Tensiones!$C$5:$C$216,A7)</f>
        <v>0.01</v>
      </c>
      <c r="F7" s="12" t="n">
        <f aca="false">IF(D7&lt;0.005,"-",E7/D7-1)</f>
        <v>0</v>
      </c>
      <c r="G7" s="13" t="n">
        <f aca="false">_xlfn.MAXIFS(Tensiones!$L$5:$L$216,Tensiones!$C$5:$C$216,A7)</f>
        <v>0.00658761528326746</v>
      </c>
      <c r="H7" s="13" t="n">
        <f aca="false">_xlfn.MAXIFS(Tensiones!$M$5:$M$216,Tensiones!$C$5:$C$216,A7)</f>
        <v>0.00658761528326746</v>
      </c>
      <c r="I7" s="4" t="n">
        <f aca="false">COUNTIFS(Tensiones!$C$5:$C$216,A7,Tensiones!$Q$5:$Q$216,"AUMENTA")</f>
        <v>0</v>
      </c>
      <c r="J7" s="4" t="n">
        <f aca="false">COUNTIFS(Tensiones!$C$5:$C$216,A7,Tensiones!$Q$5:$Q$216,"DISMINUYE")</f>
        <v>0</v>
      </c>
      <c r="K7" s="4" t="str">
        <f aca="false">IF(COUNTIFS(Tensiones!$C$5:$C$216,A7,Tensiones!$R$5:$R$216,"NO CUMPLE")=0,"CUMPLE","NO CUMPLE")</f>
        <v>CUMPLE</v>
      </c>
    </row>
    <row r="8" customFormat="false" ht="15" hidden="false" customHeight="false" outlineLevel="0" collapsed="false">
      <c r="A8" s="4" t="s">
        <v>396</v>
      </c>
      <c r="B8" s="4" t="s">
        <v>564</v>
      </c>
      <c r="C8" s="4" t="n">
        <f aca="false">COUNTIF(Tensiones!$C$5:$C$216,A8)</f>
        <v>8</v>
      </c>
      <c r="D8" s="18" t="n">
        <f aca="false">_xlfn.MAXIFS(Tensiones!$H$5:$H$216,Tensiones!$C$5:$C$216,A8)</f>
        <v>0.12</v>
      </c>
      <c r="E8" s="18" t="n">
        <f aca="false">_xlfn.MAXIFS(Tensiones!$K$5:$K$216,Tensiones!$C$5:$C$216,A8)</f>
        <v>0.12</v>
      </c>
      <c r="F8" s="12" t="n">
        <f aca="false">IF(D8&lt;0.005,"-",E8/D8-1)</f>
        <v>0</v>
      </c>
      <c r="G8" s="13" t="n">
        <f aca="false">_xlfn.MAXIFS(Tensiones!$L$5:$L$216,Tensiones!$C$5:$C$216,A8)</f>
        <v>0.0790513833992095</v>
      </c>
      <c r="H8" s="13" t="n">
        <f aca="false">_xlfn.MAXIFS(Tensiones!$M$5:$M$216,Tensiones!$C$5:$C$216,A8)</f>
        <v>0.0790513833992095</v>
      </c>
      <c r="I8" s="4" t="n">
        <f aca="false">COUNTIFS(Tensiones!$C$5:$C$216,A8,Tensiones!$Q$5:$Q$216,"AUMENTA")</f>
        <v>0</v>
      </c>
      <c r="J8" s="4" t="n">
        <f aca="false">COUNTIFS(Tensiones!$C$5:$C$216,A8,Tensiones!$Q$5:$Q$216,"DISMINUYE")</f>
        <v>0</v>
      </c>
      <c r="K8" s="4" t="str">
        <f aca="false">IF(COUNTIFS(Tensiones!$C$5:$C$216,A8,Tensiones!$R$5:$R$216,"NO CUMPLE")=0,"CUMPLE","NO CUMPLE")</f>
        <v>CUMPLE</v>
      </c>
    </row>
    <row r="9" customFormat="false" ht="15" hidden="false" customHeight="false" outlineLevel="0" collapsed="false">
      <c r="A9" s="4" t="s">
        <v>422</v>
      </c>
      <c r="B9" s="4" t="s">
        <v>566</v>
      </c>
      <c r="C9" s="4" t="n">
        <f aca="false">COUNTIF(Tensiones!$C$5:$C$216,A9)</f>
        <v>7</v>
      </c>
      <c r="D9" s="18" t="n">
        <f aca="false">_xlfn.MAXIFS(Tensiones!$H$5:$H$216,Tensiones!$C$5:$C$216,A9)</f>
        <v>0</v>
      </c>
      <c r="E9" s="18" t="n">
        <f aca="false">_xlfn.MAXIFS(Tensiones!$K$5:$K$216,Tensiones!$C$5:$C$216,A9)</f>
        <v>0.01</v>
      </c>
      <c r="F9" s="12" t="str">
        <f aca="false">IF(D9&lt;0.005,"-",E9/D9-1)</f>
        <v>-</v>
      </c>
      <c r="G9" s="13" t="n">
        <f aca="false">_xlfn.MAXIFS(Tensiones!$L$5:$L$216,Tensiones!$C$5:$C$216,A9)</f>
        <v>0</v>
      </c>
      <c r="H9" s="13" t="n">
        <f aca="false">_xlfn.MAXIFS(Tensiones!$M$5:$M$216,Tensiones!$C$5:$C$216,A9)</f>
        <v>0.00658761528326746</v>
      </c>
      <c r="I9" s="4" t="n">
        <f aca="false">COUNTIFS(Tensiones!$C$5:$C$216,A9,Tensiones!$Q$5:$Q$216,"AUMENTA")</f>
        <v>0</v>
      </c>
      <c r="J9" s="4" t="n">
        <f aca="false">COUNTIFS(Tensiones!$C$5:$C$216,A9,Tensiones!$Q$5:$Q$216,"DISMINUYE")</f>
        <v>0</v>
      </c>
      <c r="K9" s="4" t="str">
        <f aca="false">IF(COUNTIFS(Tensiones!$C$5:$C$216,A9,Tensiones!$R$5:$R$216,"NO CUMPLE")=0,"CUMPLE","NO CUMPLE")</f>
        <v>CUMPLE</v>
      </c>
    </row>
    <row r="10" customFormat="false" ht="15" hidden="false" customHeight="false" outlineLevel="0" collapsed="false">
      <c r="A10" s="4" t="s">
        <v>362</v>
      </c>
      <c r="B10" s="4" t="s">
        <v>567</v>
      </c>
      <c r="C10" s="4" t="n">
        <f aca="false">COUNTIF(Tensiones!$C$5:$C$216,A10)</f>
        <v>16</v>
      </c>
      <c r="D10" s="18" t="n">
        <f aca="false">_xlfn.MAXIFS(Tensiones!$H$5:$H$216,Tensiones!$C$5:$C$216,A10)</f>
        <v>0.09</v>
      </c>
      <c r="E10" s="18" t="n">
        <f aca="false">_xlfn.MAXIFS(Tensiones!$K$5:$K$216,Tensiones!$C$5:$C$216,A10)</f>
        <v>0.09</v>
      </c>
      <c r="F10" s="12" t="n">
        <f aca="false">IF(D10&lt;0.005,"-",E10/D10-1)</f>
        <v>0</v>
      </c>
      <c r="G10" s="13" t="n">
        <f aca="false">_xlfn.MAXIFS(Tensiones!$L$5:$L$216,Tensiones!$C$5:$C$216,A10)</f>
        <v>0.0592885375494071</v>
      </c>
      <c r="H10" s="13" t="n">
        <f aca="false">_xlfn.MAXIFS(Tensiones!$M$5:$M$216,Tensiones!$C$5:$C$216,A10)</f>
        <v>0.0592885375494071</v>
      </c>
      <c r="I10" s="4" t="n">
        <f aca="false">COUNTIFS(Tensiones!$C$5:$C$216,A10,Tensiones!$Q$5:$Q$216,"AUMENTA")</f>
        <v>0</v>
      </c>
      <c r="J10" s="4" t="n">
        <f aca="false">COUNTIFS(Tensiones!$C$5:$C$216,A10,Tensiones!$Q$5:$Q$216,"DISMINUYE")</f>
        <v>0</v>
      </c>
      <c r="K10" s="4" t="str">
        <f aca="false">IF(COUNTIFS(Tensiones!$C$5:$C$216,A10,Tensiones!$R$5:$R$216,"NO CUMPLE")=0,"CUMPLE","NO CUMPLE")</f>
        <v>CUMPLE</v>
      </c>
    </row>
    <row r="11" customFormat="false" ht="15" hidden="false" customHeight="false" outlineLevel="0" collapsed="false">
      <c r="A11" s="4" t="s">
        <v>405</v>
      </c>
      <c r="B11" s="4" t="s">
        <v>567</v>
      </c>
      <c r="C11" s="4" t="n">
        <f aca="false">COUNTIF(Tensiones!$C$5:$C$216,A11)</f>
        <v>16</v>
      </c>
      <c r="D11" s="18" t="n">
        <f aca="false">_xlfn.MAXIFS(Tensiones!$H$5:$H$216,Tensiones!$C$5:$C$216,A11)</f>
        <v>0.11</v>
      </c>
      <c r="E11" s="18" t="n">
        <f aca="false">_xlfn.MAXIFS(Tensiones!$K$5:$K$216,Tensiones!$C$5:$C$216,A11)</f>
        <v>0.12</v>
      </c>
      <c r="F11" s="12" t="n">
        <f aca="false">IF(D11&lt;0.005,"-",E11/D11-1)</f>
        <v>0.0909090909090908</v>
      </c>
      <c r="G11" s="13" t="n">
        <f aca="false">_xlfn.MAXIFS(Tensiones!$L$5:$L$216,Tensiones!$C$5:$C$216,A11)</f>
        <v>0.0724637681159421</v>
      </c>
      <c r="H11" s="13" t="n">
        <f aca="false">_xlfn.MAXIFS(Tensiones!$M$5:$M$216,Tensiones!$C$5:$C$216,A11)</f>
        <v>0.0790513833992095</v>
      </c>
      <c r="I11" s="4" t="n">
        <f aca="false">COUNTIFS(Tensiones!$C$5:$C$216,A11,Tensiones!$Q$5:$Q$216,"AUMENTA")</f>
        <v>1</v>
      </c>
      <c r="J11" s="4" t="n">
        <f aca="false">COUNTIFS(Tensiones!$C$5:$C$216,A11,Tensiones!$Q$5:$Q$216,"DISMINUYE")</f>
        <v>0</v>
      </c>
      <c r="K11" s="4" t="str">
        <f aca="false">IF(COUNTIFS(Tensiones!$C$5:$C$216,A11,Tensiones!$R$5:$R$216,"NO CUMPLE")=0,"CUMPLE","NO CUMPLE")</f>
        <v>CUMPLE</v>
      </c>
    </row>
    <row r="12" customFormat="false" ht="15" hidden="false" customHeight="false" outlineLevel="0" collapsed="false">
      <c r="A12" s="4" t="s">
        <v>486</v>
      </c>
      <c r="B12" s="4" t="s">
        <v>567</v>
      </c>
      <c r="C12" s="4" t="n">
        <f aca="false">COUNTIF(Tensiones!$C$5:$C$216,A12)</f>
        <v>8</v>
      </c>
      <c r="D12" s="18" t="n">
        <f aca="false">_xlfn.MAXIFS(Tensiones!$H$5:$H$216,Tensiones!$C$5:$C$216,A12)</f>
        <v>0.07</v>
      </c>
      <c r="E12" s="18" t="n">
        <f aca="false">_xlfn.MAXIFS(Tensiones!$K$5:$K$216,Tensiones!$C$5:$C$216,A12)</f>
        <v>0.07</v>
      </c>
      <c r="F12" s="12" t="n">
        <f aca="false">IF(D12&lt;0.005,"-",E12/D12-1)</f>
        <v>0</v>
      </c>
      <c r="G12" s="13" t="n">
        <f aca="false">_xlfn.MAXIFS(Tensiones!$L$5:$L$216,Tensiones!$C$5:$C$216,A12)</f>
        <v>0.0461133069828722</v>
      </c>
      <c r="H12" s="13" t="n">
        <f aca="false">_xlfn.MAXIFS(Tensiones!$M$5:$M$216,Tensiones!$C$5:$C$216,A12)</f>
        <v>0.0461133069828722</v>
      </c>
      <c r="I12" s="4" t="n">
        <f aca="false">COUNTIFS(Tensiones!$C$5:$C$216,A12,Tensiones!$Q$5:$Q$216,"AUMENTA")</f>
        <v>0</v>
      </c>
      <c r="J12" s="4" t="n">
        <f aca="false">COUNTIFS(Tensiones!$C$5:$C$216,A12,Tensiones!$Q$5:$Q$216,"DISMINUYE")</f>
        <v>0</v>
      </c>
      <c r="K12" s="4" t="str">
        <f aca="false">IF(COUNTIFS(Tensiones!$C$5:$C$216,A12,Tensiones!$R$5:$R$216,"NO CUMPLE")=0,"CUMPLE","NO CUMPLE")</f>
        <v>CUMPLE</v>
      </c>
    </row>
    <row r="13" customFormat="false" ht="15" hidden="false" customHeight="false" outlineLevel="0" collapsed="false">
      <c r="A13" s="4" t="s">
        <v>63</v>
      </c>
      <c r="B13" s="4" t="s">
        <v>568</v>
      </c>
      <c r="C13" s="4" t="n">
        <f aca="false">COUNTIF(Tensiones!$C$5:$C$216,A13)</f>
        <v>72</v>
      </c>
      <c r="D13" s="18" t="n">
        <f aca="false">_xlfn.MAXIFS(Tensiones!$H$5:$H$216,Tensiones!$C$5:$C$216,A13)</f>
        <v>0.1</v>
      </c>
      <c r="E13" s="18" t="n">
        <f aca="false">_xlfn.MAXIFS(Tensiones!$K$5:$K$216,Tensiones!$C$5:$C$216,A13)</f>
        <v>0.11</v>
      </c>
      <c r="F13" s="12" t="n">
        <f aca="false">IF(D13&lt;0.005,"-",E13/D13-1)</f>
        <v>0.0999999999999999</v>
      </c>
      <c r="G13" s="13" t="n">
        <f aca="false">_xlfn.MAXIFS(Tensiones!$L$5:$L$216,Tensiones!$C$5:$C$216,A13)</f>
        <v>0.0658761528326746</v>
      </c>
      <c r="H13" s="13" t="n">
        <f aca="false">_xlfn.MAXIFS(Tensiones!$M$5:$M$216,Tensiones!$C$5:$C$216,A13)</f>
        <v>0.0724637681159421</v>
      </c>
      <c r="I13" s="4" t="n">
        <f aca="false">COUNTIFS(Tensiones!$C$5:$C$216,A13,Tensiones!$Q$5:$Q$216,"AUMENTA")</f>
        <v>1</v>
      </c>
      <c r="J13" s="4" t="n">
        <f aca="false">COUNTIFS(Tensiones!$C$5:$C$216,A13,Tensiones!$Q$5:$Q$216,"DISMINUYE")</f>
        <v>0</v>
      </c>
      <c r="K13" s="4" t="str">
        <f aca="false">IF(COUNTIFS(Tensiones!$C$5:$C$216,A13,Tensiones!$R$5:$R$216,"NO CUMPLE")=0,"CUMPLE","NO CUMPLE")</f>
        <v>CUMPLE</v>
      </c>
    </row>
    <row r="14" customFormat="false" ht="15" hidden="false" customHeight="false" outlineLevel="0" collapsed="false">
      <c r="A14" s="4" t="s">
        <v>348</v>
      </c>
      <c r="B14" s="4" t="s">
        <v>569</v>
      </c>
      <c r="C14" s="4" t="n">
        <f aca="false">COUNTIF(Tensiones!$C$5:$C$216,A14)</f>
        <v>6</v>
      </c>
      <c r="D14" s="18" t="n">
        <f aca="false">_xlfn.MAXIFS(Tensiones!$H$5:$H$216,Tensiones!$C$5:$C$216,A14)</f>
        <v>0.01</v>
      </c>
      <c r="E14" s="18" t="n">
        <f aca="false">_xlfn.MAXIFS(Tensiones!$K$5:$K$216,Tensiones!$C$5:$C$216,A14)</f>
        <v>0.01</v>
      </c>
      <c r="F14" s="12" t="n">
        <f aca="false">IF(D14&lt;0.005,"-",E14/D14-1)</f>
        <v>0</v>
      </c>
      <c r="G14" s="13" t="n">
        <f aca="false">_xlfn.MAXIFS(Tensiones!$L$5:$L$216,Tensiones!$C$5:$C$216,A14)</f>
        <v>0.00658761528326746</v>
      </c>
      <c r="H14" s="13" t="n">
        <f aca="false">_xlfn.MAXIFS(Tensiones!$M$5:$M$216,Tensiones!$C$5:$C$216,A14)</f>
        <v>0.00658761528326746</v>
      </c>
      <c r="I14" s="4" t="n">
        <f aca="false">COUNTIFS(Tensiones!$C$5:$C$216,A14,Tensiones!$Q$5:$Q$216,"AUMENTA")</f>
        <v>0</v>
      </c>
      <c r="J14" s="4" t="n">
        <f aca="false">COUNTIFS(Tensiones!$C$5:$C$216,A14,Tensiones!$Q$5:$Q$216,"DISMINUYE")</f>
        <v>0</v>
      </c>
      <c r="K14" s="4" t="str">
        <f aca="false">IF(COUNTIFS(Tensiones!$C$5:$C$216,A14,Tensiones!$R$5:$R$216,"NO CUMPLE")=0,"CUMPLE","NO CUMPLE")</f>
        <v>CUMPLE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2026-10-01T13:57:26Z</dcterms:created>
  <dc:creator>openpyxl</dc:creator>
  <dc:description/>
  <dc:language>en-US</dc:language>
  <cp:lastModifiedBy/>
  <dcterms:modified xsi:type="dcterms:W3CDTF">2026-10-01T13:57:29Z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